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3" visibility="visible"/>
  </bookViews>
  <sheets>
    <sheet name="EDEN" sheetId="1" r:id="rId4"/>
    <sheet name="Sheet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<sst xmlns="http://schemas.openxmlformats.org/spreadsheetml/2006/main" uniqueCount="560">
  <si>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Sale</t>
  </si>
  <si>
    <t xml:space="preserve">Branch </t>
  </si>
  <si>
    <t>Gilasco</t>
  </si>
  <si>
    <t>Gilasco JB</t>
  </si>
  <si>
    <t xml:space="preserve">Eden &amp; Johoni </t>
  </si>
  <si>
    <t>JOHNI JB</t>
  </si>
  <si>
    <t>SGW</t>
  </si>
  <si>
    <t>E66A</t>
  </si>
  <si>
    <t>Quill</t>
  </si>
  <si>
    <t>Total Sale</t>
  </si>
  <si>
    <t>Friday</t>
  </si>
  <si>
    <t>Saturday</t>
  </si>
  <si>
    <t>Sunday</t>
  </si>
  <si>
    <t>Monday</t>
  </si>
  <si>
    <t>Tuesday</t>
  </si>
  <si>
    <t>Wednesday</t>
  </si>
  <si>
    <t>Thursday</t>
  </si>
  <si>
    <t>Faez Salary</t>
  </si>
  <si>
    <t>Naser Shayan Manesh</t>
  </si>
  <si>
    <t xml:space="preserve">Bank muamalat </t>
  </si>
  <si>
    <t xml:space="preserve">Shams </t>
  </si>
  <si>
    <t xml:space="preserve">Faez </t>
  </si>
  <si>
    <t>Go pays</t>
  </si>
  <si>
    <t xml:space="preserve">Rezwanguli </t>
  </si>
  <si>
    <t>Day</t>
  </si>
  <si>
    <t>Date</t>
  </si>
  <si>
    <t xml:space="preserve">Final Bank Balance </t>
  </si>
  <si>
    <t>Sale in</t>
  </si>
  <si>
    <t>Daily Balance
Amount</t>
  </si>
  <si>
    <t>Account  Balance
Amount</t>
  </si>
  <si>
    <t xml:space="preserve">Online/Voucher Payment </t>
  </si>
  <si>
    <t xml:space="preserve">Final balance </t>
  </si>
  <si>
    <t>Investor</t>
  </si>
  <si>
    <t>Cash Purchase Amount</t>
  </si>
  <si>
    <t>Daily Purchase Balance</t>
  </si>
  <si>
    <t>Bank Account Balance ( before credit payment )</t>
  </si>
  <si>
    <t>Credit Payment</t>
  </si>
  <si>
    <t>Total Paid Amount</t>
  </si>
  <si>
    <t>Eden Investor</t>
  </si>
  <si>
    <t>Investor3</t>
  </si>
  <si>
    <t xml:space="preserve">Cash Payment </t>
  </si>
  <si>
    <t>Salary</t>
  </si>
  <si>
    <t>Rental</t>
  </si>
  <si>
    <t>LOAN&amp; FINANCING</t>
  </si>
  <si>
    <t xml:space="preserve">MARKETING </t>
  </si>
  <si>
    <t xml:space="preserve">Cargo/Transport </t>
  </si>
  <si>
    <t>Secretrial&amp; Audit &amp; Ligal</t>
  </si>
  <si>
    <t xml:space="preserve">Supply </t>
  </si>
  <si>
    <t>Utilities</t>
  </si>
  <si>
    <t>Other expenses</t>
  </si>
  <si>
    <t>Maintenance</t>
  </si>
  <si>
    <t>Other Company expenses</t>
  </si>
  <si>
    <t>Voiletta Daily Payment</t>
  </si>
  <si>
    <t>New Outstanding</t>
  </si>
  <si>
    <t>Old Outstanding ( before 2023 )</t>
  </si>
  <si>
    <t>Financial Expenses</t>
  </si>
  <si>
    <t>Total</t>
  </si>
  <si>
    <t>Name</t>
  </si>
  <si>
    <t>Amount</t>
  </si>
  <si>
    <t>Purpose</t>
  </si>
  <si>
    <t xml:space="preserve">Town square </t>
  </si>
  <si>
    <t xml:space="preserve"> salary + epf </t>
  </si>
  <si>
    <t>Kwc + E66A Reno + Kwc Shoes</t>
  </si>
  <si>
    <t>Hamid rental +salary + Valid rental</t>
  </si>
  <si>
    <t>Shaft rental + salary</t>
  </si>
  <si>
    <t xml:space="preserve">Bedehi </t>
  </si>
  <si>
    <t>Bedehi</t>
  </si>
  <si>
    <t xml:space="preserve">Lifestyl tm + salary + tester paper </t>
  </si>
  <si>
    <t>Town square</t>
  </si>
  <si>
    <t xml:space="preserve">Salary </t>
  </si>
  <si>
    <t>Emon fashion</t>
  </si>
  <si>
    <t xml:space="preserve">Salary + Hamid utility + Zahid + Custom Eden  </t>
  </si>
  <si>
    <t xml:space="preserve">Kwc + E66A reno + Mjs </t>
  </si>
  <si>
    <t>Kwc + Malay atri</t>
  </si>
  <si>
    <t xml:space="preserve">Salary + printing </t>
  </si>
  <si>
    <t xml:space="preserve"> Klia2 Johini Rental + Skyline Johoni </t>
  </si>
  <si>
    <t xml:space="preserve">Abubakr </t>
  </si>
  <si>
    <t xml:space="preserve">Voucher </t>
  </si>
  <si>
    <t>Bedehi iran</t>
  </si>
  <si>
    <t>Sweet kiss choclate</t>
  </si>
  <si>
    <t>Hamid Sp + Visa</t>
  </si>
  <si>
    <t>Madam bangali</t>
  </si>
  <si>
    <t>Qcm</t>
  </si>
  <si>
    <t xml:space="preserve">Camery </t>
  </si>
  <si>
    <t>Epf</t>
  </si>
  <si>
    <t>Dubai cargo</t>
  </si>
  <si>
    <t>Hosein agha + bedehi Iran</t>
  </si>
  <si>
    <t>Sgw rental</t>
  </si>
  <si>
    <t>To office</t>
  </si>
  <si>
    <t>Gilasco shop rental</t>
  </si>
  <si>
    <t>Arch trading sonil</t>
  </si>
  <si>
    <t>E66A rental + Salary Abdorrahman</t>
  </si>
  <si>
    <t xml:space="preserve"> Bergaya </t>
  </si>
  <si>
    <t>Hamid Apt</t>
  </si>
  <si>
    <t>Paperbag</t>
  </si>
  <si>
    <t xml:space="preserve">Gilasco+Faeiz+Bergaya </t>
  </si>
  <si>
    <t>Whs Transport</t>
  </si>
  <si>
    <t>M Investor</t>
  </si>
  <si>
    <t>Bergaya</t>
  </si>
  <si>
    <t>Media Art Nazari+Naser Shayan Manesh</t>
  </si>
  <si>
    <t xml:space="preserve">Custome clearance </t>
  </si>
  <si>
    <t xml:space="preserve">Bergaya </t>
  </si>
  <si>
    <t>Zakat</t>
  </si>
  <si>
    <t xml:space="preserve">Local+Bergaya </t>
  </si>
  <si>
    <t>Si</t>
  </si>
  <si>
    <t>Raf Klia2+Omid Global</t>
  </si>
  <si>
    <t xml:space="preserve">Paperbag </t>
  </si>
  <si>
    <t>Local+Bergaya</t>
  </si>
  <si>
    <t>Si+Salary+Bergaya</t>
  </si>
  <si>
    <t xml:space="preserve">Bsn+Pro 3 Carpet+Pro 3 Relocation </t>
  </si>
  <si>
    <t>Salary+ Bergaya</t>
  </si>
  <si>
    <t xml:space="preserve">Salary+Bergaya </t>
  </si>
  <si>
    <t>Media Art Nazari Stand+Farid</t>
  </si>
  <si>
    <t>Al bader</t>
  </si>
  <si>
    <t>Shams Apt</t>
  </si>
  <si>
    <t>Perfume Gift</t>
  </si>
  <si>
    <t>Whs pettycash</t>
  </si>
  <si>
    <t>Valid Apt</t>
  </si>
  <si>
    <t>Quill Reno</t>
  </si>
  <si>
    <t xml:space="preserve"> kwc + E66A reno + Mjs </t>
  </si>
  <si>
    <t>Salary+Bergaya</t>
  </si>
  <si>
    <t xml:space="preserve">Z&amp;A Abubakr </t>
  </si>
  <si>
    <t>Gilasco Tm</t>
  </si>
  <si>
    <t>Mardani</t>
  </si>
  <si>
    <t xml:space="preserve">Dubai Town Squair </t>
  </si>
  <si>
    <t>J Klia2+2M</t>
  </si>
  <si>
    <t>E &amp; J Testpaper</t>
  </si>
  <si>
    <t>Amoda88</t>
  </si>
  <si>
    <t>Supply Van</t>
  </si>
  <si>
    <t xml:space="preserve">kwc + E66A reno + Mjs </t>
  </si>
  <si>
    <t xml:space="preserve">Saturday </t>
  </si>
  <si>
    <t>Bedehi Iran</t>
  </si>
  <si>
    <t>Salary Settlement+Bergaya</t>
  </si>
  <si>
    <t>Ehub</t>
  </si>
  <si>
    <t>Si Painting Deposite</t>
  </si>
  <si>
    <t>Bergaya+Abdelrahman advance+Mhmd Saffari</t>
  </si>
  <si>
    <t xml:space="preserve">J Quill+Edn Sgw +Hamid Apt+Shaft Apt </t>
  </si>
  <si>
    <t>Bergaya+Omid Global</t>
  </si>
  <si>
    <t>E Klia</t>
  </si>
  <si>
    <t>Omid Global Stand+Si Painting</t>
  </si>
  <si>
    <t>Shams+Gilasco relocationHamid Sp</t>
  </si>
  <si>
    <t>Kwc shoes</t>
  </si>
  <si>
    <t>Trademart Marketing Chocolate+Neck Pillow</t>
  </si>
  <si>
    <t>Bergaya+Isa</t>
  </si>
  <si>
    <t>Hosein agha</t>
  </si>
  <si>
    <t xml:space="preserve">AR Unifashion Madam bangali Current + Outstanding+Plastic </t>
  </si>
  <si>
    <t>Printing outsg+Gilasco Printing</t>
  </si>
  <si>
    <t>Translator+Zakat</t>
  </si>
  <si>
    <t>Plastic bag</t>
  </si>
  <si>
    <t>Bergaya+Epf</t>
  </si>
  <si>
    <t>Camry</t>
  </si>
  <si>
    <t xml:space="preserve">2M Dismantling </t>
  </si>
  <si>
    <t>Mohammad saffari</t>
  </si>
  <si>
    <t>Mirza</t>
  </si>
  <si>
    <t xml:space="preserve">Town Square Dubai  </t>
  </si>
  <si>
    <t xml:space="preserve">Amoda88+Shams Apt) </t>
  </si>
  <si>
    <t>Mazda+Laptop</t>
  </si>
  <si>
    <t>Bergaya+Salary</t>
  </si>
  <si>
    <t>Rama+Holipah Insurance</t>
  </si>
  <si>
    <t>Salary+Bergaya)</t>
  </si>
  <si>
    <t>E66A+Supply Accounting</t>
  </si>
  <si>
    <t>Holipah Insurance</t>
  </si>
  <si>
    <t>Bergaya+Supply Salary</t>
  </si>
  <si>
    <t>Whs Pettycash</t>
  </si>
  <si>
    <t xml:space="preserve">Bergaya+Supply Salary+Salary+Socso </t>
  </si>
  <si>
    <t>Loptop repair</t>
  </si>
  <si>
    <t>Supply car</t>
  </si>
  <si>
    <t>Printing</t>
  </si>
  <si>
    <t xml:space="preserve">Supply van </t>
  </si>
  <si>
    <t xml:space="preserve">Voucher Si+Influencer  </t>
  </si>
  <si>
    <t>Bergaya+Salary+Hamid Visa</t>
  </si>
  <si>
    <t>Pc+Si Maintenance</t>
  </si>
  <si>
    <t>HG Asia neck pillow</t>
  </si>
  <si>
    <t xml:space="preserve">Gilasco Shop Apr </t>
  </si>
  <si>
    <t>Almas Perfumes</t>
  </si>
  <si>
    <t>Bergaya+Hamid Ticket</t>
  </si>
  <si>
    <t>Infulencer+Eden stamp+Zahid Quill</t>
  </si>
  <si>
    <t xml:space="preserve">Motorbike+Gilasco Domain </t>
  </si>
  <si>
    <t>Testpaper+Hamid Travel Visa</t>
  </si>
  <si>
    <t>Atri KWC</t>
  </si>
  <si>
    <t>Bergaya+Rezwanguli Abudouremu</t>
  </si>
  <si>
    <t>TM</t>
  </si>
  <si>
    <t>Trademart Marketing Chocolate</t>
  </si>
  <si>
    <t>Hamid Ticket/Visa</t>
  </si>
  <si>
    <t>Nazari Cake Container</t>
  </si>
  <si>
    <t>Domain Transfer</t>
  </si>
  <si>
    <t>Zahid Quill</t>
  </si>
  <si>
    <t>Bergaya+Gopayz</t>
  </si>
  <si>
    <t>Nazari Warehouse</t>
  </si>
  <si>
    <t>Ssm</t>
  </si>
  <si>
    <t>Muamalat</t>
  </si>
  <si>
    <t>Nazari car</t>
  </si>
  <si>
    <t xml:space="preserve">Sg </t>
  </si>
  <si>
    <t>Other expense</t>
  </si>
  <si>
    <t>Whs Pettycash+Tm Nazari</t>
  </si>
  <si>
    <t>Voucher</t>
  </si>
  <si>
    <t>Hamid Apt+J Quill May</t>
  </si>
  <si>
    <t>Bergaya+Salary Nazari+Harith Nazari</t>
  </si>
  <si>
    <t xml:space="preserve">Gift to Zakiah+Printing Tamay Office+BSN </t>
  </si>
  <si>
    <t>Bergaya+Salary+Salary</t>
  </si>
  <si>
    <t>Van Nazari+ESI+E66A+L2M</t>
  </si>
  <si>
    <t>Motorbike Nazari</t>
  </si>
  <si>
    <t xml:space="preserve">Shaft May </t>
  </si>
  <si>
    <t>Madam Nazari Agreement+Camry</t>
  </si>
  <si>
    <t>Bergaya+Epf April+Socso April</t>
  </si>
  <si>
    <t>Van Nazari Tayer</t>
  </si>
  <si>
    <t>Perfume Clearance</t>
  </si>
  <si>
    <t>Mehdi Visa</t>
  </si>
  <si>
    <t>Gilasco Shop</t>
  </si>
  <si>
    <t xml:space="preserve">Motorbike </t>
  </si>
  <si>
    <t>Printing Gilasco+Printing Eden+Printing Nazari)</t>
  </si>
  <si>
    <t>Domain Boloor/Edenselection</t>
  </si>
  <si>
    <t xml:space="preserve">Testpaper+Meauring Laser+Zahid Quill </t>
  </si>
  <si>
    <t>J Quill June</t>
  </si>
  <si>
    <t>Aircon Nazari</t>
  </si>
  <si>
    <t>Sweet kiss chocklate</t>
  </si>
  <si>
    <t>Exora</t>
  </si>
  <si>
    <t>Eden Paperbag</t>
  </si>
  <si>
    <t>Epf May</t>
  </si>
  <si>
    <t>J Testpaper+Nazari</t>
  </si>
  <si>
    <t>J 2 klia2</t>
  </si>
  <si>
    <t>Carpet J2+printing</t>
  </si>
  <si>
    <t>Mehdi visa</t>
  </si>
  <si>
    <t>Mohammad hairul nazim+paperbag</t>
  </si>
  <si>
    <t>Hamid apt June</t>
  </si>
  <si>
    <t>Gilasco maintenance+Johoni klia2 Maintenance</t>
  </si>
  <si>
    <t>Shams</t>
  </si>
  <si>
    <t>Dubai</t>
  </si>
  <si>
    <t>Nazari TNB</t>
  </si>
  <si>
    <t xml:space="preserve">Johoni printing </t>
  </si>
  <si>
    <t>B&amp;S Printing</t>
  </si>
  <si>
    <t>B&amp;S Printing+Magnetic Stand</t>
  </si>
  <si>
    <t>Temporarily</t>
  </si>
  <si>
    <t>Lifestyle</t>
  </si>
  <si>
    <t>J Quill Jul</t>
  </si>
  <si>
    <t xml:space="preserve">Lifestyle+BSN Loan+Nazari </t>
  </si>
  <si>
    <t>Si+Nazari office</t>
  </si>
  <si>
    <t>Nazari</t>
  </si>
  <si>
    <t>Gilasco maintenance</t>
  </si>
  <si>
    <t>Zahid J Quill</t>
  </si>
  <si>
    <t>J Testpaper</t>
  </si>
  <si>
    <t>Gilasco TM</t>
  </si>
  <si>
    <t>63k payback</t>
  </si>
  <si>
    <t>J 1 klia2</t>
  </si>
  <si>
    <t>Nazari Motorbic</t>
  </si>
  <si>
    <t>J quill</t>
  </si>
  <si>
    <t>63k payback+Zahid j quill</t>
  </si>
  <si>
    <t>Husseing agha</t>
  </si>
  <si>
    <t>Pos Machine</t>
  </si>
  <si>
    <t>Gilasco Jul</t>
  </si>
  <si>
    <t>Faiz/shams</t>
  </si>
  <si>
    <t>Taxi</t>
  </si>
  <si>
    <t>ESGW July</t>
  </si>
  <si>
    <t>Nazari Tnb</t>
  </si>
  <si>
    <t>E Testpaper</t>
  </si>
  <si>
    <t>BSN Loan</t>
  </si>
  <si>
    <t>Nazari+Nazari epf+Nazari+Nazari rent</t>
  </si>
  <si>
    <t>Nazari+Nazari</t>
  </si>
  <si>
    <t>other</t>
  </si>
  <si>
    <t>Director</t>
  </si>
  <si>
    <t xml:space="preserve">OTHER </t>
  </si>
  <si>
    <t>ESW SEP RENT</t>
  </si>
  <si>
    <t>LAP TOP</t>
  </si>
  <si>
    <t>GLC  PRINT</t>
  </si>
  <si>
    <t>HAMID VISA</t>
  </si>
  <si>
    <t>MAZDA</t>
  </si>
  <si>
    <t>VALID VISA</t>
  </si>
  <si>
    <t>AUG SALARY</t>
  </si>
  <si>
    <t>CHEQUE RTN FEE</t>
  </si>
  <si>
    <t>TOWN  SQUARE</t>
  </si>
  <si>
    <t>TOYOTA</t>
  </si>
  <si>
    <t>ZAHID</t>
  </si>
  <si>
    <t xml:space="preserve">supply salary </t>
  </si>
  <si>
    <t>HOSSEIN AGHA</t>
  </si>
  <si>
    <t xml:space="preserve">GILASCO </t>
  </si>
  <si>
    <t xml:space="preserve">SEP SALARY &amp; AUG SALARY </t>
  </si>
  <si>
    <t xml:space="preserve">SEP SALARY </t>
  </si>
  <si>
    <t>print</t>
  </si>
  <si>
    <t>HAMID (Behnam)</t>
  </si>
  <si>
    <t xml:space="preserve">Johoni Quiil OCT </t>
  </si>
  <si>
    <t>bsn loan</t>
  </si>
  <si>
    <t>MOKHTAR</t>
  </si>
  <si>
    <t xml:space="preserve">ESI  OCT </t>
  </si>
  <si>
    <t>TM Supply</t>
  </si>
  <si>
    <t>hotel booking</t>
  </si>
  <si>
    <t>MBB Arch trading sonil</t>
  </si>
  <si>
    <t xml:space="preserve">B&amp;S </t>
  </si>
  <si>
    <t>CHEQUE PRS FEE</t>
  </si>
  <si>
    <t>TEST PAPER</t>
  </si>
  <si>
    <t>LIFESTYLE</t>
  </si>
  <si>
    <t xml:space="preserve">MBB Trademart </t>
  </si>
  <si>
    <t xml:space="preserve">Nazari </t>
  </si>
  <si>
    <t>Al Rawdah</t>
  </si>
  <si>
    <t>CHEQUE stamping</t>
  </si>
  <si>
    <t xml:space="preserve">MBB Almas + Glory </t>
  </si>
  <si>
    <t>Hamid License</t>
  </si>
  <si>
    <t>shams(Iran)</t>
  </si>
  <si>
    <t xml:space="preserve">HG ASIA  Neck pillow </t>
  </si>
  <si>
    <t>MBB zahid</t>
  </si>
  <si>
    <t>MBB Good Luck</t>
  </si>
  <si>
    <t>MBB Bagtwobag</t>
  </si>
  <si>
    <t>Hairul</t>
  </si>
  <si>
    <t>TR Management</t>
  </si>
  <si>
    <t>MBB ATN HOME TEX</t>
  </si>
  <si>
    <t>MBB Trademart</t>
  </si>
  <si>
    <t>ESW Oct Rental</t>
  </si>
  <si>
    <t xml:space="preserve">cargo </t>
  </si>
  <si>
    <t xml:space="preserve">PAYMENT FOR RAED </t>
  </si>
  <si>
    <t>MAZDA+ TOYOTA</t>
  </si>
  <si>
    <t>EDEN 66A</t>
  </si>
  <si>
    <t xml:space="preserve">BSN Loan </t>
  </si>
  <si>
    <t xml:space="preserve">CHEQUE PROCESSING FEE </t>
  </si>
  <si>
    <t>MBB Sale Bazar</t>
  </si>
  <si>
    <t xml:space="preserve">VALID APT </t>
  </si>
  <si>
    <t xml:space="preserve">LOAN </t>
  </si>
  <si>
    <t xml:space="preserve">ESI RENTAL OF NOV </t>
  </si>
  <si>
    <t>SME LOAN STAMMP</t>
  </si>
  <si>
    <t xml:space="preserve">NAZARI </t>
  </si>
  <si>
    <t>Segi Astana +putrajaya</t>
  </si>
  <si>
    <t xml:space="preserve">Salary NOV </t>
  </si>
  <si>
    <t>Ehub 2nd  paument</t>
  </si>
  <si>
    <t>MBB KLTS 89/2</t>
  </si>
  <si>
    <t>B&amp;S NAZRI</t>
  </si>
  <si>
    <t xml:space="preserve">Salary +supply </t>
  </si>
  <si>
    <t>Hamid Visa</t>
  </si>
  <si>
    <t xml:space="preserve">Segi Astana </t>
  </si>
  <si>
    <t xml:space="preserve">ESW RENTAL OF NOV </t>
  </si>
  <si>
    <t>Dawn</t>
  </si>
  <si>
    <t xml:space="preserve">Salary supply </t>
  </si>
  <si>
    <t>MBB AMODA 8</t>
  </si>
  <si>
    <t xml:space="preserve">VAN </t>
  </si>
  <si>
    <t xml:space="preserve">Transfer to Iran </t>
  </si>
  <si>
    <t xml:space="preserve">HAMID APT </t>
  </si>
  <si>
    <t xml:space="preserve">Lorry </t>
  </si>
  <si>
    <t>Supply Aircond.</t>
  </si>
  <si>
    <t xml:space="preserve">J- Test paper </t>
  </si>
  <si>
    <t xml:space="preserve">Supply Cleaning </t>
  </si>
  <si>
    <t xml:space="preserve">NSU 85  TRADING </t>
  </si>
  <si>
    <t>AL RAWDAH</t>
  </si>
  <si>
    <t xml:space="preserve">MBB QUILL RENTAL </t>
  </si>
  <si>
    <t xml:space="preserve">Segi Astana +Me perfume </t>
  </si>
  <si>
    <t>Other</t>
  </si>
  <si>
    <t>OTHER</t>
  </si>
  <si>
    <t>Mazda, Laptop</t>
  </si>
  <si>
    <t>Shoping Bags</t>
  </si>
  <si>
    <t>Valid Visa</t>
  </si>
  <si>
    <t>Hossein zohrabimazrehshahi</t>
  </si>
  <si>
    <t>Hamid Apt Rental, Quill City Mall</t>
  </si>
  <si>
    <t>TOYOTA CAMERY</t>
  </si>
  <si>
    <t>TOWN SQUARE</t>
  </si>
  <si>
    <t>EPF AUG-DEC</t>
  </si>
  <si>
    <t>ESI AIR CON SERVICE</t>
  </si>
  <si>
    <t>Payment for RAED</t>
  </si>
  <si>
    <t>Local Salary+Abdull</t>
  </si>
  <si>
    <t>BSN loan</t>
  </si>
  <si>
    <t>Transport Mehdi</t>
  </si>
  <si>
    <t>MBB GLC, TRADMARK</t>
  </si>
  <si>
    <t>MBB SEGI ASTANA</t>
  </si>
  <si>
    <t>CHEQUE BOOK STAMPING FEE</t>
  </si>
  <si>
    <t>Test Paper</t>
  </si>
  <si>
    <t xml:space="preserve">MBB ARCH trading  </t>
  </si>
  <si>
    <t>VALID APT , SEGI ASTENA GLC,Promotion outstanding</t>
  </si>
  <si>
    <t>Agent Fee for Airport</t>
  </si>
  <si>
    <t>B&amp;S</t>
  </si>
  <si>
    <t>Putrajaya Rental</t>
  </si>
  <si>
    <t>Johoni Marketing</t>
  </si>
  <si>
    <t>OTHER, DBKL SUNGAI WANG</t>
  </si>
  <si>
    <t>Money exchange to Thailand</t>
  </si>
  <si>
    <t>Valid Visa, Other</t>
  </si>
  <si>
    <t>Townsquare</t>
  </si>
  <si>
    <t>Eden Salary, salary supply</t>
  </si>
  <si>
    <t>OTHER, Transfer To Iran</t>
  </si>
  <si>
    <t>Bergaya, Bergaya</t>
  </si>
  <si>
    <t>SEGI ASTANA SDN BHD (66A)</t>
  </si>
  <si>
    <t>Avance</t>
  </si>
  <si>
    <t>SALARY</t>
  </si>
  <si>
    <t>ESI RENTAL</t>
  </si>
  <si>
    <t>Valid Visa, Money exchange Charges</t>
  </si>
  <si>
    <t>Investment</t>
  </si>
  <si>
    <t>MBB SEGI ASTANA, VALID APT RENTAL</t>
  </si>
  <si>
    <t>LEND TO B&amp;S</t>
  </si>
  <si>
    <t xml:space="preserve"> Maybank loan</t>
  </si>
  <si>
    <t>ESW RENTAL</t>
  </si>
  <si>
    <t>Johoni paper bag, Johoni Marketing petty cash, Printing</t>
  </si>
  <si>
    <t>Cargo Dubai</t>
  </si>
  <si>
    <t>Raed</t>
  </si>
  <si>
    <t>ALMAS PERFUME</t>
  </si>
  <si>
    <t>ZAHID JB, CHOCOLATE JB</t>
  </si>
  <si>
    <t>TRADE MART MARKETING</t>
  </si>
  <si>
    <t>Yara candy</t>
  </si>
  <si>
    <t>Salary Eden SI</t>
  </si>
  <si>
    <t>Eden shopping bag,Johoni marketing petty cash</t>
  </si>
  <si>
    <t>Check book stamping fee+Financial Expenses</t>
  </si>
  <si>
    <t>AL RAWDAH RESOURCES</t>
  </si>
  <si>
    <t>QUILL CITY MALL</t>
  </si>
  <si>
    <t>Eden Test Paper, Johoni printing</t>
  </si>
  <si>
    <t>FERNTEA (MALAYSIA)</t>
  </si>
  <si>
    <t>ARCH TRADING</t>
  </si>
  <si>
    <t>LOKMAH</t>
  </si>
  <si>
    <t>Motorbike rental</t>
  </si>
  <si>
    <t>Denzel perfume payment Profit on credit sales</t>
  </si>
  <si>
    <t>Eden test paper</t>
  </si>
  <si>
    <t>Salary+johoni marketing salary</t>
  </si>
  <si>
    <t>Salary outstanding Fiaz</t>
  </si>
  <si>
    <t>AMODA88</t>
  </si>
  <si>
    <t>Cheque stoppage fee+Financial Expenses</t>
  </si>
  <si>
    <t>Chocolate Shop JB Renovation+Johoni JB Logo design (Wording)</t>
  </si>
  <si>
    <t>Security deposit</t>
  </si>
  <si>
    <t>Other+Transfer to iran</t>
  </si>
  <si>
    <t>EDEN</t>
  </si>
  <si>
    <t>Cheque return fee+Financial Expenses</t>
  </si>
  <si>
    <t>Printing Johoni</t>
  </si>
  <si>
    <t>CHOCOLATE JB SECURITY DEPOSIT</t>
  </si>
  <si>
    <t>BIG APPLE ALLIANCE SDN BHD</t>
  </si>
  <si>
    <t>Cheque clearance for new shawerma deposit</t>
  </si>
  <si>
    <t>JAYA JEANS ESW</t>
  </si>
  <si>
    <t>BAGTWOBAG</t>
  </si>
  <si>
    <t>MBB SEGI ASTANA+ESI Partial Rental of Jan 2025</t>
  </si>
  <si>
    <t>Cheque charges+Cheque processing fee+Maybank Loan</t>
  </si>
  <si>
    <t>BERGAYA</t>
  </si>
  <si>
    <t>CAR RENTAL</t>
  </si>
  <si>
    <t>JQ Rental</t>
  </si>
  <si>
    <t>Other+Shawerma deposit</t>
  </si>
  <si>
    <t>Local Salary</t>
  </si>
  <si>
    <t>VALID APT RENTAL</t>
  </si>
  <si>
    <t>Other+New Shawarma Utilities registration</t>
  </si>
  <si>
    <t>Accounting Software</t>
  </si>
  <si>
    <t>Completion of Jan 2025+Eden SW Jan rental</t>
  </si>
  <si>
    <t>Eden shopping bag</t>
  </si>
  <si>
    <t>Salary+Lokmah Salary</t>
  </si>
  <si>
    <t>Hamid's Apt Rental</t>
  </si>
  <si>
    <t>Mazda &amp; Laptop instalment+Financial Expense</t>
  </si>
  <si>
    <t>Tamay host renewal</t>
  </si>
  <si>
    <t>Zhenly</t>
  </si>
  <si>
    <t>Partial payment AL Rowda Yara candy+Town Square</t>
  </si>
  <si>
    <t>Printing SW+johoni marketing</t>
  </si>
  <si>
    <t>Salary+Salary</t>
  </si>
  <si>
    <t>AMODA</t>
  </si>
  <si>
    <t>Other+Goods to JB + Riaz Expesnes towards JB</t>
  </si>
  <si>
    <t>ESI TRANSPORT TO WH</t>
  </si>
  <si>
    <t>Other+Lend to Lokmah shawerma</t>
  </si>
  <si>
    <t>Motorbike renta</t>
  </si>
  <si>
    <t>Arch trading cheque Me perfume</t>
  </si>
  <si>
    <t>TNB</t>
  </si>
  <si>
    <t>Rana Mohammad Ashraf Outstanding</t>
  </si>
  <si>
    <t>Purchase bag for Tamay</t>
  </si>
  <si>
    <t>Other+Transfer to iran+Price stand for chocolate JB</t>
  </si>
  <si>
    <t>RAMANATHAN &amp; ASSOCIATES+Eden credit purchase payment Cheque</t>
  </si>
  <si>
    <t>Other+Putrajaya holding booking fee</t>
  </si>
  <si>
    <t xml:space="preserve">Airport rental outsourcing </t>
  </si>
  <si>
    <t>Other+Gilasco chocolate packing</t>
  </si>
  <si>
    <t>Zahid Johoni JB</t>
  </si>
  <si>
    <t>Flight ticket</t>
  </si>
  <si>
    <t>Chocolate JB printing</t>
  </si>
  <si>
    <t>Camery car service</t>
  </si>
  <si>
    <t>Mukhtar</t>
  </si>
  <si>
    <t>Maybank loan+Financial Expenses</t>
  </si>
  <si>
    <t>Perfume sample from dubai</t>
  </si>
  <si>
    <t>EPF</t>
  </si>
  <si>
    <t>Rental SW - Feb</t>
  </si>
  <si>
    <t>Toyota+BSN Loan+Financial Expenses</t>
  </si>
  <si>
    <t>Lend to bergaya</t>
  </si>
  <si>
    <t>Laptop and Mazda+Financial Expenses</t>
  </si>
  <si>
    <t>Abdullah Visa</t>
  </si>
  <si>
    <t>My town Insurance</t>
  </si>
  <si>
    <t>Lend to Bergaya</t>
  </si>
  <si>
    <t>Me perfume Dismantling</t>
  </si>
  <si>
    <t>Motorbike Rental</t>
  </si>
  <si>
    <t>Printing Dubai chocolate</t>
  </si>
  <si>
    <t>AMODA 88</t>
  </si>
  <si>
    <t>Other+Zahid Me Perfume</t>
  </si>
  <si>
    <t>RAMANATHAN CHEQUE PAID ONLINE</t>
  </si>
  <si>
    <t>MBB ZAHID PARVAIZ</t>
  </si>
  <si>
    <t>Transport</t>
  </si>
  <si>
    <t>Domain Renewal Tamayshoes.com Tamay group.com</t>
  </si>
  <si>
    <t>Bagtwobag cheque</t>
  </si>
  <si>
    <t>Holipah CIMB</t>
  </si>
  <si>
    <t>Ahmad Faiz Loan</t>
  </si>
  <si>
    <t>JOhoni Quiil Rental+ESW Rental</t>
  </si>
  <si>
    <t xml:space="preserve">Other </t>
  </si>
  <si>
    <t>ASCEND DYNAMIC ADVISORY SB</t>
  </si>
  <si>
    <t>Holipah CIMB+LIFESTYLE ACCESSORIE LEND TO BERGAYA</t>
  </si>
  <si>
    <t>MBB ALMAS TRADING</t>
  </si>
  <si>
    <t>Zahid Gilasco JB Renovation</t>
  </si>
  <si>
    <t>Maybank Loan</t>
  </si>
  <si>
    <t>Dubai cargo payment and custom clearance</t>
  </si>
  <si>
    <t>Salary+Salary+Salary</t>
  </si>
  <si>
    <t>ZEEN EBRAHIM</t>
  </si>
  <si>
    <t>BSN LOAN</t>
  </si>
  <si>
    <t>A Part of Gilasco JB renovation payment</t>
  </si>
  <si>
    <t>HAMID APT RENTAL+CAMERY RENTAL</t>
  </si>
  <si>
    <t>SalaryS+Salary+Salary</t>
  </si>
  <si>
    <t>Holipah BSN insurance</t>
  </si>
  <si>
    <t>TAJALWAQAR BILL TO BILL</t>
  </si>
  <si>
    <t>MAZDA &amp;LAPTOP</t>
  </si>
  <si>
    <t>Flight Ticket</t>
  </si>
  <si>
    <t>GILASCO RENTAL SEGI  ASTANA</t>
  </si>
  <si>
    <t>SEGI ASTANA GILASCO RENTAL</t>
  </si>
  <si>
    <t>GILASCO RENTAL SEGI  ASTANA+JOHONI JB</t>
  </si>
  <si>
    <t>Senai Airport, Gilasco Rental</t>
  </si>
  <si>
    <t>Travel+Travel+Hamid Visa</t>
  </si>
  <si>
    <t>HAMID APT RENTAL</t>
  </si>
  <si>
    <t>LENT TO BERGAYA</t>
  </si>
  <si>
    <t>SENAIAIRPORT (GILASCO)</t>
  </si>
  <si>
    <t>CAMERY RENTAL+MAYBANK LOAD+BSN LOAND</t>
  </si>
  <si>
    <t>Hamid's Visa</t>
  </si>
  <si>
    <t>JOhoni Quiil Rental</t>
  </si>
  <si>
    <t>JOHONI JB Rental+ESW RENTAL+Valid Apartment</t>
  </si>
  <si>
    <t>Local Staffs</t>
  </si>
  <si>
    <t>Hamid's Apartment Rental</t>
  </si>
  <si>
    <t>MAZDA AND LABTOP</t>
  </si>
  <si>
    <t>Deposit for wiring in new shawerma</t>
  </si>
  <si>
    <t xml:space="preserve">ZEEN IBRAHIM </t>
  </si>
  <si>
    <t xml:space="preserve">AMODA 88 </t>
  </si>
  <si>
    <t>Gilasco Rental</t>
  </si>
  <si>
    <t>SENAIAIRPORT (JOHONI)</t>
  </si>
  <si>
    <t>Moterbike Rental</t>
  </si>
  <si>
    <t>Other+Refund</t>
  </si>
  <si>
    <t>A Part of Gilasco JB renovation payment+Gilasco domain &amp; hosting Renewal</t>
  </si>
  <si>
    <t>Gilasco Rental+Quill New contract fee</t>
  </si>
  <si>
    <t>Credit Card</t>
  </si>
  <si>
    <t>Zahid, A Part of Gilasco JB renovation payment</t>
  </si>
  <si>
    <t>Credit Card Repayment</t>
  </si>
  <si>
    <t>VISA</t>
  </si>
  <si>
    <t>Other+Credit card payment</t>
  </si>
  <si>
    <t>Insurance for dismantling EDEN 66A</t>
  </si>
  <si>
    <t>Plastic bags for Gilasco products packing</t>
  </si>
  <si>
    <t>Senai Airport utility and revenue sharing</t>
  </si>
  <si>
    <t>Dismantling EDEN &amp; GILSCO KLIA2</t>
  </si>
  <si>
    <t>Booking fee for new car</t>
  </si>
  <si>
    <t>Transport KLIA2 to warehouse</t>
  </si>
  <si>
    <t>WH</t>
  </si>
  <si>
    <t>Dismantling Eden &amp; Gilasco KLIA2</t>
  </si>
  <si>
    <t>Salary+salary</t>
  </si>
  <si>
    <t>JQ Rental June</t>
  </si>
  <si>
    <t>Zahid A Part of Gilasco JB renovation payment</t>
  </si>
  <si>
    <t>Holipah Auto debit monthly Insurance</t>
  </si>
  <si>
    <t>Revenue sharing</t>
  </si>
  <si>
    <t>Other+domain renew</t>
  </si>
  <si>
    <t>Other+fanoosrestaurnat domain</t>
  </si>
  <si>
    <t>SENAI AIRPORT TERMIN</t>
  </si>
  <si>
    <t>Credit card top up</t>
  </si>
  <si>
    <t>New car upfront paymen</t>
  </si>
  <si>
    <t>SENAI AIRPORT</t>
  </si>
  <si>
    <t>SHOP RENTAL ( Senga wang plaza )</t>
  </si>
  <si>
    <t xml:space="preserve"> ( invested by investor )</t>
  </si>
  <si>
    <t>SHOP RENTAL</t>
  </si>
  <si>
    <t>SENAI AIRPORT, CAR MAINTENANCE ( MR HAMID'S CAR )</t>
  </si>
  <si>
    <t>Cheque processing fee</t>
  </si>
  <si>
    <t>Bank charges</t>
  </si>
  <si>
    <t>Cheque return fee</t>
  </si>
  <si>
    <t>cheque book stamping fee</t>
  </si>
  <si>
    <t>Financial expenses</t>
  </si>
  <si>
    <t>cash widthrawl fee</t>
  </si>
  <si>
    <t>labtop</t>
  </si>
  <si>
    <t>toyota camery</t>
  </si>
  <si>
    <t>motor bike</t>
  </si>
  <si>
    <t>mazda</t>
  </si>
  <si>
    <t>Loan and financing</t>
  </si>
  <si>
    <t>maybank loan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</si>
</sst>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(* #,##0.00_);_(* \(#,##0.00\);_(* &quot;-&quot;??_);_(@_)"/>
    <numFmt numFmtId="166" formatCode="#,##0.0"/>
    <numFmt numFmtId="167" formatCode="[$MYR]\ #,##0.00"/>
  </numFmts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7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E4F6F5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FBF9"/>
        <bgColor rgb="FFFFFFFF"/>
      </patternFill>
    </fill>
    <fill>
      <patternFill patternType="solid">
        <fgColor rgb="FFD0CECE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29B95C"/>
        <bgColor rgb="FFFFFFFF"/>
      </patternFill>
    </fill>
    <fill>
      <patternFill patternType="solid">
        <fgColor rgb="FFF4B184"/>
        <bgColor rgb="FFFFFFFF"/>
      </patternFill>
    </fill>
    <fill>
      <patternFill patternType="solid">
        <fgColor rgb="FFC5E0B4"/>
        <bgColor rgb="FFFFFFFF"/>
      </patternFill>
    </fill>
  </fills>
  <borders count="1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19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0" numFmtId="164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14" fillId="0" borderId="2" applyFont="0" applyNumberFormat="1" applyFill="0" applyBorder="1" applyAlignment="0"/>
    <xf xfId="0" fontId="0" numFmtId="164" fillId="2" borderId="2" applyFont="0" applyNumberFormat="1" applyFill="1" applyBorder="1" applyAlignment="0"/>
    <xf xfId="0" fontId="0" numFmtId="165" fillId="2" borderId="1" applyFont="0" applyNumberFormat="1" applyFill="1" applyBorder="1" applyAlignment="0"/>
    <xf xfId="0" fontId="0" numFmtId="0" fillId="3" borderId="0" applyFont="0" applyNumberFormat="0" applyFill="1" applyBorder="0" applyAlignment="0"/>
    <xf xfId="0" fontId="0" numFmtId="14" fillId="4" borderId="1" applyFont="0" applyNumberFormat="1" applyFill="1" applyBorder="1" applyAlignment="0"/>
    <xf xfId="0" fontId="0" numFmtId="164" fillId="4" borderId="1" applyFont="0" applyNumberFormat="1" applyFill="1" applyBorder="1" applyAlignment="0"/>
    <xf xfId="0" fontId="0" numFmtId="3" fillId="4" borderId="1" applyFont="0" applyNumberFormat="1" applyFill="1" applyBorder="1" applyAlignment="0"/>
    <xf xfId="0" fontId="0" numFmtId="0" fillId="4" borderId="0" applyFont="0" applyNumberFormat="0" applyFill="1" applyBorder="0" applyAlignment="0"/>
    <xf xfId="0" fontId="0" numFmtId="0" fillId="4" borderId="1" applyFont="0" applyNumberFormat="0" applyFill="1" applyBorder="1" applyAlignment="0"/>
    <xf xfId="0" fontId="0" numFmtId="165" fillId="4" borderId="1" applyFont="0" applyNumberFormat="1" applyFill="1" applyBorder="1" applyAlignment="0"/>
    <xf xfId="0" fontId="0" numFmtId="164" fillId="4" borderId="0" applyFont="0" applyNumberFormat="1" applyFill="1" applyBorder="0" applyAlignment="0"/>
    <xf xfId="0" fontId="0" numFmtId="14" fillId="0" borderId="0" applyFont="0" applyNumberFormat="1" applyFill="0" applyBorder="0" applyAlignment="0"/>
    <xf xfId="0" fontId="0" numFmtId="165" fillId="2" borderId="2" applyFont="0" applyNumberFormat="1" applyFill="1" applyBorder="1" applyAlignment="0"/>
    <xf xfId="0" fontId="0" numFmtId="14" fillId="0" borderId="3" applyFont="0" applyNumberFormat="1" applyFill="0" applyBorder="1" applyAlignment="0"/>
    <xf xfId="0" fontId="0" numFmtId="14" fillId="4" borderId="3" applyFont="0" applyNumberFormat="1" applyFill="1" applyBorder="1" applyAlignment="0"/>
    <xf xfId="0" fontId="0" numFmtId="14" fillId="0" borderId="4" applyFont="0" applyNumberFormat="1" applyFill="0" applyBorder="1" applyAlignment="0"/>
    <xf xfId="0" fontId="0" numFmtId="1" fillId="0" borderId="0" applyFont="0" applyNumberFormat="1" applyFill="0" applyBorder="0" applyAlignment="0"/>
    <xf xfId="0" fontId="0" numFmtId="165" fillId="4" borderId="2" applyFont="0" applyNumberFormat="1" applyFill="1" applyBorder="1" applyAlignment="0"/>
    <xf xfId="0" fontId="0" numFmtId="165" fillId="5" borderId="2" applyFont="0" applyNumberFormat="1" applyFill="1" applyBorder="1" applyAlignment="0"/>
    <xf xfId="0" fontId="0" numFmtId="164" fillId="5" borderId="2" applyFont="0" applyNumberFormat="1" applyFill="1" applyBorder="1" applyAlignment="0"/>
    <xf xfId="0" fontId="0" numFmtId="164" fillId="4" borderId="2" applyFont="0" applyNumberFormat="1" applyFill="1" applyBorder="1" applyAlignment="0"/>
    <xf xfId="0" fontId="0" numFmtId="164" fillId="4" borderId="5" applyFont="0" applyNumberFormat="1" applyFill="1" applyBorder="1" applyAlignment="0"/>
    <xf xfId="0" fontId="0" numFmtId="164" fillId="6" borderId="1" applyFont="0" applyNumberFormat="1" applyFill="1" applyBorder="1" applyAlignment="0"/>
    <xf xfId="0" fontId="0" numFmtId="14" fillId="4" borderId="5" applyFont="0" applyNumberFormat="1" applyFill="1" applyBorder="1" applyAlignment="0"/>
    <xf xfId="0" fontId="0" numFmtId="1" fillId="4" borderId="0" applyFont="0" applyNumberFormat="1" applyFill="1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/>
    <xf xfId="0" fontId="0" numFmtId="164" fillId="7" borderId="2" applyFont="0" applyNumberFormat="1" applyFill="1" applyBorder="1" applyAlignment="0"/>
    <xf xfId="0" fontId="0" numFmtId="164" fillId="4" borderId="6" applyFont="0" applyNumberFormat="1" applyFill="1" applyBorder="1" applyAlignment="0"/>
    <xf xfId="0" fontId="0" numFmtId="4" fillId="0" borderId="0" applyFont="0" applyNumberFormat="1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14" fillId="2" borderId="1" applyFont="0" applyNumberFormat="1" applyFill="1" applyBorder="1" applyAlignment="0"/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  <xf xfId="0" fontId="0" numFmtId="164" fillId="2" borderId="5" applyFont="0" applyNumberFormat="1" applyFill="1" applyBorder="1" applyAlignment="0"/>
    <xf xfId="0" fontId="0" numFmtId="164" fillId="2" borderId="0" applyFont="0" applyNumberFormat="1" applyFill="1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165" fillId="8" borderId="2" applyFont="0" applyNumberFormat="1" applyFill="1" applyBorder="1" applyAlignment="0"/>
    <xf xfId="0" fontId="0" numFmtId="165" fillId="8" borderId="1" applyFont="0" applyNumberFormat="1" applyFill="1" applyBorder="1" applyAlignment="0"/>
    <xf xfId="0" fontId="0" numFmtId="164" fillId="8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14" fillId="2" borderId="1" applyFont="0" applyNumberFormat="1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center" vertical="bottom" textRotation="0" wrapText="false" shrinkToFit="false"/>
    </xf>
    <xf xfId="0" fontId="0" numFmtId="164" fillId="4" borderId="1" applyFont="0" applyNumberFormat="1" applyFill="1" applyBorder="1" applyAlignment="1">
      <alignment horizontal="center" vertical="bottom" textRotation="0" wrapText="false" shrinkToFit="false"/>
    </xf>
    <xf xfId="0" fontId="0" numFmtId="14" fillId="4" borderId="1" applyFont="0" applyNumberFormat="1" applyFill="1" applyBorder="1" applyAlignment="1">
      <alignment horizontal="center" vertical="bottom" textRotation="0" wrapText="false" shrinkToFit="false"/>
    </xf>
    <xf xfId="0" fontId="0" numFmtId="164" fillId="2" borderId="3" applyFont="0" applyNumberFormat="1" applyFill="1" applyBorder="1" applyAlignment="0"/>
    <xf xfId="0" fontId="0" numFmtId="164" fillId="2" borderId="4" applyFont="0" applyNumberFormat="1" applyFill="1" applyBorder="1" applyAlignment="0"/>
    <xf xfId="0" fontId="0" numFmtId="164" fillId="4" borderId="3" applyFont="0" applyNumberFormat="1" applyFill="1" applyBorder="1" applyAlignment="0"/>
    <xf xfId="0" fontId="0" numFmtId="164" fillId="9" borderId="3" applyFont="0" applyNumberFormat="1" applyFill="1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0" numFmtId="1" fillId="0" borderId="8" applyFont="0" applyNumberFormat="1" applyFill="0" applyBorder="1" applyAlignment="1">
      <alignment horizontal="center" vertical="bottom" textRotation="0" wrapText="false" shrinkToFit="false"/>
    </xf>
    <xf xfId="0" fontId="0" numFmtId="1" fillId="4" borderId="8" applyFont="0" applyNumberFormat="1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3" numFmtId="164" fillId="4" borderId="5" applyFont="1" applyNumberFormat="1" applyFill="1" applyBorder="1" applyAlignment="0"/>
    <xf xfId="0" fontId="3" numFmtId="0" fillId="2" borderId="1" applyFont="1" applyNumberFormat="0" applyFill="1" applyBorder="1" applyAlignment="0"/>
    <xf xfId="0" fontId="3" numFmtId="164" fillId="2" borderId="5" applyFont="1" applyNumberFormat="1" applyFill="1" applyBorder="1" applyAlignment="0"/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8" applyFont="0" applyNumberFormat="1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164" fillId="0" borderId="8" applyFont="0" applyNumberFormat="1" applyFill="0" applyBorder="1" applyAlignment="0"/>
    <xf xfId="0" fontId="0" numFmtId="0" fillId="0" borderId="8" applyFont="0" applyNumberFormat="0" applyFill="0" applyBorder="1" applyAlignment="0"/>
    <xf xfId="0" fontId="0" numFmtId="164" fillId="4" borderId="8" applyFont="0" applyNumberFormat="1" applyFill="1" applyBorder="1" applyAlignment="0"/>
    <xf xfId="0" fontId="0" numFmtId="0" fillId="4" borderId="8" applyFont="0" applyNumberFormat="0" applyFill="1" applyBorder="1" applyAlignment="0"/>
    <xf xfId="0" fontId="0" numFmtId="164" fillId="4" borderId="0" applyFont="0" applyNumberFormat="1" applyFill="1" applyBorder="0" applyAlignment="1">
      <alignment horizontal="center" vertical="bottom" textRotation="0" wrapText="false" shrinkToFit="false"/>
    </xf>
    <xf xfId="0" fontId="0" numFmtId="164" fillId="6" borderId="1" applyFont="0" applyNumberFormat="1" applyFill="1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/>
    <xf xfId="0" fontId="0" numFmtId="0" fillId="11" borderId="7" applyFont="0" applyNumberFormat="0" applyFill="1" applyBorder="1" applyAlignment="1">
      <alignment horizontal="center" vertical="center" textRotation="0" wrapText="true" shrinkToFit="false"/>
    </xf>
    <xf xfId="0" fontId="0" numFmtId="0" fillId="11" borderId="2" applyFont="0" applyNumberFormat="0" applyFill="1" applyBorder="1" applyAlignment="1">
      <alignment horizontal="center" vertical="center" textRotation="0" wrapText="false" shrinkToFit="false"/>
    </xf>
    <xf xfId="0" fontId="0" numFmtId="0" fillId="11" borderId="1" applyFont="0" applyNumberFormat="0" applyFill="1" applyBorder="1" applyAlignment="1">
      <alignment horizontal="center" vertical="center" textRotation="0" wrapText="true" shrinkToFit="false"/>
    </xf>
    <xf xfId="0" fontId="4" numFmtId="165" fillId="2" borderId="1" applyFont="1" applyNumberFormat="1" applyFill="1" applyBorder="1" applyAlignment="0"/>
    <xf xfId="0" fontId="4" numFmtId="165" fillId="2" borderId="1" applyFont="1" applyNumberFormat="1" applyFill="1" applyBorder="1" applyAlignment="1">
      <alignment horizontal="left" vertical="bottom" textRotation="0" wrapText="false" shrinkToFit="false"/>
    </xf>
    <xf xfId="0" fontId="0" numFmtId="0" fillId="12" borderId="7" applyFont="0" applyNumberFormat="0" applyFill="1" applyBorder="1" applyAlignment="1">
      <alignment horizontal="center" vertical="center" textRotation="0" wrapText="true" shrinkToFit="false"/>
    </xf>
    <xf xfId="0" fontId="0" numFmtId="0" fillId="12" borderId="2" applyFont="0" applyNumberFormat="0" applyFill="1" applyBorder="1" applyAlignment="1">
      <alignment horizontal="center" vertical="center" textRotation="0" wrapText="false" shrinkToFit="false"/>
    </xf>
    <xf xfId="0" fontId="0" numFmtId="0" fillId="12" borderId="1" applyFont="0" applyNumberFormat="0" applyFill="1" applyBorder="1" applyAlignment="1">
      <alignment horizontal="center" vertical="center" textRotation="0" wrapText="true" shrinkToFit="false"/>
    </xf>
    <xf xfId="0" fontId="0" numFmtId="165" fillId="13" borderId="1" applyFont="0" applyNumberFormat="1" applyFill="1" applyBorder="1" applyAlignment="0"/>
    <xf xfId="0" fontId="0" numFmtId="164" fillId="2" borderId="1" applyFont="0" applyNumberFormat="1" applyFill="1" applyBorder="1" applyAlignment="1">
      <alignment horizontal="left" vertical="bottom" textRotation="0" wrapText="false" shrinkToFit="false"/>
    </xf>
    <xf xfId="0" fontId="0" numFmtId="164" fillId="10" borderId="1" applyFont="0" applyNumberFormat="1" applyFill="1" applyBorder="1" applyAlignment="0"/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14" fillId="0" borderId="6" applyFont="0" applyNumberFormat="1" applyFill="0" applyBorder="1" applyAlignment="1">
      <alignment horizontal="right" vertical="bottom" textRotation="0" wrapText="false" shrinkToFit="false"/>
    </xf>
    <xf xfId="0" fontId="0" numFmtId="164" fillId="2" borderId="10" applyFont="0" applyNumberFormat="1" applyFill="1" applyBorder="1" applyAlignment="1">
      <alignment horizontal="right" vertical="bottom" textRotation="0" wrapText="false" shrinkToFit="false"/>
    </xf>
    <xf xfId="0" fontId="0" numFmtId="14" fillId="0" borderId="2" applyFont="0" applyNumberFormat="1" applyFill="0" applyBorder="1" applyAlignment="1">
      <alignment horizontal="right" vertical="bottom" textRotation="0" wrapText="false" shrinkToFit="false"/>
    </xf>
    <xf xfId="0" fontId="0" numFmtId="164" fillId="2" borderId="4" applyFont="0" applyNumberFormat="1" applyFill="1" applyBorder="1" applyAlignment="1">
      <alignment horizontal="right" vertical="bottom" textRotation="0" wrapText="false" shrinkToFit="false"/>
    </xf>
    <xf xfId="0" fontId="0" numFmtId="14" fillId="0" borderId="8" applyFont="0" applyNumberFormat="1" applyFill="0" applyBorder="1" applyAlignment="1">
      <alignment horizontal="right" vertical="bottom" textRotation="0" wrapText="false" shrinkToFit="false"/>
    </xf>
    <xf xfId="0" fontId="0" numFmtId="164" fillId="2" borderId="8" applyFont="0" applyNumberFormat="1" applyFill="1" applyBorder="1" applyAlignment="1">
      <alignment horizontal="right" vertical="bottom" textRotation="0" wrapText="false" shrinkToFit="false"/>
    </xf>
    <xf xfId="0" fontId="0" numFmtId="0" fillId="14" borderId="0" applyFont="0" applyNumberFormat="0" applyFill="1" applyBorder="0" applyAlignment="0"/>
    <xf xfId="0" fontId="0" numFmtId="14" fillId="14" borderId="1" applyFont="0" applyNumberFormat="1" applyFill="1" applyBorder="1" applyAlignment="0"/>
    <xf xfId="0" fontId="0" numFmtId="14" fillId="14" borderId="1" applyFont="0" applyNumberFormat="1" applyFill="1" applyBorder="1" applyAlignment="1">
      <alignment horizontal="center" vertical="bottom" textRotation="0" wrapText="false" shrinkToFit="false"/>
    </xf>
    <xf xfId="0" fontId="0" numFmtId="164" fillId="14" borderId="1" applyFont="0" applyNumberFormat="1" applyFill="1" applyBorder="1" applyAlignment="0"/>
    <xf xfId="0" fontId="0" numFmtId="3" fillId="14" borderId="1" applyFont="0" applyNumberFormat="1" applyFill="1" applyBorder="1" applyAlignment="0"/>
    <xf xfId="0" fontId="0" numFmtId="164" fillId="14" borderId="2" applyFont="0" applyNumberFormat="1" applyFill="1" applyBorder="1" applyAlignment="0"/>
    <xf xfId="0" fontId="0" numFmtId="164" fillId="14" borderId="1" applyFont="0" applyNumberFormat="1" applyFill="1" applyBorder="1" applyAlignment="1">
      <alignment horizontal="center" vertical="bottom" textRotation="0" wrapText="false" shrinkToFit="false"/>
    </xf>
    <xf xfId="0" fontId="0" numFmtId="14" fillId="14" borderId="3" applyFont="0" applyNumberFormat="1" applyFill="1" applyBorder="1" applyAlignment="0"/>
    <xf xfId="0" fontId="0" numFmtId="0" fillId="14" borderId="1" applyFont="0" applyNumberFormat="0" applyFill="1" applyBorder="1" applyAlignment="0"/>
    <xf xfId="0" fontId="0" numFmtId="165" fillId="14" borderId="1" applyFont="0" applyNumberFormat="1" applyFill="1" applyBorder="1" applyAlignment="0"/>
    <xf xfId="0" fontId="0" numFmtId="165" fillId="14" borderId="2" applyFont="0" applyNumberFormat="1" applyFill="1" applyBorder="1" applyAlignment="0"/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164" fillId="4" borderId="8" applyFont="0" applyNumberFormat="1" applyFill="1" applyBorder="1" applyAlignment="1">
      <alignment horizontal="right" vertical="bottom" textRotation="0" wrapText="false" shrinkToFit="false"/>
    </xf>
    <xf xfId="0" fontId="0" numFmtId="164" fillId="13" borderId="1" applyFont="0" applyNumberFormat="1" applyFill="1" applyBorder="1" applyAlignment="0"/>
    <xf xfId="0" fontId="0" numFmtId="0" fillId="15" borderId="1" applyFont="0" applyNumberFormat="0" applyFill="1" applyBorder="1" applyAlignment="0"/>
    <xf xfId="0" fontId="0" numFmtId="4" fillId="4" borderId="0" applyFont="0" applyNumberFormat="1" applyFill="1" applyBorder="0" applyAlignment="1">
      <alignment horizontal="center" vertical="bottom" textRotation="0" wrapText="false" shrinkToFit="false"/>
    </xf>
    <xf xfId="0" fontId="0" numFmtId="4" fillId="4" borderId="0" applyFont="0" applyNumberFormat="1" applyFill="1" applyBorder="0" applyAlignment="0"/>
    <xf xfId="0" fontId="0" numFmtId="166" fillId="0" borderId="0" applyFont="0" applyNumberFormat="1" applyFill="0" applyBorder="0" applyAlignment="0"/>
    <xf xfId="0" fontId="2" numFmtId="166" fillId="0" borderId="0" applyFont="1" applyNumberFormat="1" applyFill="0" applyBorder="0" applyAlignment="1">
      <alignment horizontal="center" vertical="center" textRotation="0" wrapText="true" shrinkToFit="false"/>
    </xf>
    <xf xfId="0" fontId="0" numFmtId="166" fillId="4" borderId="0" applyFont="0" applyNumberFormat="1" applyFill="1" applyBorder="0" applyAlignment="0"/>
    <xf xfId="0" fontId="0" numFmtId="166" fillId="2" borderId="1" applyFont="0" applyNumberFormat="1" applyFill="1" applyBorder="1" applyAlignment="0"/>
    <xf xfId="0" fontId="0" numFmtId="166" fillId="4" borderId="1" applyFont="0" applyNumberFormat="1" applyFill="1" applyBorder="1" applyAlignment="0"/>
    <xf xfId="0" fontId="0" numFmtId="166" fillId="14" borderId="1" applyFont="0" applyNumberFormat="1" applyFill="1" applyBorder="1" applyAlignment="0"/>
    <xf xfId="0" fontId="0" numFmtId="164" fillId="2" borderId="12" applyFont="0" applyNumberFormat="1" applyFill="1" applyBorder="1" applyAlignment="0"/>
    <xf xfId="0" fontId="0" numFmtId="164" fillId="7" borderId="7" applyFont="0" applyNumberFormat="1" applyFill="1" applyBorder="1" applyAlignment="0"/>
    <xf xfId="0" fontId="0" numFmtId="165" fillId="0" borderId="0" applyFont="0" applyNumberFormat="1" applyFill="0" applyBorder="0" applyAlignment="0"/>
    <xf xfId="0" fontId="0" numFmtId="2" fillId="2" borderId="1" applyFont="0" applyNumberFormat="1" applyFill="1" applyBorder="1" applyAlignment="1">
      <alignment horizontal="center" vertical="bottom" textRotation="0" wrapText="false" shrinkToFit="false"/>
    </xf>
    <xf xfId="0" fontId="0" numFmtId="16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11" borderId="13" applyFont="0" applyNumberFormat="0" applyFill="1" applyBorder="1" applyAlignment="1">
      <alignment horizontal="center" vertical="center" textRotation="0" wrapText="true" shrinkToFit="false"/>
    </xf>
    <xf xfId="0" fontId="0" numFmtId="0" fillId="11" borderId="6" applyFont="0" applyNumberFormat="0" applyFill="1" applyBorder="1" applyAlignment="1">
      <alignment horizontal="center" vertical="center" textRotation="0" wrapText="true" shrinkToFit="false"/>
    </xf>
    <xf xfId="0" fontId="0" numFmtId="0" fillId="11" borderId="2" applyFont="0" applyNumberFormat="0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12" borderId="13" applyFont="0" applyNumberFormat="0" applyFill="1" applyBorder="1" applyAlignment="1">
      <alignment horizontal="center" vertical="center" textRotation="0" wrapText="true" shrinkToFit="false"/>
    </xf>
    <xf xfId="0" fontId="0" numFmtId="0" fillId="11" borderId="13" applyFont="0" applyNumberFormat="0" applyFill="1" applyBorder="1" applyAlignment="1">
      <alignment horizontal="center" vertical="center" textRotation="0" wrapText="false" shrinkToFit="false"/>
    </xf>
    <xf xfId="0" fontId="0" numFmtId="0" fillId="11" borderId="10" applyFont="0" applyNumberFormat="0" applyFill="1" applyBorder="1" applyAlignment="1">
      <alignment horizontal="center" vertical="center" textRotation="0" wrapText="true" shrinkToFit="false"/>
    </xf>
    <xf xfId="0" fontId="0" numFmtId="0" fillId="11" borderId="4" applyFont="0" applyNumberFormat="0" applyFill="1" applyBorder="1" applyAlignment="1">
      <alignment horizontal="center" vertical="center" textRotation="0" wrapText="true" shrinkToFit="false"/>
    </xf>
    <xf xfId="0" fontId="0" numFmtId="0" fillId="12" borderId="0" applyFont="0" applyNumberFormat="0" applyFill="1" applyBorder="0" applyAlignment="1">
      <alignment horizontal="center" vertical="center" textRotation="0" wrapText="false" shrinkToFit="false"/>
    </xf>
    <xf xfId="0" fontId="0" numFmtId="0" fillId="12" borderId="10" applyFont="0" applyNumberFormat="0" applyFill="1" applyBorder="1" applyAlignment="1">
      <alignment horizontal="center" vertical="center" textRotation="0" wrapText="true" shrinkToFit="false"/>
    </xf>
    <xf xfId="0" fontId="0" numFmtId="0" fillId="12" borderId="4" applyFont="0" applyNumberFormat="0" applyFill="1" applyBorder="1" applyAlignment="1">
      <alignment horizontal="center" vertical="center" textRotation="0" wrapText="true" shrinkToFit="false"/>
    </xf>
    <xf xfId="0" fontId="0" numFmtId="0" fillId="12" borderId="6" applyFont="0" applyNumberFormat="0" applyFill="1" applyBorder="1" applyAlignment="1">
      <alignment horizontal="center" vertical="center" textRotation="0" wrapText="true" shrinkToFit="false"/>
    </xf>
    <xf xfId="0" fontId="0" numFmtId="0" fillId="12" borderId="2" applyFont="0" applyNumberFormat="0" applyFill="1" applyBorder="1" applyAlignment="1">
      <alignment horizontal="center" vertical="center" textRotation="0" wrapText="true" shrinkToFit="false"/>
    </xf>
    <xf xfId="0" fontId="0" numFmtId="0" fillId="12" borderId="6" applyFont="0" applyNumberFormat="0" applyFill="1" applyBorder="1" applyAlignment="1">
      <alignment horizontal="center" vertical="center" textRotation="0" wrapText="false" shrinkToFit="false"/>
    </xf>
    <xf xfId="0" fontId="0" numFmtId="0" fillId="12" borderId="13" applyFont="0" applyNumberFormat="0" applyFill="1" applyBorder="1" applyAlignment="1">
      <alignment horizontal="center" vertical="center" textRotation="0" wrapText="false" shrinkToFit="false"/>
    </xf>
    <xf xfId="0" fontId="0" numFmtId="166" fillId="12" borderId="6" applyFont="0" applyNumberFormat="1" applyFill="1" applyBorder="1" applyAlignment="1">
      <alignment horizontal="center" vertical="center" textRotation="0" wrapText="true" shrinkToFit="false"/>
    </xf>
    <xf xfId="0" fontId="0" numFmtId="166" fillId="12" borderId="2" applyFont="0" applyNumberFormat="1" applyFill="1" applyBorder="1" applyAlignment="1">
      <alignment horizontal="center" vertical="center" textRotation="0" wrapText="true" shrinkToFit="false"/>
    </xf>
    <xf xfId="0" fontId="0" numFmtId="0" fillId="12" borderId="14" applyFont="0" applyNumberFormat="0" applyFill="1" applyBorder="1" applyAlignment="1">
      <alignment horizontal="center" vertical="center" textRotation="0" wrapText="true" shrinkToFit="false"/>
    </xf>
    <xf xfId="0" fontId="0" numFmtId="0" fillId="12" borderId="15" applyFont="0" applyNumberFormat="0" applyFill="1" applyBorder="1" applyAlignment="1">
      <alignment horizontal="center" vertical="center" textRotation="0" wrapText="true" shrinkToFit="false"/>
    </xf>
    <xf xfId="0" fontId="0" numFmtId="0" fillId="11" borderId="14" applyFont="0" applyNumberFormat="0" applyFill="1" applyBorder="1" applyAlignment="1">
      <alignment horizontal="center" vertical="center" textRotation="0" wrapText="true" shrinkToFit="false"/>
    </xf>
    <xf xfId="0" fontId="0" numFmtId="0" fillId="11" borderId="15" applyFont="0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11" borderId="6" applyFont="0" applyNumberFormat="0" applyFill="1" applyBorder="1" applyAlignment="1">
      <alignment horizontal="center" vertical="center" textRotation="0" wrapText="true" shrinkToFit="false"/>
    </xf>
    <xf xfId="0" fontId="0" numFmtId="0" fillId="11" borderId="17" applyFont="0" applyNumberFormat="0" applyFill="1" applyBorder="1" applyAlignment="1">
      <alignment horizontal="center" vertical="center" textRotation="0" wrapText="true" shrinkToFit="false"/>
    </xf>
    <xf xfId="0" fontId="0" numFmtId="0" fillId="11" borderId="2" applyFont="0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3" borderId="17" applyFont="0" applyNumberFormat="0" applyFill="1" applyBorder="1" applyAlignment="1">
      <alignment horizontal="center" vertical="center" textRotation="0" wrapText="false" shrinkToFit="false"/>
    </xf>
    <xf xfId="0" fontId="0" numFmtId="0" fillId="11" borderId="6" applyFont="0" applyNumberFormat="0" applyFill="1" applyBorder="1" applyAlignment="1">
      <alignment horizontal="center" vertical="center" textRotation="0" wrapText="false" shrinkToFit="false"/>
    </xf>
    <xf xfId="0" fontId="0" numFmtId="0" fillId="11" borderId="17" applyFont="0" applyNumberFormat="0" applyFill="1" applyBorder="1" applyAlignment="1">
      <alignment horizontal="center" vertical="center" textRotation="0" wrapText="false" shrinkToFit="false"/>
    </xf>
    <xf xfId="0" fontId="0" numFmtId="0" fillId="11" borderId="2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center" vertical="center" textRotation="0" wrapText="false" shrinkToFit="false"/>
    </xf>
    <xf xfId="0" fontId="0" numFmtId="0" fillId="16" borderId="1" applyFont="0" applyNumberFormat="0" applyFill="1" applyBorder="1" applyAlignment="1">
      <alignment horizontal="center" vertical="center" textRotation="0" wrapText="false" shrinkToFit="false"/>
    </xf>
    <xf xfId="0" fontId="0" numFmtId="0" fillId="1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17" borderId="3" applyFont="0" applyNumberFormat="0" applyFill="1" applyBorder="1" applyAlignment="1">
      <alignment horizontal="center" vertical="center" textRotation="0" wrapText="false" shrinkToFit="false"/>
    </xf>
    <xf xfId="0" fontId="0" numFmtId="0" fillId="17" borderId="5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7"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  <dxf>
      <fill>
        <patternFill patternType="solid">
          <bgColor rgb="FFFFFF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222"/>
  <sheetViews>
    <sheetView tabSelected="1" workbookViewId="0" showGridLines="true" showRowColHeaders="1" topLeftCell="D1230">
      <selection activeCell="A865" sqref="A865:XFD1229"/>
    </sheetView>
  </sheetViews>
  <sheetFormatPr defaultRowHeight="14.4" defaultColWidth="8.5703125" outlineLevelRow="0" outlineLevelCol="0"/>
  <cols>
    <col min="1" max="1" width="0" hidden="true" customWidth="true" style="0"/>
    <col min="2" max="2" width="0" hidden="true" customWidth="true" style="0"/>
    <col min="3" max="3" width="3.7109375" hidden="true" customWidth="true" style="0"/>
    <col min="4" max="4" width="10.140625" customWidth="true" style="0"/>
    <col min="5" max="5" width="10.28515625" customWidth="true" style="0"/>
    <col min="6" max="6" width="13.28515625" customWidth="true" style="0"/>
    <col min="7" max="7" width="13.5703125" customWidth="true" style="49"/>
    <col min="8" max="8" width="10.140625" customWidth="true" style="0"/>
    <col min="9" max="9" width="21.5703125" customWidth="true" style="117"/>
    <col min="10" max="10" width="10.140625" customWidth="true" style="0"/>
    <col min="11" max="11" width="15" customWidth="true" style="0"/>
    <col min="12" max="12" width="66" customWidth="true" style="0"/>
    <col min="13" max="13" width="8.5703125" style="0"/>
    <col min="14" max="14" width="9" customWidth="true" style="0"/>
    <col min="15" max="15" width="10" customWidth="true" style="0"/>
    <col min="16" max="16" width="10.28515625" customWidth="true" style="9"/>
    <col min="17" max="17" width="10.28515625" customWidth="true" style="0"/>
    <col min="18" max="18" width="10.28515625" customWidth="true" style="0"/>
    <col min="19" max="19" width="13.7109375" customWidth="true" style="49"/>
    <col min="20" max="20" width="9.7109375" customWidth="true" style="0"/>
    <col min="21" max="21" width="10.42578125" customWidth="true" style="0"/>
    <col min="22" max="22" width="9.7109375" customWidth="true" style="0"/>
    <col min="23" max="23" width="16.5703125" customWidth="true" style="0"/>
    <col min="24" max="24" width="44.7109375" customWidth="true" style="0"/>
    <col min="25" max="25" width="9.140625" customWidth="true" style="1"/>
    <col min="26" max="26" width="9.5703125" customWidth="true" style="1"/>
    <col min="27" max="27" width="12.42578125" customWidth="true" style="49"/>
    <col min="28" max="28" width="10.7109375" customWidth="true" style="9"/>
    <col min="29" max="29" width="10.7109375" customWidth="true" style="0"/>
    <col min="30" max="30" width="11.7109375" customWidth="true" style="0"/>
    <col min="31" max="31" width="10.7109375" customWidth="true" style="0"/>
    <col min="32" max="32" width="9.85546875" customWidth="true" style="0"/>
    <col min="33" max="33" width="17.7109375" customWidth="true" style="0"/>
    <col min="34" max="34" width="20.5703125" customWidth="true" style="0"/>
    <col min="35" max="35" width="11.85546875" customWidth="true" style="0"/>
    <col min="36" max="36" width="12.5703125" customWidth="true" style="0"/>
    <col min="37" max="37" width="33" customWidth="true" style="0"/>
    <col min="38" max="38" width="11.28515625" customWidth="true" style="0"/>
    <col min="39" max="39" width="50.42578125" customWidth="true" style="0"/>
    <col min="40" max="40" width="13.28515625" customWidth="true" style="0"/>
    <col min="41" max="41" width="38.5703125" customWidth="true" style="0"/>
    <col min="42" max="42" width="11.28515625" customWidth="true" style="0"/>
    <col min="43" max="43" width="44.28515625" customWidth="true" style="0"/>
    <col min="44" max="44" width="11.28515625" customWidth="true" style="0"/>
    <col min="45" max="45" width="17.28515625" customWidth="true" style="0"/>
    <col min="46" max="46" width="11.28515625" customWidth="true" style="0"/>
    <col min="47" max="47" width="11.28515625" customWidth="true" style="0"/>
    <col min="48" max="48" width="11.28515625" customWidth="true" style="0"/>
    <col min="49" max="49" width="11.28515625" customWidth="true" style="0"/>
    <col min="50" max="50" width="11.28515625" customWidth="true" style="0"/>
    <col min="51" max="51" width="38.5703125" customWidth="true" style="0"/>
    <col min="52" max="52" width="11.28515625" customWidth="true" style="0"/>
    <col min="53" max="53" width="46.5703125" customWidth="true" style="0"/>
    <col min="54" max="54" width="11.28515625" customWidth="true" style="0"/>
    <col min="55" max="55" width="60.140625" customWidth="true" style="0"/>
    <col min="56" max="56" width="11.28515625" customWidth="true" style="0"/>
    <col min="57" max="57" width="39.42578125" customWidth="true" style="0"/>
    <col min="58" max="58" width="11.28515625" customWidth="true" style="0"/>
    <col min="59" max="59" width="39.28515625" customWidth="true" style="0"/>
    <col min="60" max="60" width="11.28515625" customWidth="true" style="0"/>
    <col min="61" max="61" width="21.140625" customWidth="true" style="0"/>
    <col min="62" max="62" width="9.42578125" customWidth="true" style="1"/>
    <col min="63" max="63" width="42.140625" customWidth="true" style="0"/>
    <col min="64" max="64" width="10.28515625" customWidth="true" style="0"/>
    <col min="65" max="65" width="23.28515625" customWidth="true" style="0"/>
    <col min="66" max="66" width="12.140625" customWidth="true" style="0"/>
    <col min="67" max="67" width="11.85546875" customWidth="true" style="0"/>
    <col min="68" max="68" width="12.42578125" customWidth="true" style="0"/>
    <col min="69" max="69" width="12.140625" customWidth="true" style="0"/>
    <col min="71" max="71" width="8.85546875" customWidth="true" style="0"/>
    <col min="72" max="72" width="9.5703125" customWidth="true" style="0"/>
    <col min="73" max="73" width="9.140625" customWidth="true" style="0"/>
  </cols>
  <sheetData>
    <row r="1" spans="1:73"/>
    <row r="2" spans="1:73">
      <c r="E2" s="188" t="s">
        <v>0</v>
      </c>
      <c r="F2" s="189"/>
      <c r="G2" s="59" t="s">
        <v>1</v>
      </c>
      <c r="Q2" s="188" t="s">
        <v>0</v>
      </c>
      <c r="R2" s="188"/>
      <c r="AC2" s="188" t="s">
        <v>0</v>
      </c>
      <c r="AD2" s="188"/>
    </row>
    <row r="3" spans="1:73" customHeight="1" ht="37.5">
      <c r="E3" s="190" t="s">
        <v>2</v>
      </c>
      <c r="F3" s="191"/>
      <c r="G3" s="60" t="s">
        <v>2</v>
      </c>
      <c r="H3" s="37"/>
      <c r="I3" s="118" t="s">
        <v>3</v>
      </c>
      <c r="J3" s="37"/>
      <c r="K3" s="37"/>
      <c r="Q3" s="190" t="s">
        <v>4</v>
      </c>
      <c r="R3" s="191"/>
      <c r="S3" s="70" t="s">
        <v>5</v>
      </c>
      <c r="T3" s="70" t="s">
        <v>6</v>
      </c>
      <c r="U3" s="70" t="s">
        <v>7</v>
      </c>
      <c r="V3" s="70" t="s">
        <v>8</v>
      </c>
      <c r="W3" s="31"/>
      <c r="X3" s="31"/>
      <c r="AC3" s="190" t="s">
        <v>9</v>
      </c>
      <c r="AD3" s="192"/>
    </row>
    <row r="4" spans="1:73" hidden="true">
      <c r="D4" s="9" t="s">
        <v>10</v>
      </c>
      <c r="E4" s="2">
        <v>45352</v>
      </c>
      <c r="F4" s="55">
        <v>14051.3</v>
      </c>
      <c r="G4" s="59"/>
      <c r="H4" s="1"/>
      <c r="P4" s="9" t="s">
        <v>10</v>
      </c>
      <c r="Q4" s="2">
        <v>45352</v>
      </c>
      <c r="R4" s="55">
        <v>8237</v>
      </c>
      <c r="S4" s="59"/>
      <c r="T4" s="71"/>
      <c r="U4" s="72"/>
      <c r="V4" s="72"/>
      <c r="AB4" s="9" t="s">
        <v>10</v>
      </c>
      <c r="AC4" s="21">
        <v>45352</v>
      </c>
      <c r="AD4" s="4">
        <f>F4+R4</f>
        <v>22288.3</v>
      </c>
      <c r="AE4" s="1"/>
    </row>
    <row r="5" spans="1:73" hidden="true">
      <c r="D5" s="9" t="s">
        <v>11</v>
      </c>
      <c r="E5" s="2">
        <v>45353</v>
      </c>
      <c r="F5" s="55">
        <v>12080.7</v>
      </c>
      <c r="G5" s="59"/>
      <c r="H5" s="1"/>
      <c r="P5" s="9" t="s">
        <v>11</v>
      </c>
      <c r="Q5" s="2">
        <v>45353</v>
      </c>
      <c r="R5" s="55">
        <v>13643</v>
      </c>
      <c r="S5" s="59"/>
      <c r="T5" s="71"/>
      <c r="U5" s="72"/>
      <c r="V5" s="72"/>
      <c r="AB5" s="9" t="s">
        <v>11</v>
      </c>
      <c r="AC5" s="19">
        <v>45353</v>
      </c>
      <c r="AD5" s="4">
        <f>F5+R5</f>
        <v>25723.7</v>
      </c>
      <c r="AE5" s="1"/>
    </row>
    <row r="6" spans="1:73" hidden="true">
      <c r="D6" s="9" t="s">
        <v>12</v>
      </c>
      <c r="E6" s="6">
        <v>45354</v>
      </c>
      <c r="F6" s="56">
        <v>13615.3</v>
      </c>
      <c r="G6" s="59"/>
      <c r="H6" s="1"/>
      <c r="P6" s="9" t="s">
        <v>12</v>
      </c>
      <c r="Q6" s="6">
        <v>45354</v>
      </c>
      <c r="R6" s="56">
        <v>8280</v>
      </c>
      <c r="S6" s="59"/>
      <c r="T6" s="71"/>
      <c r="U6" s="72"/>
      <c r="V6" s="72"/>
      <c r="AB6" s="9" t="s">
        <v>12</v>
      </c>
      <c r="AC6" s="19">
        <v>45354</v>
      </c>
      <c r="AD6" s="4">
        <f>F6+R6</f>
        <v>21895.3</v>
      </c>
      <c r="AE6" s="1"/>
    </row>
    <row r="7" spans="1:73" hidden="true">
      <c r="D7" s="9" t="s">
        <v>13</v>
      </c>
      <c r="E7" s="2">
        <v>45355</v>
      </c>
      <c r="F7" s="55">
        <v>10865.3</v>
      </c>
      <c r="G7" s="59"/>
      <c r="H7" s="1"/>
      <c r="P7" s="9" t="s">
        <v>13</v>
      </c>
      <c r="Q7" s="2">
        <v>45355</v>
      </c>
      <c r="R7" s="55">
        <v>5763</v>
      </c>
      <c r="S7" s="59"/>
      <c r="T7" s="71"/>
      <c r="U7" s="72"/>
      <c r="V7" s="72"/>
      <c r="AB7" s="9" t="s">
        <v>13</v>
      </c>
      <c r="AC7" s="19">
        <v>45355</v>
      </c>
      <c r="AD7" s="4">
        <f>F7+R7</f>
        <v>16628.3</v>
      </c>
      <c r="AE7" s="1"/>
    </row>
    <row r="8" spans="1:73" hidden="true">
      <c r="D8" s="9" t="s">
        <v>14</v>
      </c>
      <c r="E8" s="2">
        <v>45356</v>
      </c>
      <c r="F8" s="55">
        <v>13600.65</v>
      </c>
      <c r="G8" s="59"/>
      <c r="H8" s="1"/>
      <c r="P8" s="9" t="s">
        <v>14</v>
      </c>
      <c r="Q8" s="2">
        <v>45356</v>
      </c>
      <c r="R8" s="55">
        <v>10156</v>
      </c>
      <c r="S8" s="59"/>
      <c r="T8" s="71"/>
      <c r="U8" s="72"/>
      <c r="V8" s="72"/>
      <c r="AB8" s="9" t="s">
        <v>14</v>
      </c>
      <c r="AC8" s="19">
        <v>45356</v>
      </c>
      <c r="AD8" s="4">
        <f>F8+R8</f>
        <v>23756.65</v>
      </c>
      <c r="AE8" s="1"/>
    </row>
    <row r="9" spans="1:73" hidden="true">
      <c r="D9" s="9" t="s">
        <v>15</v>
      </c>
      <c r="E9" s="2">
        <v>45357</v>
      </c>
      <c r="F9" s="55">
        <v>13117</v>
      </c>
      <c r="G9" s="59"/>
      <c r="H9" s="1"/>
      <c r="P9" s="9" t="s">
        <v>15</v>
      </c>
      <c r="Q9" s="2">
        <v>45357</v>
      </c>
      <c r="R9" s="55">
        <v>10361</v>
      </c>
      <c r="S9" s="59"/>
      <c r="T9" s="71"/>
      <c r="U9" s="72"/>
      <c r="V9" s="72"/>
      <c r="AB9" s="9" t="s">
        <v>15</v>
      </c>
      <c r="AC9" s="19">
        <v>45357</v>
      </c>
      <c r="AD9" s="4">
        <f>F9+R9</f>
        <v>23478</v>
      </c>
      <c r="AE9" s="1"/>
    </row>
    <row r="10" spans="1:73" hidden="true">
      <c r="D10" s="9" t="s">
        <v>16</v>
      </c>
      <c r="E10" s="2">
        <v>45358</v>
      </c>
      <c r="F10" s="55">
        <v>10848.6</v>
      </c>
      <c r="G10" s="59"/>
      <c r="H10" s="1"/>
      <c r="P10" s="9" t="s">
        <v>16</v>
      </c>
      <c r="Q10" s="2">
        <v>45358</v>
      </c>
      <c r="R10" s="55">
        <v>6108</v>
      </c>
      <c r="S10" s="59"/>
      <c r="T10" s="71"/>
      <c r="U10" s="72"/>
      <c r="V10" s="72"/>
      <c r="AB10" s="9" t="s">
        <v>16</v>
      </c>
      <c r="AC10" s="19">
        <v>45358</v>
      </c>
      <c r="AD10" s="4">
        <f>F10+R10</f>
        <v>16956.6</v>
      </c>
      <c r="AE10" s="1"/>
    </row>
    <row r="11" spans="1:73" hidden="true">
      <c r="D11" s="9" t="s">
        <v>10</v>
      </c>
      <c r="E11" s="2">
        <v>45359</v>
      </c>
      <c r="F11" s="55">
        <v>10720.35</v>
      </c>
      <c r="G11" s="59"/>
      <c r="H11" s="1"/>
      <c r="P11" s="9" t="s">
        <v>10</v>
      </c>
      <c r="Q11" s="2">
        <v>45359</v>
      </c>
      <c r="R11" s="55">
        <v>8195</v>
      </c>
      <c r="S11" s="59"/>
      <c r="T11" s="71"/>
      <c r="U11" s="72"/>
      <c r="V11" s="72"/>
      <c r="AB11" s="9" t="s">
        <v>10</v>
      </c>
      <c r="AC11" s="19">
        <v>45359</v>
      </c>
      <c r="AD11" s="4">
        <f>F11+R11</f>
        <v>18915.35</v>
      </c>
      <c r="AE11" s="1"/>
    </row>
    <row r="12" spans="1:73" hidden="true">
      <c r="D12" s="9" t="s">
        <v>11</v>
      </c>
      <c r="E12" s="2">
        <v>45360</v>
      </c>
      <c r="F12" s="55">
        <v>12692.15</v>
      </c>
      <c r="G12" s="59"/>
      <c r="H12" s="1"/>
      <c r="P12" s="9" t="s">
        <v>11</v>
      </c>
      <c r="Q12" s="2">
        <v>45360</v>
      </c>
      <c r="R12" s="55">
        <v>8165</v>
      </c>
      <c r="S12" s="59"/>
      <c r="T12" s="71"/>
      <c r="U12" s="72"/>
      <c r="V12" s="72"/>
      <c r="AB12" s="9" t="s">
        <v>11</v>
      </c>
      <c r="AC12" s="19">
        <v>45360</v>
      </c>
      <c r="AD12" s="4">
        <f>F12+R12</f>
        <v>20857.15</v>
      </c>
      <c r="AE12" s="1"/>
    </row>
    <row r="13" spans="1:73" hidden="true">
      <c r="D13" s="9" t="s">
        <v>12</v>
      </c>
      <c r="E13" s="2">
        <v>45361</v>
      </c>
      <c r="F13" s="55">
        <v>11289.7</v>
      </c>
      <c r="G13" s="59"/>
      <c r="H13" s="1"/>
      <c r="P13" s="9" t="s">
        <v>12</v>
      </c>
      <c r="Q13" s="2">
        <v>45361</v>
      </c>
      <c r="R13" s="55">
        <v>5754</v>
      </c>
      <c r="S13" s="59"/>
      <c r="T13" s="71"/>
      <c r="U13" s="72"/>
      <c r="V13" s="72"/>
      <c r="AB13" s="9" t="s">
        <v>12</v>
      </c>
      <c r="AC13" s="19">
        <v>45361</v>
      </c>
      <c r="AD13" s="4">
        <f>F13+R13</f>
        <v>17043.7</v>
      </c>
      <c r="AE13" s="1"/>
    </row>
    <row r="14" spans="1:73" hidden="true">
      <c r="D14" s="9" t="s">
        <v>13</v>
      </c>
      <c r="E14" s="2">
        <v>45362</v>
      </c>
      <c r="F14" s="55">
        <v>7705.1</v>
      </c>
      <c r="G14" s="59"/>
      <c r="H14" s="1"/>
      <c r="P14" s="9" t="s">
        <v>13</v>
      </c>
      <c r="Q14" s="2">
        <v>45362</v>
      </c>
      <c r="R14" s="55">
        <v>9509</v>
      </c>
      <c r="S14" s="59"/>
      <c r="T14" s="71"/>
      <c r="U14" s="72"/>
      <c r="V14" s="72"/>
      <c r="AB14" s="9" t="s">
        <v>13</v>
      </c>
      <c r="AC14" s="19">
        <v>45362</v>
      </c>
      <c r="AD14" s="4">
        <f>F14+R14</f>
        <v>17214.1</v>
      </c>
      <c r="AE14" s="1"/>
    </row>
    <row r="15" spans="1:73" hidden="true">
      <c r="D15" s="9" t="s">
        <v>14</v>
      </c>
      <c r="E15" s="2">
        <v>45363</v>
      </c>
      <c r="F15" s="55">
        <v>5935.1</v>
      </c>
      <c r="G15" s="59"/>
      <c r="H15" s="1"/>
      <c r="P15" s="9" t="s">
        <v>14</v>
      </c>
      <c r="Q15" s="2">
        <v>45363</v>
      </c>
      <c r="R15" s="55">
        <v>5498</v>
      </c>
      <c r="S15" s="59"/>
      <c r="T15" s="71"/>
      <c r="U15" s="72"/>
      <c r="V15" s="72"/>
      <c r="AB15" s="9" t="s">
        <v>14</v>
      </c>
      <c r="AC15" s="19">
        <v>45363</v>
      </c>
      <c r="AD15" s="4">
        <f>F15+R15</f>
        <v>11433.1</v>
      </c>
      <c r="AE15" s="1">
        <v>1</v>
      </c>
    </row>
    <row r="16" spans="1:73" hidden="true">
      <c r="D16" s="9" t="s">
        <v>15</v>
      </c>
      <c r="E16" s="2">
        <v>45364</v>
      </c>
      <c r="F16" s="55">
        <v>7342.1</v>
      </c>
      <c r="G16" s="61">
        <v>2801.45</v>
      </c>
      <c r="H16" s="22">
        <v>2016.8</v>
      </c>
      <c r="I16" s="117">
        <v>2523.85</v>
      </c>
      <c r="L16" s="22">
        <f>SUM(G16:K16)</f>
        <v>7342.1</v>
      </c>
      <c r="P16" s="9" t="s">
        <v>15</v>
      </c>
      <c r="Q16" s="2">
        <v>45364</v>
      </c>
      <c r="R16" s="55">
        <v>3860</v>
      </c>
      <c r="S16" s="59"/>
      <c r="T16" s="71"/>
      <c r="U16" s="72"/>
      <c r="V16" s="72"/>
      <c r="AB16" s="9" t="s">
        <v>15</v>
      </c>
      <c r="AC16" s="19">
        <v>45364</v>
      </c>
      <c r="AD16" s="4">
        <f>F16+R16</f>
        <v>11202.1</v>
      </c>
      <c r="AE16" s="1">
        <v>2</v>
      </c>
    </row>
    <row r="17" spans="1:73" hidden="true">
      <c r="D17" s="9" t="s">
        <v>16</v>
      </c>
      <c r="E17" s="2">
        <v>45365</v>
      </c>
      <c r="F17" s="55">
        <v>6128.05</v>
      </c>
      <c r="G17" s="61">
        <v>2206</v>
      </c>
      <c r="H17" s="22">
        <v>1953.85</v>
      </c>
      <c r="I17" s="117">
        <v>1968.2</v>
      </c>
      <c r="L17" s="22">
        <f>SUM(G17:K17)</f>
        <v>6128.05</v>
      </c>
      <c r="P17" s="9" t="s">
        <v>16</v>
      </c>
      <c r="Q17" s="2">
        <v>45365</v>
      </c>
      <c r="R17" s="55">
        <v>4947</v>
      </c>
      <c r="S17" s="59">
        <v>792</v>
      </c>
      <c r="T17" s="71">
        <v>2211</v>
      </c>
      <c r="U17" s="72">
        <v>0</v>
      </c>
      <c r="V17" s="72">
        <v>1156</v>
      </c>
      <c r="W17">
        <v>788</v>
      </c>
      <c r="Y17" s="1">
        <f>SUM(S17:W17)</f>
        <v>4947</v>
      </c>
      <c r="AB17" s="9" t="s">
        <v>16</v>
      </c>
      <c r="AC17" s="19">
        <v>45365</v>
      </c>
      <c r="AD17" s="4">
        <f>F17+R17</f>
        <v>11075.05</v>
      </c>
      <c r="AE17" s="1">
        <v>3</v>
      </c>
    </row>
    <row r="18" spans="1:73" hidden="true">
      <c r="D18" s="9" t="s">
        <v>10</v>
      </c>
      <c r="E18" s="2">
        <v>45366</v>
      </c>
      <c r="F18" s="55">
        <v>6846.95</v>
      </c>
      <c r="G18" s="61">
        <v>2004.65</v>
      </c>
      <c r="H18" s="22">
        <v>2539.75</v>
      </c>
      <c r="I18" s="117">
        <v>2302.55</v>
      </c>
      <c r="L18" s="22">
        <f>SUM(G18:K18)</f>
        <v>6846.95</v>
      </c>
      <c r="P18" s="9" t="s">
        <v>10</v>
      </c>
      <c r="Q18" s="2">
        <v>45366</v>
      </c>
      <c r="R18" s="55">
        <v>4241</v>
      </c>
      <c r="S18" s="59">
        <v>606</v>
      </c>
      <c r="T18" s="71">
        <v>2005</v>
      </c>
      <c r="U18" s="72">
        <v>1356</v>
      </c>
      <c r="V18" s="72">
        <v>106</v>
      </c>
      <c r="W18">
        <v>168</v>
      </c>
      <c r="Y18" s="1">
        <f>SUM(S18:W18)</f>
        <v>4241</v>
      </c>
      <c r="AB18" s="9" t="s">
        <v>10</v>
      </c>
      <c r="AC18" s="19">
        <v>45366</v>
      </c>
      <c r="AD18" s="4">
        <f>F18+R18</f>
        <v>11087.95</v>
      </c>
      <c r="AE18" s="1">
        <v>4</v>
      </c>
    </row>
    <row r="19" spans="1:73" hidden="true">
      <c r="D19" s="9" t="s">
        <v>11</v>
      </c>
      <c r="E19" s="2">
        <v>45367</v>
      </c>
      <c r="F19" s="55">
        <v>6740.75</v>
      </c>
      <c r="G19" s="61">
        <v>1052.75</v>
      </c>
      <c r="H19" s="22">
        <v>2185.2</v>
      </c>
      <c r="I19" s="117">
        <v>3502.8</v>
      </c>
      <c r="L19" s="22">
        <f>SUM(G19:K19)</f>
        <v>6740.75</v>
      </c>
      <c r="P19" s="9" t="s">
        <v>11</v>
      </c>
      <c r="Q19" s="2">
        <v>45367</v>
      </c>
      <c r="R19" s="55">
        <v>5586</v>
      </c>
      <c r="S19" s="59">
        <v>496</v>
      </c>
      <c r="T19" s="71">
        <v>2932</v>
      </c>
      <c r="U19" s="72">
        <v>0</v>
      </c>
      <c r="V19" s="72">
        <v>1402</v>
      </c>
      <c r="W19">
        <v>756</v>
      </c>
      <c r="Y19" s="1">
        <f>SUM(S19:W19)</f>
        <v>5586</v>
      </c>
      <c r="AB19" s="9" t="s">
        <v>11</v>
      </c>
      <c r="AC19" s="19">
        <v>45367</v>
      </c>
      <c r="AD19" s="4">
        <f>F19+R19</f>
        <v>12326.75</v>
      </c>
      <c r="AE19" s="1">
        <v>5</v>
      </c>
    </row>
    <row r="20" spans="1:73" hidden="true">
      <c r="D20" s="9" t="s">
        <v>12</v>
      </c>
      <c r="E20" s="2">
        <v>45368</v>
      </c>
      <c r="F20" s="55">
        <v>5818.9</v>
      </c>
      <c r="G20" s="61">
        <v>2646.65</v>
      </c>
      <c r="H20" s="22">
        <v>1062</v>
      </c>
      <c r="I20" s="117">
        <v>2110.25</v>
      </c>
      <c r="L20" s="22">
        <f>SUM(G20:K20)</f>
        <v>5818.9</v>
      </c>
      <c r="P20" s="9" t="s">
        <v>12</v>
      </c>
      <c r="Q20" s="2">
        <v>45368</v>
      </c>
      <c r="R20" s="55">
        <v>4938</v>
      </c>
      <c r="S20" s="59">
        <v>924</v>
      </c>
      <c r="T20" s="71">
        <v>1082</v>
      </c>
      <c r="U20" s="72">
        <v>1048</v>
      </c>
      <c r="V20" s="72">
        <v>632</v>
      </c>
      <c r="W20">
        <v>1252</v>
      </c>
      <c r="Y20" s="1">
        <f>SUM(S20:W20)</f>
        <v>4938</v>
      </c>
      <c r="AB20" s="9" t="s">
        <v>12</v>
      </c>
      <c r="AC20" s="19">
        <v>45368</v>
      </c>
      <c r="AD20" s="4">
        <f>F20+R20</f>
        <v>10756.9</v>
      </c>
      <c r="AE20" s="1">
        <v>6</v>
      </c>
    </row>
    <row r="21" spans="1:73" hidden="true">
      <c r="D21" s="9" t="s">
        <v>13</v>
      </c>
      <c r="E21" s="2">
        <v>45369</v>
      </c>
      <c r="F21" s="55">
        <v>5992.46</v>
      </c>
      <c r="G21" s="61">
        <v>2162.66</v>
      </c>
      <c r="H21" s="22">
        <v>1759.35</v>
      </c>
      <c r="I21" s="117">
        <v>2070.45</v>
      </c>
      <c r="L21" s="22">
        <f>SUM(G21:K21)</f>
        <v>5992.46</v>
      </c>
      <c r="P21" s="9" t="s">
        <v>13</v>
      </c>
      <c r="Q21" s="2">
        <v>45369</v>
      </c>
      <c r="R21" s="55">
        <v>5420</v>
      </c>
      <c r="S21" s="59">
        <v>438</v>
      </c>
      <c r="T21" s="71">
        <v>1056</v>
      </c>
      <c r="U21" s="72">
        <v>3338</v>
      </c>
      <c r="V21" s="72">
        <v>588</v>
      </c>
      <c r="W21">
        <v>0</v>
      </c>
      <c r="Y21" s="1">
        <f>SUM(S21:W21)</f>
        <v>5420</v>
      </c>
      <c r="AB21" s="9" t="s">
        <v>13</v>
      </c>
      <c r="AC21" s="19">
        <v>45369</v>
      </c>
      <c r="AD21" s="4">
        <f>F21+R21</f>
        <v>11412.46</v>
      </c>
      <c r="AE21" s="1">
        <v>7</v>
      </c>
    </row>
    <row r="22" spans="1:73" hidden="true">
      <c r="D22" s="9" t="s">
        <v>14</v>
      </c>
      <c r="E22" s="2">
        <v>45370</v>
      </c>
      <c r="F22" s="55">
        <v>4247.3</v>
      </c>
      <c r="G22" s="61">
        <v>1594.05</v>
      </c>
      <c r="H22" s="22">
        <v>1075.75</v>
      </c>
      <c r="I22" s="117">
        <v>1577.5</v>
      </c>
      <c r="L22" s="22">
        <f>SUM(G22:K22)</f>
        <v>4247.3</v>
      </c>
      <c r="P22" s="9" t="s">
        <v>14</v>
      </c>
      <c r="Q22" s="2">
        <v>45370</v>
      </c>
      <c r="R22" s="55">
        <v>3854</v>
      </c>
      <c r="S22" s="59">
        <v>526</v>
      </c>
      <c r="T22" s="71">
        <v>796</v>
      </c>
      <c r="U22" s="72">
        <v>562</v>
      </c>
      <c r="V22" s="72">
        <v>504</v>
      </c>
      <c r="W22">
        <v>1466</v>
      </c>
      <c r="Y22" s="1">
        <f>SUM(S22:W22)</f>
        <v>3854</v>
      </c>
      <c r="AB22" s="9" t="s">
        <v>14</v>
      </c>
      <c r="AC22" s="19">
        <v>45370</v>
      </c>
      <c r="AD22" s="4">
        <f>F22+R22</f>
        <v>8101.3</v>
      </c>
      <c r="AE22" s="1">
        <v>8</v>
      </c>
    </row>
    <row r="23" spans="1:73" hidden="true">
      <c r="D23" s="9" t="s">
        <v>15</v>
      </c>
      <c r="E23" s="2">
        <v>45371</v>
      </c>
      <c r="F23" s="55">
        <v>4537.3</v>
      </c>
      <c r="G23" s="61">
        <v>1535.55</v>
      </c>
      <c r="H23" s="22">
        <v>1509.05</v>
      </c>
      <c r="I23" s="117">
        <v>1492.7</v>
      </c>
      <c r="L23" s="22">
        <f>SUM(G23:K23)</f>
        <v>4537.3</v>
      </c>
      <c r="P23" s="9" t="s">
        <v>15</v>
      </c>
      <c r="Q23" s="2">
        <v>45371</v>
      </c>
      <c r="R23" s="55">
        <v>6342</v>
      </c>
      <c r="S23" s="59">
        <v>546</v>
      </c>
      <c r="T23" s="71">
        <v>598</v>
      </c>
      <c r="U23" s="72">
        <v>1656</v>
      </c>
      <c r="V23" s="72">
        <v>1426</v>
      </c>
      <c r="W23">
        <v>2116</v>
      </c>
      <c r="Y23" s="1">
        <f>SUM(S23:W23)</f>
        <v>6342</v>
      </c>
      <c r="AB23" s="9" t="s">
        <v>15</v>
      </c>
      <c r="AC23" s="19">
        <v>45371</v>
      </c>
      <c r="AD23" s="4">
        <f>F23+R23</f>
        <v>10879.3</v>
      </c>
      <c r="AE23" s="1">
        <v>9</v>
      </c>
    </row>
    <row r="24" spans="1:73" hidden="true">
      <c r="D24" s="9" t="s">
        <v>16</v>
      </c>
      <c r="E24" s="2">
        <v>45372</v>
      </c>
      <c r="F24" s="55">
        <v>4937</v>
      </c>
      <c r="G24" s="61">
        <v>1579.6</v>
      </c>
      <c r="H24" s="22">
        <v>1968.7</v>
      </c>
      <c r="I24" s="117">
        <v>1388.7</v>
      </c>
      <c r="L24" s="22">
        <f>SUM(G24:K24)</f>
        <v>4937</v>
      </c>
      <c r="P24" s="9" t="s">
        <v>16</v>
      </c>
      <c r="Q24" s="2">
        <v>45372</v>
      </c>
      <c r="R24" s="55">
        <v>1872</v>
      </c>
      <c r="S24" s="59">
        <v>168</v>
      </c>
      <c r="T24" s="71">
        <v>456</v>
      </c>
      <c r="U24" s="72">
        <v>196</v>
      </c>
      <c r="V24" s="72">
        <v>456</v>
      </c>
      <c r="W24">
        <v>596</v>
      </c>
      <c r="Y24" s="1">
        <f>SUM(S24:W24)</f>
        <v>1872</v>
      </c>
      <c r="AB24" s="9" t="s">
        <v>16</v>
      </c>
      <c r="AC24" s="19">
        <v>45372</v>
      </c>
      <c r="AD24" s="4">
        <f>F24+R24</f>
        <v>6809</v>
      </c>
      <c r="AE24" s="1">
        <v>10</v>
      </c>
    </row>
    <row r="25" spans="1:73" hidden="true">
      <c r="D25" s="9" t="s">
        <v>10</v>
      </c>
      <c r="E25" s="2">
        <v>45373</v>
      </c>
      <c r="F25" s="55">
        <v>5930.9</v>
      </c>
      <c r="G25" s="61">
        <v>1225.5</v>
      </c>
      <c r="H25" s="22">
        <v>2453.45</v>
      </c>
      <c r="I25" s="117">
        <v>2251.95</v>
      </c>
      <c r="L25" s="22">
        <f>SUM(G25:K25)</f>
        <v>5930.9</v>
      </c>
      <c r="P25" s="9" t="s">
        <v>10</v>
      </c>
      <c r="Q25" s="2">
        <v>45373</v>
      </c>
      <c r="R25" s="55">
        <v>3128</v>
      </c>
      <c r="S25" s="59">
        <v>1044</v>
      </c>
      <c r="T25" s="71">
        <v>624</v>
      </c>
      <c r="U25" s="72">
        <v>394</v>
      </c>
      <c r="V25" s="72">
        <v>632</v>
      </c>
      <c r="W25">
        <v>434</v>
      </c>
      <c r="Y25" s="1">
        <f>SUM(S25:W25)</f>
        <v>3128</v>
      </c>
      <c r="AB25" s="9" t="s">
        <v>10</v>
      </c>
      <c r="AC25" s="19">
        <v>45373</v>
      </c>
      <c r="AD25" s="4">
        <f>F25+R25</f>
        <v>9058.9</v>
      </c>
      <c r="AE25" s="1">
        <v>11</v>
      </c>
    </row>
    <row r="26" spans="1:73" hidden="true">
      <c r="D26" s="9" t="s">
        <v>11</v>
      </c>
      <c r="E26" s="2">
        <v>45374</v>
      </c>
      <c r="F26" s="55">
        <v>5386.65</v>
      </c>
      <c r="G26" s="61">
        <v>1507.95</v>
      </c>
      <c r="H26" s="22">
        <v>2408.1</v>
      </c>
      <c r="I26" s="117">
        <v>1470.6</v>
      </c>
      <c r="L26" s="22">
        <f>SUM(G26:K26)</f>
        <v>5386.65</v>
      </c>
      <c r="P26" s="9" t="s">
        <v>11</v>
      </c>
      <c r="Q26" s="2">
        <v>45374</v>
      </c>
      <c r="R26" s="55">
        <v>8190</v>
      </c>
      <c r="S26" s="59">
        <v>860</v>
      </c>
      <c r="T26" s="71">
        <v>2748</v>
      </c>
      <c r="U26" s="72">
        <v>1748</v>
      </c>
      <c r="V26" s="72">
        <v>922</v>
      </c>
      <c r="W26">
        <v>1912</v>
      </c>
      <c r="Y26" s="1">
        <f>SUM(S26:W26)</f>
        <v>8190</v>
      </c>
      <c r="AB26" s="9" t="s">
        <v>11</v>
      </c>
      <c r="AC26" s="19">
        <v>45374</v>
      </c>
      <c r="AD26" s="4">
        <f>F26+R26</f>
        <v>13576.65</v>
      </c>
      <c r="AE26" s="1">
        <v>12</v>
      </c>
    </row>
    <row r="27" spans="1:73" hidden="true">
      <c r="D27" s="9" t="s">
        <v>12</v>
      </c>
      <c r="E27" s="2">
        <v>45375</v>
      </c>
      <c r="F27" s="55">
        <v>7478.25</v>
      </c>
      <c r="G27" s="61">
        <v>3130.2</v>
      </c>
      <c r="H27" s="22">
        <v>2405.6</v>
      </c>
      <c r="I27" s="117">
        <v>1942.45</v>
      </c>
      <c r="L27" s="22">
        <f>SUM(G27:K27)</f>
        <v>7478.25</v>
      </c>
      <c r="P27" s="9" t="s">
        <v>12</v>
      </c>
      <c r="Q27" s="2">
        <v>45375</v>
      </c>
      <c r="R27" s="55">
        <v>7329</v>
      </c>
      <c r="S27" s="59">
        <v>392</v>
      </c>
      <c r="T27" s="71">
        <v>1691</v>
      </c>
      <c r="U27" s="72">
        <v>758</v>
      </c>
      <c r="V27" s="72">
        <v>3894</v>
      </c>
      <c r="W27">
        <v>594</v>
      </c>
      <c r="Y27" s="1">
        <f>SUM(S27:W27)</f>
        <v>7329</v>
      </c>
      <c r="AB27" s="9" t="s">
        <v>12</v>
      </c>
      <c r="AC27" s="19">
        <v>45375</v>
      </c>
      <c r="AD27" s="4">
        <f>F27+R27</f>
        <v>14807.25</v>
      </c>
      <c r="AE27" s="1">
        <v>13</v>
      </c>
    </row>
    <row r="28" spans="1:73" hidden="true">
      <c r="D28" s="9" t="s">
        <v>13</v>
      </c>
      <c r="E28" s="2">
        <v>45376</v>
      </c>
      <c r="F28" s="55">
        <v>6369.95</v>
      </c>
      <c r="G28" s="61">
        <v>2292.75</v>
      </c>
      <c r="H28" s="22">
        <v>2054</v>
      </c>
      <c r="I28" s="117">
        <v>2023.2</v>
      </c>
      <c r="L28" s="22">
        <f>SUM(G28:K28)</f>
        <v>6369.95</v>
      </c>
      <c r="P28" s="9" t="s">
        <v>13</v>
      </c>
      <c r="Q28" s="2">
        <v>45376</v>
      </c>
      <c r="R28" s="55">
        <v>4268</v>
      </c>
      <c r="S28" s="59">
        <v>924</v>
      </c>
      <c r="T28" s="71">
        <v>1776</v>
      </c>
      <c r="U28" s="72">
        <v>196</v>
      </c>
      <c r="V28" s="72">
        <v>196</v>
      </c>
      <c r="W28">
        <v>1176</v>
      </c>
      <c r="Y28" s="1">
        <f>SUM(S28:W28)</f>
        <v>4268</v>
      </c>
      <c r="AB28" s="9" t="s">
        <v>13</v>
      </c>
      <c r="AC28" s="19">
        <v>45376</v>
      </c>
      <c r="AD28" s="4">
        <f>F28+R28</f>
        <v>10637.95</v>
      </c>
      <c r="AE28" s="1">
        <v>14</v>
      </c>
    </row>
    <row r="29" spans="1:73" hidden="true">
      <c r="D29" s="9" t="s">
        <v>14</v>
      </c>
      <c r="E29" s="2">
        <v>45377</v>
      </c>
      <c r="F29" s="55">
        <v>5363.5</v>
      </c>
      <c r="G29" s="61">
        <v>1729.95</v>
      </c>
      <c r="H29" s="22">
        <v>1691.65</v>
      </c>
      <c r="I29" s="117">
        <v>1941.9</v>
      </c>
      <c r="L29" s="22">
        <f>SUM(G29:K29)</f>
        <v>5363.5</v>
      </c>
      <c r="P29" s="9" t="s">
        <v>14</v>
      </c>
      <c r="Q29" s="2">
        <v>45377</v>
      </c>
      <c r="R29" s="55">
        <v>9098</v>
      </c>
      <c r="S29" s="59">
        <v>3252</v>
      </c>
      <c r="T29" s="71">
        <v>3244</v>
      </c>
      <c r="U29" s="72">
        <v>1360</v>
      </c>
      <c r="V29" s="72">
        <v>548</v>
      </c>
      <c r="W29">
        <v>694</v>
      </c>
      <c r="Y29" s="1">
        <f>SUM(S29:W29)</f>
        <v>9098</v>
      </c>
      <c r="AB29" s="9" t="s">
        <v>14</v>
      </c>
      <c r="AC29" s="19">
        <v>45377</v>
      </c>
      <c r="AD29" s="4">
        <f>F29+R29</f>
        <v>14461.5</v>
      </c>
      <c r="AE29" s="1">
        <v>15</v>
      </c>
    </row>
    <row r="30" spans="1:73" hidden="true">
      <c r="D30" s="9" t="s">
        <v>15</v>
      </c>
      <c r="E30" s="2">
        <v>45378</v>
      </c>
      <c r="F30" s="55">
        <v>5076.05</v>
      </c>
      <c r="G30" s="61">
        <v>2201.35</v>
      </c>
      <c r="H30" s="22">
        <v>1547.2</v>
      </c>
      <c r="I30" s="117">
        <v>1327.5</v>
      </c>
      <c r="L30" s="22">
        <f>SUM(G30:K30)</f>
        <v>5076.05</v>
      </c>
      <c r="P30" s="9" t="s">
        <v>15</v>
      </c>
      <c r="Q30" s="2">
        <v>45378</v>
      </c>
      <c r="R30" s="55">
        <v>3530</v>
      </c>
      <c r="S30" s="59">
        <v>1608</v>
      </c>
      <c r="T30" s="71">
        <v>594</v>
      </c>
      <c r="U30" s="72">
        <v>198</v>
      </c>
      <c r="V30" s="72">
        <v>664</v>
      </c>
      <c r="W30">
        <v>466</v>
      </c>
      <c r="Y30" s="1">
        <f>SUM(S30:W30)</f>
        <v>3530</v>
      </c>
      <c r="AB30" s="9" t="s">
        <v>15</v>
      </c>
      <c r="AC30" s="19">
        <v>45378</v>
      </c>
      <c r="AD30" s="4">
        <f>F30+R30</f>
        <v>8606.05</v>
      </c>
      <c r="AE30" s="1">
        <v>16</v>
      </c>
    </row>
    <row r="31" spans="1:73" hidden="true">
      <c r="D31" s="9" t="s">
        <v>16</v>
      </c>
      <c r="E31" s="2">
        <v>45379</v>
      </c>
      <c r="F31" s="55">
        <v>6312.6</v>
      </c>
      <c r="G31" s="61">
        <v>1689.55</v>
      </c>
      <c r="H31" s="22">
        <v>2006.45</v>
      </c>
      <c r="I31" s="117">
        <v>2616.6</v>
      </c>
      <c r="L31" s="22">
        <f>SUM(G31:K31)</f>
        <v>6312.6</v>
      </c>
      <c r="P31" s="9" t="s">
        <v>16</v>
      </c>
      <c r="Q31" s="2">
        <v>45379</v>
      </c>
      <c r="R31" s="55">
        <v>8675</v>
      </c>
      <c r="S31" s="59">
        <v>1325</v>
      </c>
      <c r="T31" s="71">
        <v>622</v>
      </c>
      <c r="U31" s="72">
        <v>3280</v>
      </c>
      <c r="V31" s="72">
        <v>624</v>
      </c>
      <c r="W31">
        <v>2824</v>
      </c>
      <c r="Y31" s="1">
        <f>SUM(S31:W31)</f>
        <v>8675</v>
      </c>
      <c r="AB31" s="9" t="s">
        <v>16</v>
      </c>
      <c r="AC31" s="19">
        <v>45379</v>
      </c>
      <c r="AD31" s="4">
        <f>F31+R31</f>
        <v>14987.6</v>
      </c>
      <c r="AE31" s="1">
        <v>17</v>
      </c>
    </row>
    <row r="32" spans="1:73" hidden="true">
      <c r="D32" s="9" t="s">
        <v>10</v>
      </c>
      <c r="E32" s="2">
        <v>45380</v>
      </c>
      <c r="F32" s="55">
        <v>7111.25</v>
      </c>
      <c r="G32" s="61">
        <v>2372.35</v>
      </c>
      <c r="H32" s="22">
        <v>1996.2</v>
      </c>
      <c r="I32" s="117">
        <v>2742.7</v>
      </c>
      <c r="L32" s="22">
        <f>SUM(G32:K32)</f>
        <v>7111.25</v>
      </c>
      <c r="P32" s="9" t="s">
        <v>10</v>
      </c>
      <c r="Q32" s="2">
        <v>45380</v>
      </c>
      <c r="R32" s="55">
        <v>5391</v>
      </c>
      <c r="S32" s="59">
        <v>1976</v>
      </c>
      <c r="T32" s="71">
        <v>196</v>
      </c>
      <c r="U32" s="72">
        <v>1015</v>
      </c>
      <c r="V32" s="72">
        <v>952</v>
      </c>
      <c r="W32">
        <v>1252</v>
      </c>
      <c r="Y32" s="1">
        <f>SUM(S32:W32)</f>
        <v>5391</v>
      </c>
      <c r="AB32" s="9" t="s">
        <v>10</v>
      </c>
      <c r="AC32" s="19">
        <v>45380</v>
      </c>
      <c r="AD32" s="4">
        <f>F32+R32</f>
        <v>12502.25</v>
      </c>
      <c r="AE32" s="1">
        <v>18</v>
      </c>
    </row>
    <row r="33" spans="1:73" hidden="true">
      <c r="D33" s="9" t="s">
        <v>11</v>
      </c>
      <c r="E33" s="2">
        <v>45381</v>
      </c>
      <c r="F33" s="55">
        <v>7184.47</v>
      </c>
      <c r="G33" s="61">
        <v>2276.75</v>
      </c>
      <c r="H33" s="22">
        <v>2840.45</v>
      </c>
      <c r="I33" s="117">
        <v>2067.27</v>
      </c>
      <c r="L33" s="22">
        <f>SUM(G33:K33)</f>
        <v>7184.47</v>
      </c>
      <c r="P33" s="9" t="s">
        <v>11</v>
      </c>
      <c r="Q33" s="2">
        <v>45381</v>
      </c>
      <c r="R33" s="55">
        <v>6243</v>
      </c>
      <c r="S33" s="59">
        <v>1576</v>
      </c>
      <c r="T33" s="71">
        <v>1261</v>
      </c>
      <c r="U33" s="72">
        <v>1388</v>
      </c>
      <c r="V33" s="72">
        <v>196</v>
      </c>
      <c r="W33">
        <v>1822</v>
      </c>
      <c r="Y33" s="1">
        <f>SUM(S33:W33)</f>
        <v>6243</v>
      </c>
      <c r="AB33" s="9" t="s">
        <v>11</v>
      </c>
      <c r="AC33" s="19">
        <v>45381</v>
      </c>
      <c r="AD33" s="4">
        <f>F33+R33</f>
        <v>13427.47</v>
      </c>
      <c r="AE33" s="1">
        <v>19</v>
      </c>
    </row>
    <row r="34" spans="1:73" hidden="true" s="13" customFormat="1">
      <c r="D34" s="14" t="s">
        <v>12</v>
      </c>
      <c r="E34" s="10">
        <v>45382</v>
      </c>
      <c r="F34" s="57">
        <v>7491.3</v>
      </c>
      <c r="G34" s="62">
        <v>2945.85</v>
      </c>
      <c r="H34" s="30">
        <v>2713.3</v>
      </c>
      <c r="I34" s="119">
        <v>1832.15</v>
      </c>
      <c r="L34" s="30">
        <f>SUM(G34:K34)</f>
        <v>7491.3</v>
      </c>
      <c r="P34" s="13" t="s">
        <v>12</v>
      </c>
      <c r="Q34" s="10">
        <v>45382</v>
      </c>
      <c r="R34" s="57">
        <v>7839</v>
      </c>
      <c r="S34" s="63">
        <v>1442</v>
      </c>
      <c r="T34" s="73">
        <v>2544</v>
      </c>
      <c r="U34" s="74">
        <v>1742</v>
      </c>
      <c r="V34" s="74">
        <v>1028</v>
      </c>
      <c r="W34" s="13">
        <v>1083</v>
      </c>
      <c r="Y34" s="16">
        <f>SUM(S34:W34)</f>
        <v>7839</v>
      </c>
      <c r="Z34" s="16"/>
      <c r="AA34" s="50"/>
      <c r="AB34" s="13" t="s">
        <v>12</v>
      </c>
      <c r="AC34" s="20">
        <v>45382</v>
      </c>
      <c r="AD34" s="11">
        <f>F34+R34</f>
        <v>15330.3</v>
      </c>
      <c r="AE34" s="16">
        <v>20</v>
      </c>
      <c r="BJ34" s="16"/>
    </row>
    <row r="35" spans="1:73" hidden="true">
      <c r="D35" s="9" t="s">
        <v>13</v>
      </c>
      <c r="E35" s="2">
        <v>45383</v>
      </c>
      <c r="F35" s="55">
        <f>N35</f>
        <v>7086.15</v>
      </c>
      <c r="G35" s="61">
        <v>2446</v>
      </c>
      <c r="H35" s="22">
        <v>2681</v>
      </c>
      <c r="I35" s="117">
        <v>1959.15</v>
      </c>
      <c r="N35" s="22">
        <f>SUM(G35:M35)</f>
        <v>7086.15</v>
      </c>
      <c r="P35" s="9" t="s">
        <v>13</v>
      </c>
      <c r="Q35" s="2">
        <v>45383</v>
      </c>
      <c r="R35" s="55">
        <f>AA35</f>
        <v>7240</v>
      </c>
      <c r="S35" s="59">
        <v>2344</v>
      </c>
      <c r="T35" s="72">
        <v>466</v>
      </c>
      <c r="U35" s="72">
        <v>1244</v>
      </c>
      <c r="V35" s="72">
        <v>2113</v>
      </c>
      <c r="W35">
        <v>1073</v>
      </c>
      <c r="AA35" s="68">
        <f>SUM(S35:Z35)</f>
        <v>7240</v>
      </c>
      <c r="AB35" s="9" t="s">
        <v>13</v>
      </c>
      <c r="AC35" s="19">
        <v>45383</v>
      </c>
      <c r="AD35" s="4">
        <f>F35+R35</f>
        <v>14326.15</v>
      </c>
      <c r="AE35" s="1"/>
    </row>
    <row r="36" spans="1:73" hidden="true">
      <c r="D36" s="9" t="s">
        <v>14</v>
      </c>
      <c r="E36" s="2">
        <v>45384</v>
      </c>
      <c r="F36" s="55">
        <f>N36</f>
        <v>6526.35</v>
      </c>
      <c r="G36" s="61">
        <v>2702.45</v>
      </c>
      <c r="H36" s="22">
        <v>2450.65</v>
      </c>
      <c r="I36" s="117">
        <v>1373.25</v>
      </c>
      <c r="N36" s="22">
        <f>SUM(G36:M36)</f>
        <v>6526.35</v>
      </c>
      <c r="P36" s="9" t="s">
        <v>14</v>
      </c>
      <c r="Q36" s="2">
        <v>45384</v>
      </c>
      <c r="R36" s="55">
        <f>AA36</f>
        <v>7320</v>
      </c>
      <c r="S36" s="59">
        <v>1602</v>
      </c>
      <c r="T36" s="72">
        <v>758</v>
      </c>
      <c r="U36" s="72">
        <v>2164</v>
      </c>
      <c r="V36" s="72">
        <v>1308</v>
      </c>
      <c r="W36">
        <v>1488</v>
      </c>
      <c r="AA36" s="68">
        <f>SUM(S36:Z36)</f>
        <v>7320</v>
      </c>
      <c r="AB36" s="9" t="s">
        <v>14</v>
      </c>
      <c r="AC36" s="19">
        <v>45384</v>
      </c>
      <c r="AD36" s="4">
        <f>F36+R36</f>
        <v>13846.35</v>
      </c>
      <c r="AE36" s="1"/>
    </row>
    <row r="37" spans="1:73" hidden="true">
      <c r="D37" s="9" t="s">
        <v>15</v>
      </c>
      <c r="E37" s="2">
        <v>45385</v>
      </c>
      <c r="F37" s="55">
        <f>N37</f>
        <v>9175.5</v>
      </c>
      <c r="G37" s="61">
        <v>2996.15</v>
      </c>
      <c r="H37" s="22">
        <v>3482.15</v>
      </c>
      <c r="I37" s="117">
        <v>2697.2</v>
      </c>
      <c r="N37" s="22">
        <f>SUM(G37:M37)</f>
        <v>9175.5</v>
      </c>
      <c r="P37" s="9" t="s">
        <v>15</v>
      </c>
      <c r="Q37" s="2">
        <v>45385</v>
      </c>
      <c r="R37" s="55">
        <f>AA37</f>
        <v>8325</v>
      </c>
      <c r="S37" s="59">
        <v>1174</v>
      </c>
      <c r="T37" s="72">
        <v>0</v>
      </c>
      <c r="U37" s="72">
        <v>3693</v>
      </c>
      <c r="V37" s="72">
        <v>1502</v>
      </c>
      <c r="W37">
        <v>1956</v>
      </c>
      <c r="AA37" s="68">
        <f>SUM(S37:Z37)</f>
        <v>8325</v>
      </c>
      <c r="AB37" s="9" t="s">
        <v>15</v>
      </c>
      <c r="AC37" s="19">
        <v>45385</v>
      </c>
      <c r="AD37" s="4">
        <f>F37+R37</f>
        <v>17500.5</v>
      </c>
      <c r="AE37" s="1"/>
    </row>
    <row r="38" spans="1:73" hidden="true">
      <c r="D38" s="9" t="s">
        <v>16</v>
      </c>
      <c r="E38" s="2">
        <v>45386</v>
      </c>
      <c r="F38" s="55">
        <f>N38</f>
        <v>9176.1</v>
      </c>
      <c r="G38" s="61">
        <v>2710.55</v>
      </c>
      <c r="H38" s="22">
        <v>4216.75</v>
      </c>
      <c r="I38" s="117">
        <v>2248.8</v>
      </c>
      <c r="N38" s="22">
        <f>SUM(G38:M38)</f>
        <v>9176.1</v>
      </c>
      <c r="P38" s="9" t="s">
        <v>16</v>
      </c>
      <c r="Q38" s="2">
        <v>45386</v>
      </c>
      <c r="R38" s="55">
        <f>AA38</f>
        <v>5840</v>
      </c>
      <c r="S38" s="59">
        <v>0</v>
      </c>
      <c r="T38" s="72">
        <v>394</v>
      </c>
      <c r="U38" s="72">
        <v>2256</v>
      </c>
      <c r="V38" s="72">
        <v>1128</v>
      </c>
      <c r="W38">
        <v>2062</v>
      </c>
      <c r="AA38" s="68">
        <f>SUM(S38:Z38)</f>
        <v>5840</v>
      </c>
      <c r="AB38" s="9" t="s">
        <v>16</v>
      </c>
      <c r="AC38" s="19">
        <v>45386</v>
      </c>
      <c r="AD38" s="4">
        <f>F38+R38</f>
        <v>15016.1</v>
      </c>
      <c r="AE38" s="1"/>
    </row>
    <row r="39" spans="1:73" hidden="true">
      <c r="D39" s="9" t="s">
        <v>10</v>
      </c>
      <c r="E39" s="2">
        <v>45387</v>
      </c>
      <c r="F39" s="55">
        <f>N39</f>
        <v>7518.1</v>
      </c>
      <c r="G39" s="61">
        <v>1982.95</v>
      </c>
      <c r="H39" s="22">
        <v>2889.2</v>
      </c>
      <c r="I39" s="117">
        <v>2645.95</v>
      </c>
      <c r="N39" s="22">
        <f>SUM(G39:M39)</f>
        <v>7518.1</v>
      </c>
      <c r="P39" s="9" t="s">
        <v>10</v>
      </c>
      <c r="Q39" s="2">
        <v>45387</v>
      </c>
      <c r="R39" s="55">
        <f>AA39</f>
        <v>8477</v>
      </c>
      <c r="S39" s="59">
        <v>1444</v>
      </c>
      <c r="T39" s="72">
        <v>496</v>
      </c>
      <c r="U39" s="72">
        <v>1799</v>
      </c>
      <c r="V39" s="72">
        <v>4242</v>
      </c>
      <c r="W39">
        <v>496</v>
      </c>
      <c r="AA39" s="68">
        <f>SUM(S39:Z39)</f>
        <v>8477</v>
      </c>
      <c r="AB39" s="9" t="s">
        <v>10</v>
      </c>
      <c r="AC39" s="19">
        <v>45387</v>
      </c>
      <c r="AD39" s="4">
        <f>F39+R39</f>
        <v>15995.1</v>
      </c>
      <c r="AE39" s="1"/>
    </row>
    <row r="40" spans="1:73" hidden="true">
      <c r="D40" s="9" t="s">
        <v>11</v>
      </c>
      <c r="E40" s="2">
        <v>45388</v>
      </c>
      <c r="F40" s="55">
        <f>N40</f>
        <v>11306.6</v>
      </c>
      <c r="G40" s="61">
        <v>3729.75</v>
      </c>
      <c r="H40" s="22">
        <v>4528.75</v>
      </c>
      <c r="I40" s="117">
        <v>3048.1</v>
      </c>
      <c r="N40" s="22">
        <f>SUM(G40:M40)</f>
        <v>11306.6</v>
      </c>
      <c r="P40" s="9" t="s">
        <v>11</v>
      </c>
      <c r="Q40" s="2">
        <v>45388</v>
      </c>
      <c r="R40" s="55">
        <f>AA40</f>
        <v>8765</v>
      </c>
      <c r="S40" s="59">
        <v>4542</v>
      </c>
      <c r="T40" s="72">
        <v>196</v>
      </c>
      <c r="U40" s="72">
        <v>1370</v>
      </c>
      <c r="V40" s="72">
        <v>562</v>
      </c>
      <c r="W40">
        <v>2095</v>
      </c>
      <c r="AA40" s="68">
        <f>SUM(S40:Z40)</f>
        <v>8765</v>
      </c>
      <c r="AB40" s="9" t="s">
        <v>11</v>
      </c>
      <c r="AC40" s="19">
        <v>45388</v>
      </c>
      <c r="AD40" s="4">
        <f>F40+R40</f>
        <v>20071.6</v>
      </c>
      <c r="AE40" s="1"/>
    </row>
    <row r="41" spans="1:73" hidden="true">
      <c r="D41" s="9" t="s">
        <v>12</v>
      </c>
      <c r="E41" s="2">
        <v>45389</v>
      </c>
      <c r="F41" s="55">
        <f>N41</f>
        <v>9973.45</v>
      </c>
      <c r="G41" s="61">
        <v>2464.3</v>
      </c>
      <c r="H41" s="22">
        <v>4847.45</v>
      </c>
      <c r="I41" s="117">
        <v>2661.7</v>
      </c>
      <c r="N41" s="22">
        <f>SUM(G41:M41)</f>
        <v>9973.45</v>
      </c>
      <c r="P41" s="9" t="s">
        <v>12</v>
      </c>
      <c r="Q41" s="2">
        <v>45389</v>
      </c>
      <c r="R41" s="55">
        <f>AA41</f>
        <v>6010</v>
      </c>
      <c r="S41" s="59">
        <v>810</v>
      </c>
      <c r="T41" s="72">
        <v>560</v>
      </c>
      <c r="U41" s="72">
        <v>1412</v>
      </c>
      <c r="V41" s="72">
        <v>1718</v>
      </c>
      <c r="W41">
        <v>1510</v>
      </c>
      <c r="AA41" s="68">
        <f>SUM(S41:Z41)</f>
        <v>6010</v>
      </c>
      <c r="AB41" s="9" t="s">
        <v>12</v>
      </c>
      <c r="AC41" s="19">
        <v>45389</v>
      </c>
      <c r="AD41" s="4">
        <f>F41+R41</f>
        <v>15983.45</v>
      </c>
      <c r="AE41" s="1"/>
    </row>
    <row r="42" spans="1:73" hidden="true">
      <c r="D42" s="9" t="s">
        <v>13</v>
      </c>
      <c r="E42" s="2">
        <v>45390</v>
      </c>
      <c r="F42" s="55">
        <f>N42</f>
        <v>8857.45</v>
      </c>
      <c r="G42" s="61">
        <v>3637.75</v>
      </c>
      <c r="H42" s="22">
        <v>4033.05</v>
      </c>
      <c r="I42" s="117">
        <v>1186.65</v>
      </c>
      <c r="N42" s="22">
        <f>SUM(G42:M42)</f>
        <v>8857.45</v>
      </c>
      <c r="P42" s="9" t="s">
        <v>13</v>
      </c>
      <c r="Q42" s="2">
        <v>45390</v>
      </c>
      <c r="R42" s="55">
        <f>AA42</f>
        <v>11573</v>
      </c>
      <c r="S42" s="59">
        <v>2852</v>
      </c>
      <c r="T42" s="72">
        <v>864</v>
      </c>
      <c r="U42" s="72">
        <v>2432</v>
      </c>
      <c r="V42" s="72">
        <v>2249</v>
      </c>
      <c r="W42">
        <v>3176</v>
      </c>
      <c r="AA42" s="68">
        <f>SUM(S42:Z42)</f>
        <v>11573</v>
      </c>
      <c r="AB42" s="9" t="s">
        <v>13</v>
      </c>
      <c r="AC42" s="19">
        <v>45390</v>
      </c>
      <c r="AD42" s="4">
        <f>F42+R42</f>
        <v>20430.45</v>
      </c>
      <c r="AE42" s="1"/>
      <c r="AM42">
        <v>121974</v>
      </c>
    </row>
    <row r="43" spans="1:73" hidden="true">
      <c r="D43" s="9" t="s">
        <v>14</v>
      </c>
      <c r="E43" s="2">
        <v>45391</v>
      </c>
      <c r="F43" s="55">
        <f>N43</f>
        <v>7608.45</v>
      </c>
      <c r="G43" s="61">
        <v>2753.95</v>
      </c>
      <c r="H43" s="22">
        <v>3494.75</v>
      </c>
      <c r="I43" s="117">
        <v>1359.75</v>
      </c>
      <c r="N43" s="22">
        <f>SUM(G43:M43)</f>
        <v>7608.45</v>
      </c>
      <c r="P43" s="9" t="s">
        <v>14</v>
      </c>
      <c r="Q43" s="2">
        <v>45391</v>
      </c>
      <c r="R43" s="55">
        <f>AA43</f>
        <v>5996</v>
      </c>
      <c r="S43" s="59">
        <v>1544</v>
      </c>
      <c r="T43" s="72">
        <v>268</v>
      </c>
      <c r="U43" s="72">
        <v>1390</v>
      </c>
      <c r="V43" s="72">
        <v>1604</v>
      </c>
      <c r="W43">
        <v>1190</v>
      </c>
      <c r="AA43" s="68">
        <f>SUM(S43:Z43)</f>
        <v>5996</v>
      </c>
      <c r="AB43" s="9" t="s">
        <v>14</v>
      </c>
      <c r="AC43" s="19">
        <v>45391</v>
      </c>
      <c r="AD43" s="4">
        <f>F43+R43</f>
        <v>13604.45</v>
      </c>
      <c r="AE43" s="1"/>
      <c r="AM43">
        <v>6400</v>
      </c>
    </row>
    <row r="44" spans="1:73" hidden="true">
      <c r="D44" s="9" t="s">
        <v>15</v>
      </c>
      <c r="E44" s="2">
        <v>45392</v>
      </c>
      <c r="F44" s="55">
        <f>N44</f>
        <v>5552.45</v>
      </c>
      <c r="G44" s="61">
        <v>1739.95</v>
      </c>
      <c r="H44" s="22">
        <v>2413.35</v>
      </c>
      <c r="I44" s="117">
        <v>1399.15</v>
      </c>
      <c r="N44" s="22">
        <f>SUM(G44:M44)</f>
        <v>5552.45</v>
      </c>
      <c r="P44" s="9" t="s">
        <v>15</v>
      </c>
      <c r="Q44" s="2">
        <v>45392</v>
      </c>
      <c r="R44" s="55">
        <f>AA44</f>
        <v>5291</v>
      </c>
      <c r="S44" s="59">
        <v>574</v>
      </c>
      <c r="T44" s="72">
        <v>1731</v>
      </c>
      <c r="U44" s="72">
        <v>1432</v>
      </c>
      <c r="V44" s="72">
        <v>1128</v>
      </c>
      <c r="W44">
        <v>426</v>
      </c>
      <c r="AA44" s="68">
        <f>SUM(S44:Z44)</f>
        <v>5291</v>
      </c>
      <c r="AB44" s="9" t="s">
        <v>15</v>
      </c>
      <c r="AC44" s="19">
        <v>45392</v>
      </c>
      <c r="AD44" s="4">
        <f>F44+R44</f>
        <v>10843.45</v>
      </c>
      <c r="AE44" s="1"/>
      <c r="AM44">
        <f>SUM(AM42:AM43)</f>
        <v>128374</v>
      </c>
    </row>
    <row r="45" spans="1:73" hidden="true">
      <c r="D45" s="9" t="s">
        <v>16</v>
      </c>
      <c r="E45" s="2">
        <v>45393</v>
      </c>
      <c r="F45" s="55">
        <f>N45</f>
        <v>5948.2</v>
      </c>
      <c r="G45" s="61">
        <v>2534.85</v>
      </c>
      <c r="H45" s="22">
        <v>2430.85</v>
      </c>
      <c r="I45" s="117">
        <v>982.5</v>
      </c>
      <c r="N45" s="22">
        <f>SUM(G45:M45)</f>
        <v>5948.2</v>
      </c>
      <c r="P45" s="9" t="s">
        <v>16</v>
      </c>
      <c r="Q45" s="2">
        <v>45393</v>
      </c>
      <c r="R45" s="55">
        <f>AA45</f>
        <v>5944</v>
      </c>
      <c r="S45" s="59">
        <v>1934</v>
      </c>
      <c r="T45" s="72">
        <v>730</v>
      </c>
      <c r="U45" s="72">
        <v>694</v>
      </c>
      <c r="V45" s="72">
        <v>890</v>
      </c>
      <c r="W45">
        <v>1696</v>
      </c>
      <c r="AA45" s="68">
        <f>SUM(S45:Z45)</f>
        <v>5944</v>
      </c>
      <c r="AB45" s="9" t="s">
        <v>16</v>
      </c>
      <c r="AC45" s="19">
        <v>45393</v>
      </c>
      <c r="AD45" s="4">
        <f>F45+R45</f>
        <v>11892.2</v>
      </c>
      <c r="AE45" s="1"/>
    </row>
    <row r="46" spans="1:73" hidden="true">
      <c r="D46" s="9" t="s">
        <v>10</v>
      </c>
      <c r="E46" s="2">
        <v>45394</v>
      </c>
      <c r="F46" s="55">
        <f>N46</f>
        <v>6568.2</v>
      </c>
      <c r="G46" s="61">
        <v>2671.2</v>
      </c>
      <c r="H46" s="22">
        <v>2916</v>
      </c>
      <c r="I46" s="117">
        <v>981</v>
      </c>
      <c r="N46" s="22">
        <f>SUM(G46:M46)</f>
        <v>6568.2</v>
      </c>
      <c r="P46" s="9" t="s">
        <v>10</v>
      </c>
      <c r="Q46" s="2">
        <v>45394</v>
      </c>
      <c r="R46" s="55">
        <f>AA46</f>
        <v>8369</v>
      </c>
      <c r="S46" s="59">
        <v>2175</v>
      </c>
      <c r="T46" s="72">
        <v>1422</v>
      </c>
      <c r="U46" s="72">
        <v>676</v>
      </c>
      <c r="V46" s="72">
        <v>3174</v>
      </c>
      <c r="W46">
        <v>922</v>
      </c>
      <c r="AA46" s="68">
        <f>SUM(S46:Z46)</f>
        <v>8369</v>
      </c>
      <c r="AB46" s="9" t="s">
        <v>10</v>
      </c>
      <c r="AC46" s="19">
        <v>45394</v>
      </c>
      <c r="AD46" s="4">
        <f>F46+R46</f>
        <v>14937.2</v>
      </c>
      <c r="AE46" s="1"/>
    </row>
    <row r="47" spans="1:73" hidden="true">
      <c r="D47" s="9" t="s">
        <v>11</v>
      </c>
      <c r="E47" s="2">
        <v>45395</v>
      </c>
      <c r="F47" s="55">
        <f>N47</f>
        <v>8490.1</v>
      </c>
      <c r="G47" s="61">
        <v>2702.55</v>
      </c>
      <c r="H47" s="22">
        <v>4352.55</v>
      </c>
      <c r="I47" s="117">
        <v>1435</v>
      </c>
      <c r="K47" s="22"/>
      <c r="M47" s="22"/>
      <c r="N47" s="22">
        <f>SUM(G47:M47)</f>
        <v>8490.1</v>
      </c>
      <c r="P47" s="9" t="s">
        <v>11</v>
      </c>
      <c r="Q47" s="2">
        <v>45395</v>
      </c>
      <c r="R47" s="55">
        <f>AA47</f>
        <v>11380</v>
      </c>
      <c r="S47" s="59">
        <v>2892</v>
      </c>
      <c r="T47" s="72">
        <v>458</v>
      </c>
      <c r="U47" s="72">
        <v>2582</v>
      </c>
      <c r="V47" s="72">
        <v>3702</v>
      </c>
      <c r="W47">
        <v>1746</v>
      </c>
      <c r="AA47" s="68">
        <f>SUM(S47:Z47)</f>
        <v>11380</v>
      </c>
      <c r="AB47" s="9" t="s">
        <v>11</v>
      </c>
      <c r="AC47" s="19">
        <v>45395</v>
      </c>
      <c r="AD47" s="4">
        <f>F47+R47</f>
        <v>19870.1</v>
      </c>
      <c r="AE47" s="1"/>
    </row>
    <row r="48" spans="1:73" hidden="true">
      <c r="D48" s="9" t="s">
        <v>12</v>
      </c>
      <c r="E48" s="2">
        <v>45396</v>
      </c>
      <c r="F48" s="55">
        <f>N48</f>
        <v>7689.7</v>
      </c>
      <c r="G48" s="61">
        <v>1993.9</v>
      </c>
      <c r="H48" s="22">
        <v>4554.1</v>
      </c>
      <c r="I48" s="117">
        <v>1141.7</v>
      </c>
      <c r="K48" s="22"/>
      <c r="M48" s="22"/>
      <c r="N48" s="22">
        <f>SUM(G48:M48)</f>
        <v>7689.7</v>
      </c>
      <c r="P48" s="9" t="s">
        <v>12</v>
      </c>
      <c r="Q48" s="2">
        <v>45396</v>
      </c>
      <c r="R48" s="55">
        <f>AA48</f>
        <v>8815</v>
      </c>
      <c r="S48" s="59">
        <v>1398</v>
      </c>
      <c r="T48" s="72">
        <v>198</v>
      </c>
      <c r="U48" s="72">
        <v>2890</v>
      </c>
      <c r="V48" s="72">
        <v>2613</v>
      </c>
      <c r="W48">
        <v>1716</v>
      </c>
      <c r="AA48" s="68">
        <f>SUM(S48:Z48)</f>
        <v>8815</v>
      </c>
      <c r="AB48" s="9" t="s">
        <v>12</v>
      </c>
      <c r="AC48" s="19">
        <v>45396</v>
      </c>
      <c r="AD48" s="4">
        <f>F48+R48</f>
        <v>16504.7</v>
      </c>
      <c r="AE48" s="1"/>
    </row>
    <row r="49" spans="1:73" hidden="true">
      <c r="D49" s="9" t="s">
        <v>13</v>
      </c>
      <c r="E49" s="2">
        <v>45397</v>
      </c>
      <c r="F49" s="55">
        <f>N49</f>
        <v>7207.7</v>
      </c>
      <c r="G49" s="61">
        <v>3222.15</v>
      </c>
      <c r="H49" s="22">
        <v>2523.95</v>
      </c>
      <c r="I49" s="117">
        <v>1461.6</v>
      </c>
      <c r="J49" s="22"/>
      <c r="K49" s="22"/>
      <c r="L49" s="22"/>
      <c r="M49" s="22"/>
      <c r="N49" s="22">
        <f>SUM(G49:M49)</f>
        <v>7207.7</v>
      </c>
      <c r="P49" s="9" t="s">
        <v>13</v>
      </c>
      <c r="Q49" s="2">
        <v>45397</v>
      </c>
      <c r="R49" s="55">
        <f>AA49</f>
        <v>7610</v>
      </c>
      <c r="S49" s="59">
        <v>808</v>
      </c>
      <c r="T49" s="72">
        <v>2288</v>
      </c>
      <c r="U49" s="72">
        <v>1182</v>
      </c>
      <c r="V49" s="72">
        <v>2032</v>
      </c>
      <c r="W49">
        <v>1300</v>
      </c>
      <c r="AA49" s="68">
        <f>SUM(S49:Z49)</f>
        <v>7610</v>
      </c>
      <c r="AB49" s="9" t="s">
        <v>13</v>
      </c>
      <c r="AC49" s="19">
        <v>45397</v>
      </c>
      <c r="AD49" s="4">
        <f>F49+R49</f>
        <v>14817.7</v>
      </c>
      <c r="AE49" s="1"/>
    </row>
    <row r="50" spans="1:73" hidden="true">
      <c r="D50" s="9" t="s">
        <v>14</v>
      </c>
      <c r="E50" s="2">
        <v>45398</v>
      </c>
      <c r="F50" s="55">
        <f>N50</f>
        <v>4894.8</v>
      </c>
      <c r="G50" s="61">
        <v>1971.85</v>
      </c>
      <c r="H50" s="22">
        <v>2069.75</v>
      </c>
      <c r="I50" s="117">
        <v>853.2</v>
      </c>
      <c r="J50" s="22"/>
      <c r="K50" s="22"/>
      <c r="L50" s="22"/>
      <c r="M50" s="22"/>
      <c r="N50" s="22">
        <f>SUM(G50:M50)</f>
        <v>4894.8</v>
      </c>
      <c r="P50" s="9" t="s">
        <v>14</v>
      </c>
      <c r="Q50" s="2">
        <v>45398</v>
      </c>
      <c r="R50" s="55">
        <f>AA50</f>
        <v>4720</v>
      </c>
      <c r="S50" s="59">
        <v>602</v>
      </c>
      <c r="T50" s="72">
        <v>1318</v>
      </c>
      <c r="U50" s="72">
        <v>704</v>
      </c>
      <c r="V50" s="72">
        <v>1254</v>
      </c>
      <c r="W50">
        <v>842</v>
      </c>
      <c r="AA50" s="68">
        <f>SUM(S50:Z50)</f>
        <v>4720</v>
      </c>
      <c r="AB50" s="9" t="s">
        <v>14</v>
      </c>
      <c r="AC50" s="19">
        <v>45398</v>
      </c>
      <c r="AD50" s="4">
        <f>F50+R50</f>
        <v>9614.8</v>
      </c>
      <c r="AE50" s="1"/>
      <c r="AF50" s="17">
        <v>45384</v>
      </c>
      <c r="AG50" s="17"/>
      <c r="AH50" t="s">
        <v>17</v>
      </c>
      <c r="AI50" s="32">
        <v>4000</v>
      </c>
    </row>
    <row r="51" spans="1:73" hidden="true">
      <c r="D51" s="9" t="s">
        <v>15</v>
      </c>
      <c r="E51" s="2">
        <v>45399</v>
      </c>
      <c r="F51" s="55">
        <f>N51</f>
        <v>4755.95</v>
      </c>
      <c r="G51" s="61">
        <v>2240.45</v>
      </c>
      <c r="H51" s="22">
        <v>1733.4</v>
      </c>
      <c r="I51" s="117">
        <v>782.1</v>
      </c>
      <c r="J51" s="22"/>
      <c r="K51" s="22"/>
      <c r="L51" s="22"/>
      <c r="M51" s="22"/>
      <c r="N51" s="22">
        <f>SUM(G51:M51)</f>
        <v>4755.95</v>
      </c>
      <c r="P51" s="9" t="s">
        <v>15</v>
      </c>
      <c r="Q51" s="2">
        <v>45399</v>
      </c>
      <c r="R51" s="55">
        <f>AA51</f>
        <v>9851</v>
      </c>
      <c r="S51" s="59">
        <v>1747</v>
      </c>
      <c r="T51" s="72">
        <v>1714</v>
      </c>
      <c r="U51" s="72">
        <v>2666</v>
      </c>
      <c r="V51" s="72">
        <v>2008</v>
      </c>
      <c r="W51">
        <v>1716</v>
      </c>
      <c r="AA51" s="68">
        <f>SUM(S51:Z51)</f>
        <v>9851</v>
      </c>
      <c r="AB51" s="9" t="s">
        <v>15</v>
      </c>
      <c r="AC51" s="19">
        <v>45399</v>
      </c>
      <c r="AD51" s="4">
        <f>F51+R51</f>
        <v>14606.95</v>
      </c>
      <c r="AE51" s="1"/>
      <c r="AF51" s="17">
        <v>45385</v>
      </c>
      <c r="AG51" s="17"/>
      <c r="AH51" t="s">
        <v>18</v>
      </c>
      <c r="AI51">
        <v>664</v>
      </c>
    </row>
    <row r="52" spans="1:73" hidden="true">
      <c r="D52" s="9" t="s">
        <v>16</v>
      </c>
      <c r="E52" s="2">
        <v>45400</v>
      </c>
      <c r="F52" s="55">
        <f>N52</f>
        <v>7436.65</v>
      </c>
      <c r="G52" s="61">
        <v>2335.75</v>
      </c>
      <c r="H52" s="22">
        <v>3589.65</v>
      </c>
      <c r="I52" s="117">
        <v>1511.25</v>
      </c>
      <c r="J52" s="22"/>
      <c r="K52" s="22"/>
      <c r="L52" s="22"/>
      <c r="M52" s="22"/>
      <c r="N52" s="22">
        <f>SUM(G52:M52)</f>
        <v>7436.65</v>
      </c>
      <c r="P52" s="9" t="s">
        <v>16</v>
      </c>
      <c r="Q52" s="2">
        <v>45400</v>
      </c>
      <c r="R52" s="55">
        <f>AA52</f>
        <v>3533</v>
      </c>
      <c r="S52" s="59">
        <v>1141</v>
      </c>
      <c r="T52" s="72">
        <v>592</v>
      </c>
      <c r="U52" s="72">
        <v>338</v>
      </c>
      <c r="V52" s="72">
        <v>1462</v>
      </c>
      <c r="W52">
        <v>0</v>
      </c>
      <c r="AA52" s="68">
        <f>SUM(S52:Z52)</f>
        <v>3533</v>
      </c>
      <c r="AB52" s="9" t="s">
        <v>16</v>
      </c>
      <c r="AC52" s="19">
        <v>45400</v>
      </c>
      <c r="AD52" s="4">
        <f>F52+R52</f>
        <v>10969.65</v>
      </c>
      <c r="AE52" s="1"/>
      <c r="AF52" s="17">
        <v>45386</v>
      </c>
      <c r="AG52" s="17"/>
      <c r="AH52" t="s">
        <v>19</v>
      </c>
      <c r="AI52" s="32">
        <v>12000</v>
      </c>
    </row>
    <row r="53" spans="1:73" hidden="true">
      <c r="D53" s="9" t="s">
        <v>10</v>
      </c>
      <c r="E53" s="2">
        <v>45401</v>
      </c>
      <c r="F53" s="55">
        <f>N53</f>
        <v>5583.45</v>
      </c>
      <c r="G53" s="61">
        <v>2627.05</v>
      </c>
      <c r="H53" s="22">
        <v>1761.6</v>
      </c>
      <c r="I53" s="117">
        <v>1194.8</v>
      </c>
      <c r="J53" s="22"/>
      <c r="K53" s="22"/>
      <c r="L53" s="22"/>
      <c r="M53" s="22"/>
      <c r="N53" s="22">
        <f>SUM(G53:M53)</f>
        <v>5583.45</v>
      </c>
      <c r="P53" s="9" t="s">
        <v>10</v>
      </c>
      <c r="Q53" s="2">
        <v>45401</v>
      </c>
      <c r="R53" s="55">
        <f>AA53</f>
        <v>5744</v>
      </c>
      <c r="S53" s="59">
        <v>1168</v>
      </c>
      <c r="T53" s="72">
        <v>424</v>
      </c>
      <c r="U53" s="72">
        <v>1014</v>
      </c>
      <c r="V53" s="72">
        <v>2484</v>
      </c>
      <c r="W53">
        <v>654</v>
      </c>
      <c r="AA53" s="68">
        <f>SUM(S53:Z53)</f>
        <v>5744</v>
      </c>
      <c r="AB53" s="9" t="s">
        <v>10</v>
      </c>
      <c r="AC53" s="19">
        <v>45401</v>
      </c>
      <c r="AD53" s="4">
        <f>F53+R53</f>
        <v>11327.45</v>
      </c>
      <c r="AE53" s="1"/>
      <c r="AF53" s="17"/>
      <c r="AG53" s="17"/>
    </row>
    <row r="54" spans="1:73" hidden="true">
      <c r="D54" s="9" t="s">
        <v>11</v>
      </c>
      <c r="E54" s="2">
        <v>45402</v>
      </c>
      <c r="F54" s="55">
        <f>N54</f>
        <v>5763.65</v>
      </c>
      <c r="G54" s="61">
        <v>2232.1</v>
      </c>
      <c r="H54" s="22">
        <v>2673.65</v>
      </c>
      <c r="I54" s="117">
        <v>857.9</v>
      </c>
      <c r="J54" s="22"/>
      <c r="K54" s="22"/>
      <c r="L54" s="22"/>
      <c r="M54" s="22"/>
      <c r="N54" s="22">
        <f>SUM(G54:M54)</f>
        <v>5763.65</v>
      </c>
      <c r="P54" s="9" t="s">
        <v>11</v>
      </c>
      <c r="Q54" s="2">
        <v>45402</v>
      </c>
      <c r="R54" s="55">
        <f>AA54</f>
        <v>5875</v>
      </c>
      <c r="S54" s="59">
        <v>1466</v>
      </c>
      <c r="T54" s="72">
        <v>1311</v>
      </c>
      <c r="U54" s="72">
        <v>198</v>
      </c>
      <c r="V54" s="72">
        <v>2314</v>
      </c>
      <c r="W54">
        <v>586</v>
      </c>
      <c r="AA54" s="68">
        <f>SUM(S54:Z54)</f>
        <v>5875</v>
      </c>
      <c r="AB54" s="9" t="s">
        <v>11</v>
      </c>
      <c r="AC54" s="19">
        <v>45402</v>
      </c>
      <c r="AD54" s="4">
        <f>F54+R54</f>
        <v>11638.65</v>
      </c>
      <c r="AE54" s="1"/>
      <c r="AF54" s="17">
        <v>45393</v>
      </c>
      <c r="AG54" s="17"/>
      <c r="AH54" t="s">
        <v>20</v>
      </c>
      <c r="AI54">
        <f>(2000+129)</f>
        <v>2129</v>
      </c>
    </row>
    <row r="55" spans="1:73" hidden="true">
      <c r="D55" s="9" t="s">
        <v>12</v>
      </c>
      <c r="E55" s="2">
        <v>45403</v>
      </c>
      <c r="F55" s="55">
        <f>N55</f>
        <v>6571.3</v>
      </c>
      <c r="G55" s="61">
        <v>2923.2</v>
      </c>
      <c r="H55" s="22">
        <v>2355.95</v>
      </c>
      <c r="I55" s="117">
        <v>1292.15</v>
      </c>
      <c r="J55" s="22"/>
      <c r="K55" s="22"/>
      <c r="L55" s="22"/>
      <c r="M55" s="22"/>
      <c r="N55" s="22">
        <f>SUM(G55:M55)</f>
        <v>6571.3</v>
      </c>
      <c r="P55" s="9" t="s">
        <v>12</v>
      </c>
      <c r="Q55" s="2">
        <v>45403</v>
      </c>
      <c r="R55" s="55">
        <f>AA55</f>
        <v>7360</v>
      </c>
      <c r="S55" s="59">
        <v>2536</v>
      </c>
      <c r="T55" s="72">
        <v>1030</v>
      </c>
      <c r="U55" s="72">
        <v>1134</v>
      </c>
      <c r="V55" s="72">
        <v>2064</v>
      </c>
      <c r="W55">
        <v>596</v>
      </c>
      <c r="AA55" s="68">
        <f>SUM(S55:Z55)</f>
        <v>7360</v>
      </c>
      <c r="AB55" s="9" t="s">
        <v>12</v>
      </c>
      <c r="AC55" s="19">
        <v>45403</v>
      </c>
      <c r="AD55" s="4">
        <f>F55+R55</f>
        <v>13931.3</v>
      </c>
      <c r="AE55" s="1"/>
    </row>
    <row r="56" spans="1:73" hidden="true">
      <c r="D56" s="9" t="s">
        <v>13</v>
      </c>
      <c r="E56" s="2">
        <v>45404</v>
      </c>
      <c r="F56" s="55">
        <f>N56</f>
        <v>5895.6</v>
      </c>
      <c r="G56" s="61">
        <v>2275.65</v>
      </c>
      <c r="H56" s="22">
        <v>2197.1</v>
      </c>
      <c r="I56" s="117">
        <v>1422.85</v>
      </c>
      <c r="J56" s="22"/>
      <c r="K56" s="22"/>
      <c r="L56" s="22"/>
      <c r="M56" s="22"/>
      <c r="N56" s="22">
        <f>SUM(G56:M56)</f>
        <v>5895.6</v>
      </c>
      <c r="P56" s="9" t="s">
        <v>13</v>
      </c>
      <c r="Q56" s="2">
        <v>45404</v>
      </c>
      <c r="R56" s="55">
        <f>AA56</f>
        <v>8924</v>
      </c>
      <c r="S56" s="59">
        <v>1424</v>
      </c>
      <c r="T56" s="72">
        <v>196</v>
      </c>
      <c r="U56" s="72">
        <v>2712</v>
      </c>
      <c r="V56" s="72">
        <v>564</v>
      </c>
      <c r="W56">
        <v>4028</v>
      </c>
      <c r="AA56" s="68">
        <f>SUM(S56:Z56)</f>
        <v>8924</v>
      </c>
      <c r="AB56" s="9" t="s">
        <v>13</v>
      </c>
      <c r="AC56" s="19">
        <v>45404</v>
      </c>
      <c r="AD56" s="4">
        <f>F56+R56</f>
        <v>14819.6</v>
      </c>
      <c r="AE56" s="1"/>
    </row>
    <row r="57" spans="1:73" hidden="true">
      <c r="D57" s="9" t="s">
        <v>14</v>
      </c>
      <c r="E57" s="2">
        <v>45405</v>
      </c>
      <c r="F57" s="55">
        <f>N57</f>
        <v>4201.65</v>
      </c>
      <c r="G57" s="61">
        <v>1737.95</v>
      </c>
      <c r="H57" s="22">
        <v>2463.7</v>
      </c>
      <c r="I57" s="117">
        <v>0</v>
      </c>
      <c r="J57" s="22"/>
      <c r="K57" s="22"/>
      <c r="L57" s="22"/>
      <c r="M57" s="22"/>
      <c r="N57" s="22">
        <f>SUM(G57:M57)</f>
        <v>4201.65</v>
      </c>
      <c r="P57" s="9" t="s">
        <v>14</v>
      </c>
      <c r="Q57" s="2">
        <v>45405</v>
      </c>
      <c r="R57" s="55">
        <f>AA57</f>
        <v>5779</v>
      </c>
      <c r="S57" s="59">
        <v>1150</v>
      </c>
      <c r="T57" s="72">
        <v>1180</v>
      </c>
      <c r="U57" s="72">
        <v>1470</v>
      </c>
      <c r="V57" s="72">
        <v>1294</v>
      </c>
      <c r="W57">
        <v>685</v>
      </c>
      <c r="AA57" s="68">
        <f>SUM(S57:Z57)</f>
        <v>5779</v>
      </c>
      <c r="AB57" s="9" t="s">
        <v>14</v>
      </c>
      <c r="AC57" s="19">
        <v>45405</v>
      </c>
      <c r="AD57" s="4">
        <f>F57+R57</f>
        <v>9980.65</v>
      </c>
      <c r="AE57" s="1"/>
    </row>
    <row r="58" spans="1:73" hidden="true">
      <c r="D58" s="9" t="s">
        <v>15</v>
      </c>
      <c r="E58" s="2">
        <v>45406</v>
      </c>
      <c r="F58" s="55">
        <f>N58</f>
        <v>3500.85</v>
      </c>
      <c r="G58" s="61">
        <v>1666.3</v>
      </c>
      <c r="H58" s="22">
        <v>1834.55</v>
      </c>
      <c r="I58" s="117">
        <v>0</v>
      </c>
      <c r="J58" s="22"/>
      <c r="K58" s="22"/>
      <c r="L58" s="22"/>
      <c r="M58" s="22"/>
      <c r="N58" s="22">
        <f>SUM(G58:M58)</f>
        <v>3500.85</v>
      </c>
      <c r="P58" s="9" t="s">
        <v>15</v>
      </c>
      <c r="Q58" s="2">
        <v>45406</v>
      </c>
      <c r="R58" s="55">
        <f>AA58</f>
        <v>5224</v>
      </c>
      <c r="S58" s="59">
        <v>1344</v>
      </c>
      <c r="T58" s="72">
        <v>0</v>
      </c>
      <c r="U58" s="72">
        <v>1598</v>
      </c>
      <c r="V58" s="72">
        <v>1338</v>
      </c>
      <c r="W58">
        <v>944</v>
      </c>
      <c r="AA58" s="68">
        <f>SUM(S58:Z58)</f>
        <v>5224</v>
      </c>
      <c r="AB58" s="9" t="s">
        <v>15</v>
      </c>
      <c r="AC58" s="19">
        <v>45406</v>
      </c>
      <c r="AD58" s="4">
        <f>F58+R58</f>
        <v>8724.85</v>
      </c>
      <c r="AE58" s="1"/>
    </row>
    <row r="59" spans="1:73" hidden="true">
      <c r="D59" s="9" t="s">
        <v>16</v>
      </c>
      <c r="E59" s="2">
        <v>45407</v>
      </c>
      <c r="F59" s="55">
        <f>N59</f>
        <v>4706.35</v>
      </c>
      <c r="G59" s="61">
        <v>2255.5</v>
      </c>
      <c r="H59" s="22">
        <v>2450.85</v>
      </c>
      <c r="I59" s="117">
        <v>0</v>
      </c>
      <c r="J59" s="22"/>
      <c r="K59" s="22"/>
      <c r="L59" s="22"/>
      <c r="M59" s="22"/>
      <c r="N59" s="22">
        <f>SUM(G59:M59)</f>
        <v>4706.35</v>
      </c>
      <c r="P59" s="9" t="s">
        <v>16</v>
      </c>
      <c r="Q59" s="2">
        <v>45407</v>
      </c>
      <c r="R59" s="55">
        <f>AA59</f>
        <v>4172</v>
      </c>
      <c r="S59" s="59">
        <v>980</v>
      </c>
      <c r="T59" s="72">
        <v>280</v>
      </c>
      <c r="U59" s="72">
        <v>1632</v>
      </c>
      <c r="V59" s="72">
        <v>1052</v>
      </c>
      <c r="W59">
        <v>228</v>
      </c>
      <c r="AA59" s="68">
        <f>SUM(S59:Z59)</f>
        <v>4172</v>
      </c>
      <c r="AB59" s="9" t="s">
        <v>16</v>
      </c>
      <c r="AC59" s="19">
        <v>45407</v>
      </c>
      <c r="AD59" s="4">
        <f>F59+R59</f>
        <v>8878.35</v>
      </c>
      <c r="AE59" s="1"/>
    </row>
    <row r="60" spans="1:73" hidden="true">
      <c r="D60" s="9" t="s">
        <v>10</v>
      </c>
      <c r="E60" s="2">
        <v>45408</v>
      </c>
      <c r="F60" s="55">
        <f>N60</f>
        <v>6423.9</v>
      </c>
      <c r="G60" s="61">
        <v>2867.2</v>
      </c>
      <c r="H60" s="22">
        <v>3556.7</v>
      </c>
      <c r="I60" s="117">
        <v>0</v>
      </c>
      <c r="J60" s="22"/>
      <c r="K60" s="22"/>
      <c r="L60" s="22"/>
      <c r="M60" s="22"/>
      <c r="N60" s="22">
        <f>SUM(G60:M60)</f>
        <v>6423.9</v>
      </c>
      <c r="P60" s="9" t="s">
        <v>10</v>
      </c>
      <c r="Q60" s="2">
        <v>45408</v>
      </c>
      <c r="R60" s="55">
        <f>AA60</f>
        <v>3678</v>
      </c>
      <c r="S60" s="59">
        <v>1472</v>
      </c>
      <c r="T60" s="72">
        <v>0</v>
      </c>
      <c r="U60" s="72">
        <v>1810</v>
      </c>
      <c r="V60" s="72">
        <v>396</v>
      </c>
      <c r="W60">
        <v>0</v>
      </c>
      <c r="AA60" s="68">
        <f>SUM(S60:Z60)</f>
        <v>3678</v>
      </c>
      <c r="AB60" s="9" t="s">
        <v>10</v>
      </c>
      <c r="AC60" s="19">
        <v>45408</v>
      </c>
      <c r="AD60" s="4">
        <f>F60+R60</f>
        <v>10101.9</v>
      </c>
      <c r="AE60" s="1"/>
    </row>
    <row r="61" spans="1:73" hidden="true">
      <c r="D61" s="9" t="s">
        <v>11</v>
      </c>
      <c r="E61" s="2">
        <v>45409</v>
      </c>
      <c r="F61" s="55">
        <f>N61</f>
        <v>4395.7</v>
      </c>
      <c r="G61" s="61">
        <v>2288.4</v>
      </c>
      <c r="H61" s="22">
        <v>2107.3</v>
      </c>
      <c r="I61" s="117">
        <v>0</v>
      </c>
      <c r="J61" s="22"/>
      <c r="K61" s="22"/>
      <c r="L61" s="22"/>
      <c r="M61" s="22"/>
      <c r="N61" s="22">
        <f>SUM(G61:M61)</f>
        <v>4395.7</v>
      </c>
      <c r="P61" s="9" t="s">
        <v>11</v>
      </c>
      <c r="Q61" s="2">
        <v>45409</v>
      </c>
      <c r="R61" s="55">
        <f>AA61</f>
        <v>5023.8</v>
      </c>
      <c r="S61" s="59">
        <v>1770</v>
      </c>
      <c r="T61" s="72">
        <v>375.8</v>
      </c>
      <c r="U61" s="72">
        <v>644</v>
      </c>
      <c r="V61" s="72">
        <v>1610</v>
      </c>
      <c r="W61">
        <v>624</v>
      </c>
      <c r="AA61" s="68">
        <f>SUM(S61:Z61)</f>
        <v>5023.8</v>
      </c>
      <c r="AB61" s="9" t="s">
        <v>11</v>
      </c>
      <c r="AC61" s="19">
        <v>45409</v>
      </c>
      <c r="AD61" s="4">
        <f>F61+R61</f>
        <v>9419.5</v>
      </c>
      <c r="AE61" s="1"/>
    </row>
    <row r="62" spans="1:73" hidden="true">
      <c r="D62" s="9" t="s">
        <v>12</v>
      </c>
      <c r="E62" s="2">
        <v>45410</v>
      </c>
      <c r="F62" s="55">
        <f>N62</f>
        <v>5309.35</v>
      </c>
      <c r="G62" s="61">
        <v>1966</v>
      </c>
      <c r="H62" s="22">
        <v>3343.35</v>
      </c>
      <c r="I62" s="117">
        <v>0</v>
      </c>
      <c r="J62" s="22"/>
      <c r="K62" s="22"/>
      <c r="L62" s="22"/>
      <c r="M62" s="22"/>
      <c r="N62" s="22">
        <f>SUM(G62:M62)</f>
        <v>5309.35</v>
      </c>
      <c r="P62" s="9" t="s">
        <v>12</v>
      </c>
      <c r="Q62" s="2">
        <v>45410</v>
      </c>
      <c r="R62" s="55">
        <f>AA62</f>
        <v>9124</v>
      </c>
      <c r="S62" s="59">
        <v>3074</v>
      </c>
      <c r="T62" s="72">
        <v>196</v>
      </c>
      <c r="U62" s="72">
        <v>2346</v>
      </c>
      <c r="V62" s="72">
        <v>2338</v>
      </c>
      <c r="W62">
        <v>1170</v>
      </c>
      <c r="AA62" s="68">
        <f>SUM(S62:Z62)</f>
        <v>9124</v>
      </c>
      <c r="AB62" s="9" t="s">
        <v>12</v>
      </c>
      <c r="AC62" s="19">
        <v>45410</v>
      </c>
      <c r="AD62" s="4">
        <f>F62+R62</f>
        <v>14433.35</v>
      </c>
      <c r="AE62" s="1"/>
    </row>
    <row r="63" spans="1:73" hidden="true">
      <c r="D63" s="9" t="s">
        <v>13</v>
      </c>
      <c r="E63" s="2">
        <v>45411</v>
      </c>
      <c r="F63" s="55">
        <f>N63</f>
        <v>5880.15</v>
      </c>
      <c r="G63" s="61">
        <v>3084.55</v>
      </c>
      <c r="H63" s="22">
        <v>2795.6</v>
      </c>
      <c r="I63" s="117">
        <v>0</v>
      </c>
      <c r="J63" s="22"/>
      <c r="K63" s="22"/>
      <c r="L63" s="22"/>
      <c r="M63" s="22"/>
      <c r="N63" s="22">
        <f>SUM(G63:M63)</f>
        <v>5880.15</v>
      </c>
      <c r="P63" s="9" t="s">
        <v>13</v>
      </c>
      <c r="Q63" s="2">
        <v>45411</v>
      </c>
      <c r="R63" s="55">
        <f>AA63</f>
        <v>7616</v>
      </c>
      <c r="S63" s="59">
        <v>1284</v>
      </c>
      <c r="T63" s="72">
        <v>0</v>
      </c>
      <c r="U63" s="72">
        <v>1928</v>
      </c>
      <c r="V63" s="72">
        <v>2530</v>
      </c>
      <c r="W63">
        <v>1874</v>
      </c>
      <c r="AA63" s="68">
        <f>SUM(S63:Z63)</f>
        <v>7616</v>
      </c>
      <c r="AB63" s="9" t="s">
        <v>13</v>
      </c>
      <c r="AC63" s="19">
        <v>45411</v>
      </c>
      <c r="AD63" s="4">
        <f>F63+R63</f>
        <v>13496.15</v>
      </c>
      <c r="AE63" s="1"/>
    </row>
    <row r="64" spans="1:73" hidden="true" s="13" customFormat="1">
      <c r="D64" s="13" t="s">
        <v>14</v>
      </c>
      <c r="E64" s="10">
        <v>45412</v>
      </c>
      <c r="F64" s="57">
        <f>N64</f>
        <v>4709.5</v>
      </c>
      <c r="G64" s="62">
        <v>2324.1</v>
      </c>
      <c r="H64" s="30">
        <v>2385.4</v>
      </c>
      <c r="I64" s="119">
        <v>0</v>
      </c>
      <c r="J64" s="30"/>
      <c r="K64" s="30"/>
      <c r="L64" s="30"/>
      <c r="M64" s="30"/>
      <c r="N64" s="30">
        <f>SUM(G64:M64)</f>
        <v>4709.5</v>
      </c>
      <c r="P64" s="13" t="s">
        <v>14</v>
      </c>
      <c r="Q64" s="10">
        <v>45412</v>
      </c>
      <c r="R64" s="57">
        <f>AA64</f>
        <v>11160</v>
      </c>
      <c r="S64" s="63">
        <v>1820</v>
      </c>
      <c r="T64" s="74">
        <v>168</v>
      </c>
      <c r="U64" s="74">
        <v>5024</v>
      </c>
      <c r="V64" s="74">
        <v>886</v>
      </c>
      <c r="W64" s="13">
        <v>3262</v>
      </c>
      <c r="Z64" s="16"/>
      <c r="AA64" s="75">
        <f>SUM(S64:Z64)</f>
        <v>11160</v>
      </c>
      <c r="AB64" s="13" t="s">
        <v>14</v>
      </c>
      <c r="AC64" s="20">
        <v>45412</v>
      </c>
      <c r="AD64" s="34">
        <f>F64+R64</f>
        <v>15869.5</v>
      </c>
      <c r="AE64" s="16"/>
      <c r="BJ64" s="16"/>
    </row>
    <row r="65" spans="1:73" hidden="true">
      <c r="D65" s="9" t="s">
        <v>15</v>
      </c>
      <c r="E65" s="2">
        <v>45413</v>
      </c>
      <c r="F65" s="55">
        <f>N65</f>
        <v>3574.6</v>
      </c>
      <c r="G65" s="59">
        <v>3574.6</v>
      </c>
      <c r="H65" s="22"/>
      <c r="J65" s="22"/>
      <c r="K65" s="22"/>
      <c r="L65" s="22"/>
      <c r="M65" s="22"/>
      <c r="N65" s="22">
        <f>SUM(G65:M65)</f>
        <v>3574.6</v>
      </c>
      <c r="Q65" s="2">
        <v>45413</v>
      </c>
      <c r="R65" s="55">
        <f>AA65</f>
        <v>13401</v>
      </c>
      <c r="S65" s="59">
        <v>1844</v>
      </c>
      <c r="T65" s="72">
        <v>562</v>
      </c>
      <c r="U65" s="72">
        <v>5887</v>
      </c>
      <c r="V65" s="72">
        <v>3434</v>
      </c>
      <c r="W65">
        <v>1674</v>
      </c>
      <c r="AA65" s="68">
        <f>SUM(S65:Z65)</f>
        <v>13401</v>
      </c>
      <c r="AB65" s="9" t="s">
        <v>15</v>
      </c>
      <c r="AC65" s="19">
        <v>45413</v>
      </c>
      <c r="AD65" s="4">
        <f>F65+R65</f>
        <v>16975.6</v>
      </c>
      <c r="AE65" s="1"/>
    </row>
    <row r="66" spans="1:73" hidden="true">
      <c r="D66" s="9" t="s">
        <v>16</v>
      </c>
      <c r="E66" s="2">
        <v>45414</v>
      </c>
      <c r="F66" s="55">
        <f>N66</f>
        <v>2118</v>
      </c>
      <c r="G66" s="59">
        <v>2118</v>
      </c>
      <c r="H66" s="22"/>
      <c r="J66" s="22"/>
      <c r="K66" s="22"/>
      <c r="L66" s="22"/>
      <c r="M66" s="22"/>
      <c r="N66" s="22">
        <f>SUM(G66:M66)</f>
        <v>2118</v>
      </c>
      <c r="Q66" s="2">
        <v>45414</v>
      </c>
      <c r="R66" s="55">
        <f>AA66</f>
        <v>9371</v>
      </c>
      <c r="S66" s="59">
        <v>4389</v>
      </c>
      <c r="T66" s="72">
        <v>392</v>
      </c>
      <c r="U66" s="72">
        <v>1950</v>
      </c>
      <c r="V66" s="72">
        <v>1866</v>
      </c>
      <c r="W66">
        <v>774</v>
      </c>
      <c r="AA66" s="68">
        <f>SUM(S66:Z66)</f>
        <v>9371</v>
      </c>
      <c r="AB66" s="9" t="s">
        <v>16</v>
      </c>
      <c r="AC66" s="19">
        <v>45414</v>
      </c>
      <c r="AD66" s="4">
        <f>F66+R66</f>
        <v>11489</v>
      </c>
      <c r="AE66" s="1"/>
    </row>
    <row r="67" spans="1:73" hidden="true">
      <c r="D67" s="9" t="s">
        <v>10</v>
      </c>
      <c r="E67" s="2">
        <v>45415</v>
      </c>
      <c r="F67" s="55">
        <f>N67</f>
        <v>3526.65</v>
      </c>
      <c r="G67" s="59">
        <v>3526.65</v>
      </c>
      <c r="H67" s="22"/>
      <c r="J67" s="22"/>
      <c r="K67" s="22"/>
      <c r="L67" s="22"/>
      <c r="M67" s="22"/>
      <c r="N67" s="22">
        <f>SUM(G67:M67)</f>
        <v>3526.65</v>
      </c>
      <c r="Q67" s="2">
        <v>45415</v>
      </c>
      <c r="R67" s="55">
        <f>AA67</f>
        <v>8234</v>
      </c>
      <c r="S67" s="59">
        <v>1370</v>
      </c>
      <c r="T67" s="72">
        <v>1168</v>
      </c>
      <c r="U67" s="72">
        <v>1968</v>
      </c>
      <c r="V67" s="72">
        <v>2934</v>
      </c>
      <c r="W67">
        <v>794</v>
      </c>
      <c r="AA67" s="68">
        <f>SUM(S67:Z67)</f>
        <v>8234</v>
      </c>
      <c r="AB67" s="9" t="s">
        <v>10</v>
      </c>
      <c r="AC67" s="19">
        <v>45415</v>
      </c>
      <c r="AD67" s="4">
        <f>F67+R67</f>
        <v>11760.65</v>
      </c>
      <c r="AE67" s="1"/>
    </row>
    <row r="68" spans="1:73" hidden="true">
      <c r="D68" s="9" t="s">
        <v>11</v>
      </c>
      <c r="E68" s="2">
        <v>45416</v>
      </c>
      <c r="F68" s="55">
        <f>N68</f>
        <v>3016.6</v>
      </c>
      <c r="G68" s="59">
        <v>3016.6</v>
      </c>
      <c r="H68" s="22"/>
      <c r="J68" s="22"/>
      <c r="K68" s="22"/>
      <c r="L68" s="22"/>
      <c r="M68" s="22"/>
      <c r="N68" s="22">
        <f>SUM(G68:M68)</f>
        <v>3016.6</v>
      </c>
      <c r="Q68" s="2">
        <v>45416</v>
      </c>
      <c r="R68" s="55">
        <f>AA68</f>
        <v>5650</v>
      </c>
      <c r="S68" s="59">
        <v>1146</v>
      </c>
      <c r="T68" s="72">
        <v>560</v>
      </c>
      <c r="U68" s="72">
        <v>1448</v>
      </c>
      <c r="V68" s="72">
        <v>1484</v>
      </c>
      <c r="W68">
        <v>1012</v>
      </c>
      <c r="AA68" s="68">
        <f>SUM(S68:Z68)</f>
        <v>5650</v>
      </c>
      <c r="AB68" s="9" t="s">
        <v>11</v>
      </c>
      <c r="AC68" s="19">
        <v>45416</v>
      </c>
      <c r="AD68" s="4">
        <f>F68+R68</f>
        <v>8666.6</v>
      </c>
      <c r="AE68" s="1"/>
    </row>
    <row r="69" spans="1:73" hidden="true">
      <c r="D69" s="9" t="s">
        <v>12</v>
      </c>
      <c r="E69" s="2">
        <v>45417</v>
      </c>
      <c r="F69" s="55">
        <f>N69</f>
        <v>2992.45</v>
      </c>
      <c r="G69" s="59">
        <v>2992.45</v>
      </c>
      <c r="H69" s="22"/>
      <c r="J69" s="22"/>
      <c r="K69" s="22"/>
      <c r="L69" s="22"/>
      <c r="M69" s="22"/>
      <c r="N69" s="22">
        <f>SUM(G69:M69)</f>
        <v>2992.45</v>
      </c>
      <c r="Q69" s="2">
        <v>45417</v>
      </c>
      <c r="R69" s="55">
        <f>AA69</f>
        <v>7154</v>
      </c>
      <c r="S69" s="59">
        <v>1476</v>
      </c>
      <c r="T69" s="72">
        <v>560</v>
      </c>
      <c r="U69" s="72">
        <v>1022</v>
      </c>
      <c r="V69" s="72">
        <v>2004</v>
      </c>
      <c r="W69">
        <v>2092</v>
      </c>
      <c r="AA69" s="68">
        <f>SUM(S69:Z69)</f>
        <v>7154</v>
      </c>
      <c r="AB69" s="9" t="s">
        <v>12</v>
      </c>
      <c r="AC69" s="19">
        <v>45417</v>
      </c>
      <c r="AD69" s="4">
        <f>F69+R69</f>
        <v>10146.45</v>
      </c>
      <c r="AE69" s="1"/>
    </row>
    <row r="70" spans="1:73" hidden="true">
      <c r="D70" s="9" t="s">
        <v>13</v>
      </c>
      <c r="E70" s="2">
        <v>45418</v>
      </c>
      <c r="F70" s="55">
        <f>N70</f>
        <v>4245.5</v>
      </c>
      <c r="G70" s="59">
        <v>4245.5</v>
      </c>
      <c r="H70" s="22"/>
      <c r="J70" s="22"/>
      <c r="K70" s="22"/>
      <c r="L70" s="22"/>
      <c r="M70" s="22"/>
      <c r="N70" s="22">
        <f>SUM(G70:M70)</f>
        <v>4245.5</v>
      </c>
      <c r="Q70" s="2">
        <v>45418</v>
      </c>
      <c r="R70" s="55">
        <f>AA70</f>
        <v>5600</v>
      </c>
      <c r="S70" s="59">
        <v>1476</v>
      </c>
      <c r="T70" s="72">
        <v>560</v>
      </c>
      <c r="U70" s="72">
        <v>1332</v>
      </c>
      <c r="V70" s="72">
        <v>2004</v>
      </c>
      <c r="W70">
        <v>228</v>
      </c>
      <c r="AA70" s="68">
        <f>SUM(S70:Z70)</f>
        <v>5600</v>
      </c>
      <c r="AB70" s="9" t="s">
        <v>13</v>
      </c>
      <c r="AC70" s="19">
        <v>45418</v>
      </c>
      <c r="AD70" s="4">
        <f>F70+R70</f>
        <v>9845.5</v>
      </c>
      <c r="AE70" s="1"/>
    </row>
    <row r="71" spans="1:73" hidden="true">
      <c r="D71" s="9" t="s">
        <v>14</v>
      </c>
      <c r="E71" s="2">
        <v>45419</v>
      </c>
      <c r="F71" s="55">
        <f>N71</f>
        <v>3232.15</v>
      </c>
      <c r="G71" s="59">
        <v>3232.15</v>
      </c>
      <c r="H71" s="22"/>
      <c r="J71" s="22"/>
      <c r="K71" s="22"/>
      <c r="L71" s="22"/>
      <c r="M71" s="22"/>
      <c r="N71" s="22">
        <f>SUM(G71:M71)</f>
        <v>3232.15</v>
      </c>
      <c r="Q71" s="2">
        <v>45419</v>
      </c>
      <c r="R71" s="55">
        <f>AA71</f>
        <v>6392</v>
      </c>
      <c r="S71" s="59">
        <v>612</v>
      </c>
      <c r="T71" s="72">
        <v>2474</v>
      </c>
      <c r="U71" s="72">
        <v>1332</v>
      </c>
      <c r="V71" s="72">
        <v>1746</v>
      </c>
      <c r="W71">
        <v>228</v>
      </c>
      <c r="AA71" s="68">
        <f>SUM(S71:Z71)</f>
        <v>6392</v>
      </c>
      <c r="AB71" s="9" t="s">
        <v>14</v>
      </c>
      <c r="AC71" s="19">
        <v>45419</v>
      </c>
      <c r="AD71" s="4">
        <f>F71+R71</f>
        <v>9624.15</v>
      </c>
      <c r="AE71" s="1"/>
    </row>
    <row r="72" spans="1:73" hidden="true">
      <c r="D72" s="9" t="s">
        <v>15</v>
      </c>
      <c r="E72" s="2">
        <v>45420</v>
      </c>
      <c r="F72" s="55">
        <f>N72</f>
        <v>4137.1</v>
      </c>
      <c r="G72" s="59">
        <v>4137.1</v>
      </c>
      <c r="H72" s="22"/>
      <c r="J72" s="22"/>
      <c r="K72" s="22"/>
      <c r="L72" s="22"/>
      <c r="M72" s="22"/>
      <c r="N72" s="22">
        <f>SUM(G72:M72)</f>
        <v>4137.1</v>
      </c>
      <c r="Q72" s="2">
        <v>45420</v>
      </c>
      <c r="R72" s="55">
        <f>AA72</f>
        <v>7544</v>
      </c>
      <c r="S72" s="59">
        <v>786</v>
      </c>
      <c r="T72" s="72">
        <v>784</v>
      </c>
      <c r="U72" s="72">
        <v>2546</v>
      </c>
      <c r="V72" s="72">
        <v>1872</v>
      </c>
      <c r="W72">
        <v>1556</v>
      </c>
      <c r="AA72" s="68">
        <f>SUM(S72:Z72)</f>
        <v>7544</v>
      </c>
      <c r="AB72" s="9" t="s">
        <v>15</v>
      </c>
      <c r="AC72" s="19">
        <v>45420</v>
      </c>
      <c r="AD72" s="4">
        <f>F72+R72</f>
        <v>11681.1</v>
      </c>
      <c r="AE72" s="1"/>
    </row>
    <row r="73" spans="1:73" hidden="true">
      <c r="D73" s="9" t="s">
        <v>16</v>
      </c>
      <c r="E73" s="2">
        <v>45421</v>
      </c>
      <c r="F73" s="55">
        <f>N73</f>
        <v>2773.9</v>
      </c>
      <c r="G73" s="59">
        <v>2773.9</v>
      </c>
      <c r="H73" s="22"/>
      <c r="J73" s="22"/>
      <c r="K73" s="22"/>
      <c r="L73" s="22"/>
      <c r="M73" s="22"/>
      <c r="N73" s="22">
        <f>SUM(G73:M73)</f>
        <v>2773.9</v>
      </c>
      <c r="Q73" s="2">
        <v>45421</v>
      </c>
      <c r="R73" s="55">
        <f>AA73</f>
        <v>5526</v>
      </c>
      <c r="S73" s="59">
        <v>1518</v>
      </c>
      <c r="T73" s="72">
        <v>532</v>
      </c>
      <c r="U73" s="72">
        <v>2050</v>
      </c>
      <c r="V73" s="72">
        <v>970</v>
      </c>
      <c r="W73">
        <v>456</v>
      </c>
      <c r="AA73" s="68">
        <f>SUM(S73:Z73)</f>
        <v>5526</v>
      </c>
      <c r="AB73" s="9" t="s">
        <v>16</v>
      </c>
      <c r="AC73" s="19">
        <v>45421</v>
      </c>
      <c r="AD73" s="4">
        <f>F73+R73</f>
        <v>8299.9</v>
      </c>
      <c r="AE73" s="1"/>
    </row>
    <row r="74" spans="1:73" hidden="true">
      <c r="D74" s="9" t="s">
        <v>10</v>
      </c>
      <c r="E74" s="2">
        <v>45422</v>
      </c>
      <c r="F74" s="55">
        <f>N74</f>
        <v>3083.7</v>
      </c>
      <c r="G74" s="59">
        <v>3083.7</v>
      </c>
      <c r="H74" s="22"/>
      <c r="J74" s="22"/>
      <c r="K74" s="22"/>
      <c r="L74" s="22"/>
      <c r="M74" s="22"/>
      <c r="N74" s="22">
        <f>SUM(G74:M74)</f>
        <v>3083.7</v>
      </c>
      <c r="Q74" s="2">
        <v>45422</v>
      </c>
      <c r="R74" s="55">
        <f>AA74</f>
        <v>6627.9</v>
      </c>
      <c r="S74" s="59">
        <v>2914</v>
      </c>
      <c r="T74" s="72">
        <v>679.9</v>
      </c>
      <c r="U74" s="72">
        <v>298</v>
      </c>
      <c r="V74" s="72">
        <v>1180</v>
      </c>
      <c r="W74">
        <v>1556</v>
      </c>
      <c r="AA74" s="68">
        <f>SUM(S74:Z74)</f>
        <v>6627.9</v>
      </c>
      <c r="AB74" s="9" t="s">
        <v>10</v>
      </c>
      <c r="AC74" s="19">
        <v>45422</v>
      </c>
      <c r="AD74" s="4">
        <f>F74+R74</f>
        <v>9711.6</v>
      </c>
      <c r="AE74" s="1"/>
    </row>
    <row r="75" spans="1:73" hidden="true">
      <c r="D75" s="9" t="s">
        <v>11</v>
      </c>
      <c r="E75" s="2">
        <v>45423</v>
      </c>
      <c r="F75" s="55">
        <f>N75</f>
        <v>3699.3</v>
      </c>
      <c r="G75" s="59">
        <v>3699.3</v>
      </c>
      <c r="H75" s="22"/>
      <c r="J75" s="22"/>
      <c r="K75" s="22"/>
      <c r="L75" s="22"/>
      <c r="M75" s="22"/>
      <c r="N75" s="22">
        <f>SUM(G75:M75)</f>
        <v>3699.3</v>
      </c>
      <c r="Q75" s="2">
        <v>45423</v>
      </c>
      <c r="R75" s="55">
        <f>AA75</f>
        <v>13553</v>
      </c>
      <c r="S75" s="59">
        <v>524</v>
      </c>
      <c r="T75" s="72">
        <v>928</v>
      </c>
      <c r="U75" s="72">
        <v>6099</v>
      </c>
      <c r="V75" s="72">
        <v>2680</v>
      </c>
      <c r="W75">
        <v>3322</v>
      </c>
      <c r="AA75" s="68">
        <f>SUM(S75:Z75)</f>
        <v>13553</v>
      </c>
      <c r="AB75" s="9" t="s">
        <v>11</v>
      </c>
      <c r="AC75" s="19">
        <v>45423</v>
      </c>
      <c r="AD75" s="4">
        <f>F75+R75</f>
        <v>17252.3</v>
      </c>
      <c r="AE75" s="1"/>
    </row>
    <row r="76" spans="1:73" hidden="true">
      <c r="D76" s="9" t="s">
        <v>12</v>
      </c>
      <c r="E76" s="2">
        <v>45424</v>
      </c>
      <c r="F76" s="55">
        <f>N76</f>
        <v>6781.45</v>
      </c>
      <c r="G76" s="59">
        <v>6781.45</v>
      </c>
      <c r="H76" s="22"/>
      <c r="J76" s="22"/>
      <c r="K76" s="22"/>
      <c r="L76" s="22"/>
      <c r="M76" s="22"/>
      <c r="N76" s="22">
        <f>SUM(G76:M76)</f>
        <v>6781.45</v>
      </c>
      <c r="Q76" s="2">
        <v>45424</v>
      </c>
      <c r="R76" s="55">
        <f>AA76</f>
        <v>8359</v>
      </c>
      <c r="S76" s="59">
        <v>2218</v>
      </c>
      <c r="T76" s="72">
        <v>304</v>
      </c>
      <c r="U76" s="72">
        <v>2068</v>
      </c>
      <c r="V76" s="72">
        <v>1852</v>
      </c>
      <c r="W76">
        <v>1917</v>
      </c>
      <c r="AA76" s="68">
        <f>SUM(S76:Z76)</f>
        <v>8359</v>
      </c>
      <c r="AB76" s="9" t="s">
        <v>12</v>
      </c>
      <c r="AC76" s="19">
        <v>45424</v>
      </c>
      <c r="AD76" s="4">
        <f>F76+R76</f>
        <v>15140.45</v>
      </c>
      <c r="AE76" s="1"/>
    </row>
    <row r="77" spans="1:73" hidden="true">
      <c r="D77" s="9" t="s">
        <v>13</v>
      </c>
      <c r="E77" s="2">
        <v>45425</v>
      </c>
      <c r="F77" s="55">
        <f>N77</f>
        <v>4280.85</v>
      </c>
      <c r="G77" s="59">
        <v>4280.85</v>
      </c>
      <c r="H77" s="22"/>
      <c r="J77" s="22"/>
      <c r="K77" s="22"/>
      <c r="L77" s="22"/>
      <c r="M77" s="22"/>
      <c r="N77" s="22">
        <f>SUM(G77:M77)</f>
        <v>4280.85</v>
      </c>
      <c r="Q77" s="2">
        <v>45425</v>
      </c>
      <c r="R77" s="55">
        <f>AA77</f>
        <v>4892</v>
      </c>
      <c r="S77" s="59">
        <v>610</v>
      </c>
      <c r="T77" s="72">
        <v>642</v>
      </c>
      <c r="U77" s="72">
        <v>0</v>
      </c>
      <c r="V77" s="72">
        <v>2122</v>
      </c>
      <c r="W77">
        <v>1518</v>
      </c>
      <c r="AA77" s="68">
        <f>SUM(S77:Z77)</f>
        <v>4892</v>
      </c>
      <c r="AB77" s="9" t="s">
        <v>13</v>
      </c>
      <c r="AC77" s="19">
        <v>45425</v>
      </c>
      <c r="AD77" s="4">
        <f>F77+R77</f>
        <v>9172.85</v>
      </c>
      <c r="AE77" s="1"/>
    </row>
    <row r="78" spans="1:73" hidden="true">
      <c r="D78" s="9" t="s">
        <v>14</v>
      </c>
      <c r="E78" s="2">
        <v>45426</v>
      </c>
      <c r="F78" s="55">
        <f>N78</f>
        <v>3380.85</v>
      </c>
      <c r="G78" s="59">
        <v>3380.85</v>
      </c>
      <c r="H78" s="22"/>
      <c r="J78" s="22"/>
      <c r="K78" s="22"/>
      <c r="L78" s="22"/>
      <c r="M78" s="22"/>
      <c r="N78" s="22">
        <f>SUM(G78:M78)</f>
        <v>3380.85</v>
      </c>
      <c r="Q78" s="2">
        <v>45426</v>
      </c>
      <c r="R78" s="55">
        <f>AA78</f>
        <v>7952</v>
      </c>
      <c r="S78" s="59">
        <v>1424</v>
      </c>
      <c r="T78" s="72">
        <v>780</v>
      </c>
      <c r="U78" s="72">
        <v>2484</v>
      </c>
      <c r="V78" s="72">
        <v>1230</v>
      </c>
      <c r="W78">
        <v>2034</v>
      </c>
      <c r="AA78" s="68">
        <f>SUM(S78:Z78)</f>
        <v>7952</v>
      </c>
      <c r="AB78" s="9" t="s">
        <v>14</v>
      </c>
      <c r="AC78" s="19">
        <v>45426</v>
      </c>
      <c r="AD78" s="4">
        <f>F78+R78</f>
        <v>11332.85</v>
      </c>
      <c r="AE78" s="1"/>
    </row>
    <row r="79" spans="1:73" hidden="true">
      <c r="D79" s="9" t="s">
        <v>15</v>
      </c>
      <c r="E79" s="2">
        <v>45427</v>
      </c>
      <c r="F79" s="55">
        <f>N79</f>
        <v>3410.15</v>
      </c>
      <c r="G79" s="59">
        <v>3410.15</v>
      </c>
      <c r="H79" s="22"/>
      <c r="J79" s="22"/>
      <c r="K79" s="22"/>
      <c r="L79" s="22"/>
      <c r="M79" s="22"/>
      <c r="N79" s="22">
        <f>SUM(G79:M79)</f>
        <v>3410.15</v>
      </c>
      <c r="Q79" s="2">
        <v>45427</v>
      </c>
      <c r="R79" s="55">
        <f>AA79</f>
        <v>7081</v>
      </c>
      <c r="S79" s="59">
        <v>196</v>
      </c>
      <c r="T79" s="72">
        <v>392</v>
      </c>
      <c r="U79" s="72">
        <v>1338</v>
      </c>
      <c r="V79" s="72">
        <v>2073</v>
      </c>
      <c r="W79">
        <v>3082</v>
      </c>
      <c r="AA79" s="68">
        <f>SUM(S79:Z79)</f>
        <v>7081</v>
      </c>
      <c r="AB79" s="9" t="s">
        <v>15</v>
      </c>
      <c r="AC79" s="19">
        <v>45427</v>
      </c>
      <c r="AD79" s="4">
        <f>F79+R79</f>
        <v>10491.15</v>
      </c>
      <c r="AE79" s="1"/>
      <c r="AI79" s="17"/>
      <c r="AJ79" s="17"/>
      <c r="AL79" s="32"/>
    </row>
    <row r="80" spans="1:73" hidden="true">
      <c r="D80" s="9" t="s">
        <v>16</v>
      </c>
      <c r="E80" s="2">
        <v>45428</v>
      </c>
      <c r="F80" s="55">
        <f>N80</f>
        <v>2530.1</v>
      </c>
      <c r="G80" s="59">
        <v>2530.1</v>
      </c>
      <c r="H80" s="22"/>
      <c r="J80" s="22"/>
      <c r="K80" s="22"/>
      <c r="L80" s="22"/>
      <c r="M80" s="22"/>
      <c r="N80" s="22">
        <f>SUM(G80:M80)</f>
        <v>2530.1</v>
      </c>
      <c r="Q80" s="2">
        <v>45428</v>
      </c>
      <c r="R80" s="55">
        <f>AA80</f>
        <v>8805</v>
      </c>
      <c r="S80" s="59">
        <v>2015</v>
      </c>
      <c r="T80" s="72">
        <v>850</v>
      </c>
      <c r="U80" s="72">
        <v>1132</v>
      </c>
      <c r="V80" s="72">
        <v>3588</v>
      </c>
      <c r="W80">
        <v>1220</v>
      </c>
      <c r="AA80" s="68">
        <f>SUM(S80:Z80)</f>
        <v>8805</v>
      </c>
      <c r="AB80" s="9" t="s">
        <v>16</v>
      </c>
      <c r="AC80" s="19">
        <v>45428</v>
      </c>
      <c r="AD80" s="4">
        <f>F80+R80</f>
        <v>11335.1</v>
      </c>
      <c r="AE80" s="1"/>
    </row>
    <row r="81" spans="1:73" hidden="true">
      <c r="D81" s="9" t="s">
        <v>10</v>
      </c>
      <c r="E81" s="2">
        <v>45429</v>
      </c>
      <c r="F81" s="55">
        <f>N81</f>
        <v>4213.9</v>
      </c>
      <c r="G81" s="59">
        <v>4213.9</v>
      </c>
      <c r="H81" s="22"/>
      <c r="J81" s="22"/>
      <c r="K81" s="22"/>
      <c r="L81" s="22"/>
      <c r="M81" s="22"/>
      <c r="N81" s="22">
        <f>SUM(G81:M81)</f>
        <v>4213.9</v>
      </c>
      <c r="Q81" s="2">
        <v>45429</v>
      </c>
      <c r="R81" s="55">
        <f>AA81</f>
        <v>9487</v>
      </c>
      <c r="S81" s="59">
        <v>1811</v>
      </c>
      <c r="T81" s="72">
        <v>690</v>
      </c>
      <c r="U81" s="72">
        <v>4198</v>
      </c>
      <c r="V81" s="72">
        <v>2392</v>
      </c>
      <c r="W81">
        <v>396</v>
      </c>
      <c r="AA81" s="68">
        <f>SUM(S81:Z81)</f>
        <v>9487</v>
      </c>
      <c r="AB81" s="9" t="s">
        <v>10</v>
      </c>
      <c r="AC81" s="19">
        <v>45429</v>
      </c>
      <c r="AD81" s="4">
        <f>F81+R81</f>
        <v>13700.9</v>
      </c>
      <c r="AE81" s="1"/>
      <c r="AJ81" s="17"/>
      <c r="AK81" s="32"/>
      <c r="AL81" s="32"/>
    </row>
    <row r="82" spans="1:73" hidden="true">
      <c r="D82" s="9" t="s">
        <v>11</v>
      </c>
      <c r="E82" s="2">
        <v>45430</v>
      </c>
      <c r="F82" s="55">
        <f>N82</f>
        <v>4975.45</v>
      </c>
      <c r="G82" s="59">
        <v>4975.45</v>
      </c>
      <c r="H82" s="22"/>
      <c r="J82" s="22"/>
      <c r="K82" s="22"/>
      <c r="L82" s="22"/>
      <c r="M82" s="22"/>
      <c r="N82" s="22">
        <f>SUM(G82:M82)</f>
        <v>4975.45</v>
      </c>
      <c r="Q82" s="2">
        <v>45430</v>
      </c>
      <c r="R82" s="55">
        <f>AA82</f>
        <v>9558</v>
      </c>
      <c r="S82" s="59">
        <v>1938</v>
      </c>
      <c r="T82" s="72">
        <v>0</v>
      </c>
      <c r="U82" s="72">
        <v>5250</v>
      </c>
      <c r="V82" s="72">
        <v>1022</v>
      </c>
      <c r="W82">
        <v>1348</v>
      </c>
      <c r="AA82" s="68">
        <f>SUM(S82:Z82)</f>
        <v>9558</v>
      </c>
      <c r="AB82" s="9" t="s">
        <v>11</v>
      </c>
      <c r="AC82" s="19">
        <v>45430</v>
      </c>
      <c r="AD82" s="4">
        <f>F82+R82</f>
        <v>14533.45</v>
      </c>
      <c r="AE82" s="1"/>
      <c r="AJ82" s="17">
        <v>45419</v>
      </c>
      <c r="AK82" t="s">
        <v>21</v>
      </c>
      <c r="AL82">
        <v>500</v>
      </c>
    </row>
    <row r="83" spans="1:73" hidden="true">
      <c r="D83" s="9" t="s">
        <v>12</v>
      </c>
      <c r="E83" s="2">
        <v>45431</v>
      </c>
      <c r="F83" s="55">
        <f>N83</f>
        <v>4145.15</v>
      </c>
      <c r="G83" s="59">
        <v>4145.15</v>
      </c>
      <c r="H83" s="22"/>
      <c r="J83" s="22"/>
      <c r="K83" s="22"/>
      <c r="L83" s="22"/>
      <c r="M83" s="22"/>
      <c r="N83" s="22">
        <f>SUM(G83:M83)</f>
        <v>4145.15</v>
      </c>
      <c r="Q83" s="2">
        <v>45431</v>
      </c>
      <c r="R83" s="55">
        <f>AA83</f>
        <v>10343</v>
      </c>
      <c r="S83" s="59">
        <v>2828</v>
      </c>
      <c r="T83" s="72">
        <v>632</v>
      </c>
      <c r="U83" s="72">
        <v>1312</v>
      </c>
      <c r="V83" s="72">
        <v>2867</v>
      </c>
      <c r="W83">
        <v>2704</v>
      </c>
      <c r="AA83" s="68">
        <f>SUM(S83:Z83)</f>
        <v>10343</v>
      </c>
      <c r="AB83" s="9" t="s">
        <v>12</v>
      </c>
      <c r="AC83" s="19">
        <v>45431</v>
      </c>
      <c r="AD83" s="4">
        <f>F83+R83</f>
        <v>14488.15</v>
      </c>
      <c r="AE83" s="1"/>
      <c r="AJ83" s="17">
        <v>45426</v>
      </c>
      <c r="AK83" t="s">
        <v>22</v>
      </c>
      <c r="AL83">
        <v>2500</v>
      </c>
    </row>
    <row r="84" spans="1:73" hidden="true">
      <c r="D84" s="9" t="s">
        <v>13</v>
      </c>
      <c r="E84" s="2">
        <v>45432</v>
      </c>
      <c r="F84" s="55">
        <f>N84</f>
        <v>3986.7</v>
      </c>
      <c r="G84" s="59">
        <v>3986.7</v>
      </c>
      <c r="H84" s="22"/>
      <c r="J84" s="22"/>
      <c r="K84" s="22"/>
      <c r="L84" s="22"/>
      <c r="M84" s="22"/>
      <c r="N84" s="22">
        <f>SUM(G84:M84)</f>
        <v>3986.7</v>
      </c>
      <c r="Q84" s="2">
        <v>45432</v>
      </c>
      <c r="R84" s="55">
        <f>AA84</f>
        <v>4367</v>
      </c>
      <c r="S84" s="59">
        <v>503</v>
      </c>
      <c r="T84" s="72">
        <v>0</v>
      </c>
      <c r="U84" s="72">
        <v>1232</v>
      </c>
      <c r="V84" s="72">
        <v>1042</v>
      </c>
      <c r="W84">
        <v>1590</v>
      </c>
      <c r="AA84" s="68">
        <f>SUM(S84:Z84)</f>
        <v>4367</v>
      </c>
      <c r="AB84" s="9" t="s">
        <v>13</v>
      </c>
      <c r="AC84" s="19">
        <v>45432</v>
      </c>
      <c r="AD84" s="4">
        <f>F84+R84</f>
        <v>8353.7</v>
      </c>
      <c r="AE84" s="1"/>
      <c r="AJ84" t="s">
        <v>23</v>
      </c>
      <c r="AK84" s="32"/>
    </row>
    <row r="85" spans="1:73" hidden="true">
      <c r="D85" s="9" t="s">
        <v>14</v>
      </c>
      <c r="E85" s="2">
        <v>45433</v>
      </c>
      <c r="F85" s="55">
        <f>N85</f>
        <v>3491.25</v>
      </c>
      <c r="G85" s="59">
        <v>3491.25</v>
      </c>
      <c r="H85" s="22"/>
      <c r="J85" s="22"/>
      <c r="K85" s="22"/>
      <c r="L85" s="22"/>
      <c r="M85" s="22"/>
      <c r="N85" s="22">
        <f>SUM(G85:M85)</f>
        <v>3491.25</v>
      </c>
      <c r="Q85" s="2">
        <v>45433</v>
      </c>
      <c r="R85" s="55">
        <f>AA85</f>
        <v>4342</v>
      </c>
      <c r="S85" s="59">
        <v>1552</v>
      </c>
      <c r="T85" s="72">
        <v>0</v>
      </c>
      <c r="U85" s="72">
        <v>814</v>
      </c>
      <c r="V85" s="72">
        <v>1162</v>
      </c>
      <c r="W85">
        <v>814</v>
      </c>
      <c r="AA85" s="68">
        <f>SUM(S85:Z85)</f>
        <v>4342</v>
      </c>
      <c r="AB85" s="9" t="s">
        <v>14</v>
      </c>
      <c r="AC85" s="19">
        <v>45433</v>
      </c>
      <c r="AD85" s="4">
        <f>F85+R85</f>
        <v>7833.25</v>
      </c>
      <c r="AE85" s="1"/>
    </row>
    <row r="86" spans="1:73" hidden="true">
      <c r="D86" s="9" t="s">
        <v>15</v>
      </c>
      <c r="E86" s="2">
        <v>45434</v>
      </c>
      <c r="F86" s="55">
        <f>N86</f>
        <v>3297.25</v>
      </c>
      <c r="G86" s="59">
        <v>3297.25</v>
      </c>
      <c r="H86" s="22"/>
      <c r="J86" s="22"/>
      <c r="K86" s="22"/>
      <c r="L86" s="22"/>
      <c r="M86" s="22"/>
      <c r="N86" s="22">
        <f>SUM(G86:M86)</f>
        <v>3297.25</v>
      </c>
      <c r="Q86" s="2">
        <v>45434</v>
      </c>
      <c r="R86" s="55">
        <f>AA86</f>
        <v>9496</v>
      </c>
      <c r="S86" s="59">
        <v>3209</v>
      </c>
      <c r="T86" s="72">
        <v>496</v>
      </c>
      <c r="U86" s="72">
        <v>1490</v>
      </c>
      <c r="V86" s="72">
        <v>2385</v>
      </c>
      <c r="W86">
        <v>1916</v>
      </c>
      <c r="AA86" s="68">
        <f>SUM(S86:Z86)</f>
        <v>9496</v>
      </c>
      <c r="AB86" s="9" t="s">
        <v>15</v>
      </c>
      <c r="AC86" s="19">
        <v>45434</v>
      </c>
      <c r="AD86" s="4">
        <f>F86+R86</f>
        <v>12793.25</v>
      </c>
      <c r="AE86" s="1"/>
    </row>
    <row r="87" spans="1:73" hidden="true">
      <c r="D87" s="9" t="s">
        <v>16</v>
      </c>
      <c r="E87" s="2">
        <v>45435</v>
      </c>
      <c r="F87" s="55">
        <f>N87</f>
        <v>2979.45</v>
      </c>
      <c r="G87" s="59">
        <v>2979.45</v>
      </c>
      <c r="H87" s="22"/>
      <c r="J87" s="22"/>
      <c r="K87" s="22"/>
      <c r="L87" s="22"/>
      <c r="M87" s="22"/>
      <c r="N87" s="22">
        <f>SUM(G87:M87)</f>
        <v>2979.45</v>
      </c>
      <c r="Q87" s="2">
        <v>45435</v>
      </c>
      <c r="R87" s="55">
        <f>AA87</f>
        <v>6124</v>
      </c>
      <c r="S87" s="59">
        <v>1824</v>
      </c>
      <c r="T87" s="72">
        <v>196</v>
      </c>
      <c r="U87" s="72">
        <v>2218</v>
      </c>
      <c r="V87" s="72">
        <v>406</v>
      </c>
      <c r="W87">
        <v>1480</v>
      </c>
      <c r="AA87" s="68">
        <f>SUM(S87:Z87)</f>
        <v>6124</v>
      </c>
      <c r="AB87" s="9" t="s">
        <v>16</v>
      </c>
      <c r="AC87" s="19">
        <v>45435</v>
      </c>
      <c r="AD87" s="4">
        <f>F87+R87</f>
        <v>9103.45</v>
      </c>
      <c r="AE87" s="1"/>
    </row>
    <row r="88" spans="1:73" hidden="true">
      <c r="D88" s="9" t="s">
        <v>10</v>
      </c>
      <c r="E88" s="2">
        <v>45436</v>
      </c>
      <c r="F88" s="55">
        <f>N88</f>
        <v>2931</v>
      </c>
      <c r="G88" s="59">
        <v>2931</v>
      </c>
      <c r="H88" s="22"/>
      <c r="J88" s="22"/>
      <c r="K88" s="22"/>
      <c r="L88" s="22"/>
      <c r="M88" s="22"/>
      <c r="N88" s="22">
        <f>SUM(G88:M88)</f>
        <v>2931</v>
      </c>
      <c r="Q88" s="2">
        <v>45436</v>
      </c>
      <c r="R88" s="55">
        <f>AA88</f>
        <v>11522</v>
      </c>
      <c r="S88" s="59">
        <v>1398</v>
      </c>
      <c r="T88" s="72">
        <v>650</v>
      </c>
      <c r="U88" s="72">
        <v>2952</v>
      </c>
      <c r="V88" s="72">
        <v>4038</v>
      </c>
      <c r="W88">
        <v>2484</v>
      </c>
      <c r="AA88" s="68">
        <f>SUM(S88:Z88)</f>
        <v>11522</v>
      </c>
      <c r="AB88" s="9" t="s">
        <v>10</v>
      </c>
      <c r="AC88" s="19">
        <v>45436</v>
      </c>
      <c r="AD88" s="4">
        <f>F88+R88</f>
        <v>14453</v>
      </c>
      <c r="AE88" s="1"/>
    </row>
    <row r="89" spans="1:73" hidden="true">
      <c r="D89" s="9" t="s">
        <v>11</v>
      </c>
      <c r="E89" s="2">
        <v>45437</v>
      </c>
      <c r="F89" s="55">
        <f>N89</f>
        <v>3161.5</v>
      </c>
      <c r="G89" s="59">
        <v>3161.5</v>
      </c>
      <c r="H89" s="22"/>
      <c r="J89" s="22"/>
      <c r="K89" s="22"/>
      <c r="L89" s="22"/>
      <c r="M89" s="22"/>
      <c r="N89" s="22">
        <f>SUM(G89:M89)</f>
        <v>3161.5</v>
      </c>
      <c r="Q89" s="2">
        <v>45437</v>
      </c>
      <c r="R89" s="55">
        <f>AA89</f>
        <v>7896</v>
      </c>
      <c r="S89" s="59">
        <v>2071</v>
      </c>
      <c r="T89" s="72">
        <v>168</v>
      </c>
      <c r="U89" s="72">
        <v>2105</v>
      </c>
      <c r="V89" s="72">
        <v>2928</v>
      </c>
      <c r="W89">
        <v>624</v>
      </c>
      <c r="AA89" s="68">
        <f>SUM(S89:Z89)</f>
        <v>7896</v>
      </c>
      <c r="AB89" s="9" t="s">
        <v>11</v>
      </c>
      <c r="AC89" s="19">
        <v>45437</v>
      </c>
      <c r="AD89" s="4">
        <f>F89+R89</f>
        <v>11057.5</v>
      </c>
      <c r="AE89" s="1"/>
    </row>
    <row r="90" spans="1:73" hidden="true">
      <c r="D90" s="9" t="s">
        <v>12</v>
      </c>
      <c r="E90" s="2">
        <v>45438</v>
      </c>
      <c r="F90" s="55">
        <f>N90</f>
        <v>3786.4</v>
      </c>
      <c r="G90" s="59">
        <v>3786.4</v>
      </c>
      <c r="H90" s="22"/>
      <c r="J90" s="22"/>
      <c r="K90" s="22"/>
      <c r="L90" s="22"/>
      <c r="M90" s="22"/>
      <c r="N90" s="22">
        <f>SUM(G90:M90)</f>
        <v>3786.4</v>
      </c>
      <c r="Q90" s="2">
        <v>45438</v>
      </c>
      <c r="R90" s="55">
        <f>AA90</f>
        <v>7605</v>
      </c>
      <c r="S90" s="59">
        <v>1647</v>
      </c>
      <c r="T90" s="72">
        <v>570</v>
      </c>
      <c r="U90" s="72">
        <v>1370</v>
      </c>
      <c r="V90" s="72">
        <v>1602</v>
      </c>
      <c r="W90">
        <v>2416</v>
      </c>
      <c r="AA90" s="68">
        <f>SUM(S90:Z90)</f>
        <v>7605</v>
      </c>
      <c r="AB90" s="9" t="s">
        <v>12</v>
      </c>
      <c r="AC90" s="19">
        <v>45438</v>
      </c>
      <c r="AD90" s="4">
        <f>F90+R90</f>
        <v>11391.4</v>
      </c>
      <c r="AE90" s="1"/>
    </row>
    <row r="91" spans="1:73" hidden="true">
      <c r="D91" s="9" t="s">
        <v>13</v>
      </c>
      <c r="E91" s="2">
        <v>45439</v>
      </c>
      <c r="F91" s="55">
        <f>N91</f>
        <v>5536.85</v>
      </c>
      <c r="G91" s="59">
        <v>5536.85</v>
      </c>
      <c r="H91" s="22"/>
      <c r="J91" s="22"/>
      <c r="K91" s="22"/>
      <c r="L91" s="22"/>
      <c r="M91" s="22"/>
      <c r="N91" s="22">
        <f>SUM(G91:M91)</f>
        <v>5536.85</v>
      </c>
      <c r="Q91" s="2">
        <v>45439</v>
      </c>
      <c r="R91" s="55">
        <f>AA91</f>
        <v>8641</v>
      </c>
      <c r="S91" s="59">
        <v>1727</v>
      </c>
      <c r="T91" s="72">
        <v>208</v>
      </c>
      <c r="U91" s="72">
        <v>1398</v>
      </c>
      <c r="V91" s="72">
        <v>3198</v>
      </c>
      <c r="W91">
        <v>2110</v>
      </c>
      <c r="AA91" s="68">
        <f>SUM(S91:Z91)</f>
        <v>8641</v>
      </c>
      <c r="AB91" s="9" t="s">
        <v>13</v>
      </c>
      <c r="AC91" s="19">
        <v>45439</v>
      </c>
      <c r="AD91" s="4">
        <f>F91+R91</f>
        <v>14177.85</v>
      </c>
      <c r="AE91" s="1"/>
    </row>
    <row r="92" spans="1:73" hidden="true">
      <c r="D92" s="9" t="s">
        <v>14</v>
      </c>
      <c r="E92" s="2">
        <v>45440</v>
      </c>
      <c r="F92" s="55">
        <f>N92</f>
        <v>3672.9</v>
      </c>
      <c r="G92" s="59">
        <v>3672.9</v>
      </c>
      <c r="H92" s="22"/>
      <c r="J92" s="22"/>
      <c r="K92" s="22"/>
      <c r="L92" s="22"/>
      <c r="M92" s="22"/>
      <c r="N92" s="22">
        <f>SUM(G92:M92)</f>
        <v>3672.9</v>
      </c>
      <c r="Q92" s="2">
        <v>45440</v>
      </c>
      <c r="R92" s="55">
        <f>AA92</f>
        <v>6597</v>
      </c>
      <c r="S92" s="59">
        <v>1693</v>
      </c>
      <c r="T92" s="72">
        <v>198</v>
      </c>
      <c r="U92" s="72">
        <v>3278</v>
      </c>
      <c r="V92" s="72">
        <v>724</v>
      </c>
      <c r="W92">
        <v>704</v>
      </c>
      <c r="AA92" s="68">
        <f>SUM(S92:Z92)</f>
        <v>6597</v>
      </c>
      <c r="AB92" s="9" t="s">
        <v>14</v>
      </c>
      <c r="AC92" s="19">
        <v>45440</v>
      </c>
      <c r="AD92" s="4">
        <f>F92+R92</f>
        <v>10269.9</v>
      </c>
      <c r="AE92" s="1"/>
    </row>
    <row r="93" spans="1:73" hidden="true">
      <c r="D93" s="9" t="s">
        <v>15</v>
      </c>
      <c r="E93" s="2">
        <v>45441</v>
      </c>
      <c r="F93" s="55">
        <f>N93</f>
        <v>4777.1</v>
      </c>
      <c r="G93" s="59">
        <v>4777.1</v>
      </c>
      <c r="H93" s="22"/>
      <c r="J93" s="22"/>
      <c r="K93" s="22"/>
      <c r="L93" s="22"/>
      <c r="M93" s="22"/>
      <c r="N93" s="22">
        <f>SUM(G93:M93)</f>
        <v>4777.1</v>
      </c>
      <c r="Q93" s="2">
        <v>45441</v>
      </c>
      <c r="R93" s="55">
        <f>AA93</f>
        <v>6790</v>
      </c>
      <c r="S93" s="59">
        <v>2104</v>
      </c>
      <c r="T93" s="72">
        <v>218</v>
      </c>
      <c r="U93" s="72">
        <v>616</v>
      </c>
      <c r="V93" s="72">
        <v>2252</v>
      </c>
      <c r="W93">
        <v>1600</v>
      </c>
      <c r="AA93" s="68">
        <f>SUM(S93:Z93)</f>
        <v>6790</v>
      </c>
      <c r="AB93" s="9" t="s">
        <v>15</v>
      </c>
      <c r="AC93" s="19">
        <v>45441</v>
      </c>
      <c r="AD93" s="4">
        <f>F93+R93</f>
        <v>11567.1</v>
      </c>
      <c r="AE93" s="1"/>
    </row>
    <row r="94" spans="1:73" hidden="true">
      <c r="D94" s="9" t="s">
        <v>16</v>
      </c>
      <c r="E94" s="2">
        <v>45442</v>
      </c>
      <c r="F94" s="55">
        <f>N94</f>
        <v>4638.55</v>
      </c>
      <c r="G94" s="59">
        <v>4638.55</v>
      </c>
      <c r="N94" s="22">
        <f>SUM(G94:M94)</f>
        <v>4638.55</v>
      </c>
      <c r="Q94" s="2">
        <v>45442</v>
      </c>
      <c r="R94" s="55">
        <f>AA94</f>
        <v>11353</v>
      </c>
      <c r="S94" s="59">
        <v>2719</v>
      </c>
      <c r="T94" s="72">
        <v>0</v>
      </c>
      <c r="U94" s="72">
        <v>3122</v>
      </c>
      <c r="V94" s="72">
        <v>4588</v>
      </c>
      <c r="W94">
        <v>924</v>
      </c>
      <c r="AA94" s="68">
        <f>SUM(S94:Z94)</f>
        <v>11353</v>
      </c>
      <c r="AB94" s="9" t="s">
        <v>16</v>
      </c>
      <c r="AC94" s="19">
        <v>45442</v>
      </c>
      <c r="AD94" s="4">
        <f>F94+R94</f>
        <v>15991.55</v>
      </c>
      <c r="AE94" s="1"/>
    </row>
    <row r="95" spans="1:73" hidden="true" s="13" customFormat="1">
      <c r="D95" s="13" t="s">
        <v>10</v>
      </c>
      <c r="E95" s="10">
        <v>45443</v>
      </c>
      <c r="F95" s="57">
        <f>G95</f>
        <v>2985.75</v>
      </c>
      <c r="G95" s="63">
        <v>2985.75</v>
      </c>
      <c r="I95" s="119"/>
      <c r="N95" s="30">
        <f>SUM(G95:M95)</f>
        <v>2985.75</v>
      </c>
      <c r="Q95" s="10">
        <v>45443</v>
      </c>
      <c r="R95" s="57">
        <f>AA95</f>
        <v>7784</v>
      </c>
      <c r="S95" s="63">
        <v>954</v>
      </c>
      <c r="T95" s="74">
        <v>938</v>
      </c>
      <c r="U95" s="74">
        <v>2752</v>
      </c>
      <c r="V95" s="74">
        <v>2416</v>
      </c>
      <c r="W95" s="13">
        <v>724</v>
      </c>
      <c r="Y95" s="16"/>
      <c r="Z95" s="16"/>
      <c r="AA95" s="75">
        <f>SUM(S95:Z95)</f>
        <v>7784</v>
      </c>
      <c r="AB95" s="9" t="s">
        <v>10</v>
      </c>
      <c r="AC95" s="20">
        <v>45443</v>
      </c>
      <c r="AD95" s="11">
        <f>F95+R95</f>
        <v>10769.75</v>
      </c>
      <c r="AE95" s="16"/>
      <c r="BJ95" s="16"/>
    </row>
    <row r="96" spans="1:73" hidden="true">
      <c r="D96" s="9" t="s">
        <v>11</v>
      </c>
      <c r="E96" s="2">
        <v>45444</v>
      </c>
      <c r="F96" s="55">
        <f>N96</f>
        <v>7146.45</v>
      </c>
      <c r="G96" s="59">
        <v>7146.45</v>
      </c>
      <c r="N96" s="22">
        <f>SUM(G96:M96)</f>
        <v>7146.45</v>
      </c>
      <c r="Q96" s="2">
        <v>45444</v>
      </c>
      <c r="R96" s="55">
        <f>AA96</f>
        <v>10044</v>
      </c>
      <c r="S96" s="59">
        <v>2368</v>
      </c>
      <c r="T96" s="72">
        <v>196</v>
      </c>
      <c r="U96" s="72">
        <v>2900</v>
      </c>
      <c r="V96" s="72">
        <v>2474</v>
      </c>
      <c r="W96">
        <v>2106</v>
      </c>
      <c r="AA96" s="68">
        <f>SUM(S96:Z96)</f>
        <v>10044</v>
      </c>
      <c r="AB96" s="9" t="s">
        <v>11</v>
      </c>
      <c r="AC96" s="19">
        <v>45444</v>
      </c>
      <c r="AD96" s="4">
        <f>F96+R96</f>
        <v>17190.45</v>
      </c>
      <c r="AE96" s="1"/>
    </row>
    <row r="97" spans="1:73" hidden="true">
      <c r="D97" s="9" t="s">
        <v>12</v>
      </c>
      <c r="E97" s="2">
        <v>45445</v>
      </c>
      <c r="F97" s="55">
        <f>N97</f>
        <v>4436.4</v>
      </c>
      <c r="G97" s="59">
        <v>4436.4</v>
      </c>
      <c r="N97" s="22">
        <f>SUM(G97:M97)</f>
        <v>4436.4</v>
      </c>
      <c r="Q97" s="2">
        <v>45445</v>
      </c>
      <c r="R97" s="55">
        <f>AA97</f>
        <v>11196</v>
      </c>
      <c r="S97" s="59">
        <v>1538</v>
      </c>
      <c r="T97" s="72">
        <v>3560</v>
      </c>
      <c r="U97" s="72">
        <v>1468</v>
      </c>
      <c r="V97" s="72">
        <v>2804</v>
      </c>
      <c r="W97">
        <v>1826</v>
      </c>
      <c r="AA97" s="68">
        <f>SUM(S97:Z97)</f>
        <v>11196</v>
      </c>
      <c r="AB97" s="9" t="s">
        <v>12</v>
      </c>
      <c r="AC97" s="19">
        <v>45445</v>
      </c>
      <c r="AD97" s="4">
        <f>F97+R97</f>
        <v>15632.4</v>
      </c>
      <c r="AE97" s="1"/>
    </row>
    <row r="98" spans="1:73" hidden="true">
      <c r="D98" s="9" t="s">
        <v>13</v>
      </c>
      <c r="E98" s="2">
        <v>45446</v>
      </c>
      <c r="F98" s="55">
        <f>N98</f>
        <v>3776.65</v>
      </c>
      <c r="G98" s="59">
        <v>3776.65</v>
      </c>
      <c r="N98" s="22">
        <f>SUM(G98:M98)</f>
        <v>3776.65</v>
      </c>
      <c r="Q98" s="2">
        <v>45446</v>
      </c>
      <c r="R98" s="55">
        <f>AA98</f>
        <v>7331</v>
      </c>
      <c r="S98" s="59">
        <v>483</v>
      </c>
      <c r="T98" s="72">
        <v>168</v>
      </c>
      <c r="U98" s="72">
        <v>3282</v>
      </c>
      <c r="V98" s="72">
        <v>1860</v>
      </c>
      <c r="W98">
        <v>1538</v>
      </c>
      <c r="AA98" s="68">
        <f>SUM(S98:Z98)</f>
        <v>7331</v>
      </c>
      <c r="AB98" s="9" t="s">
        <v>13</v>
      </c>
      <c r="AC98" s="19">
        <v>45446</v>
      </c>
      <c r="AD98" s="4">
        <f>F98+R98</f>
        <v>11107.65</v>
      </c>
      <c r="AE98" s="1"/>
    </row>
    <row r="99" spans="1:73" hidden="true">
      <c r="D99" s="9" t="s">
        <v>14</v>
      </c>
      <c r="E99" s="2">
        <v>45447</v>
      </c>
      <c r="F99" s="55">
        <f>N99</f>
        <v>4619.45</v>
      </c>
      <c r="G99" s="59">
        <v>4619.45</v>
      </c>
      <c r="N99" s="22">
        <f>SUM(G99:M99)</f>
        <v>4619.45</v>
      </c>
      <c r="Q99" s="2">
        <v>45447</v>
      </c>
      <c r="R99" s="55">
        <f>AA99</f>
        <v>5490</v>
      </c>
      <c r="S99" s="59">
        <v>196</v>
      </c>
      <c r="T99" s="72">
        <v>426</v>
      </c>
      <c r="U99" s="72">
        <v>2148</v>
      </c>
      <c r="V99" s="72">
        <v>1738</v>
      </c>
      <c r="W99">
        <v>982</v>
      </c>
      <c r="AA99" s="68">
        <f>SUM(S99:Z99)</f>
        <v>5490</v>
      </c>
      <c r="AB99" s="9" t="s">
        <v>14</v>
      </c>
      <c r="AC99" s="19">
        <v>45447</v>
      </c>
      <c r="AD99" s="4">
        <f>F99+R99</f>
        <v>10109.45</v>
      </c>
      <c r="AE99" s="1"/>
    </row>
    <row r="100" spans="1:73" hidden="true">
      <c r="D100" s="9" t="s">
        <v>15</v>
      </c>
      <c r="E100" s="2">
        <v>45448</v>
      </c>
      <c r="F100" s="55">
        <f>N100</f>
        <v>3268.6</v>
      </c>
      <c r="G100" s="59">
        <v>3268.6</v>
      </c>
      <c r="N100" s="22">
        <f>SUM(G100:M100)</f>
        <v>3268.6</v>
      </c>
      <c r="Q100" s="2">
        <v>45448</v>
      </c>
      <c r="R100" s="55">
        <f>AA100</f>
        <v>7192</v>
      </c>
      <c r="S100" s="59">
        <v>3228</v>
      </c>
      <c r="T100" s="72">
        <v>620</v>
      </c>
      <c r="U100" s="72">
        <v>2028</v>
      </c>
      <c r="V100" s="72">
        <v>890</v>
      </c>
      <c r="W100">
        <v>426</v>
      </c>
      <c r="AA100" s="68">
        <f>SUM(S100:Z100)</f>
        <v>7192</v>
      </c>
      <c r="AB100" s="9" t="s">
        <v>15</v>
      </c>
      <c r="AC100" s="19">
        <v>45448</v>
      </c>
      <c r="AD100" s="4">
        <f>F100+R100</f>
        <v>10460.6</v>
      </c>
      <c r="AE100" s="1"/>
    </row>
    <row r="101" spans="1:73" hidden="true">
      <c r="D101" s="9" t="s">
        <v>16</v>
      </c>
      <c r="E101" s="2">
        <v>45449</v>
      </c>
      <c r="F101" s="55">
        <f>N101</f>
        <v>2756.85</v>
      </c>
      <c r="G101" s="59">
        <v>2756.85</v>
      </c>
      <c r="N101" s="22">
        <f>SUM(G101:M101)</f>
        <v>2756.85</v>
      </c>
      <c r="Q101" s="2">
        <v>45449</v>
      </c>
      <c r="R101" s="55">
        <f>AA101</f>
        <v>9077</v>
      </c>
      <c r="S101" s="59">
        <v>2490</v>
      </c>
      <c r="T101" s="72">
        <v>788</v>
      </c>
      <c r="U101" s="72">
        <v>1879</v>
      </c>
      <c r="V101" s="72">
        <v>1578</v>
      </c>
      <c r="W101">
        <v>2342</v>
      </c>
      <c r="AA101" s="68">
        <f>SUM(S101:Z101)</f>
        <v>9077</v>
      </c>
      <c r="AB101" s="9" t="s">
        <v>16</v>
      </c>
      <c r="AC101" s="19">
        <v>45449</v>
      </c>
      <c r="AD101" s="4">
        <f>F101+R101</f>
        <v>11833.85</v>
      </c>
      <c r="AE101" s="1"/>
    </row>
    <row r="102" spans="1:73" hidden="true">
      <c r="D102" s="9" t="s">
        <v>10</v>
      </c>
      <c r="E102" s="2">
        <v>45450</v>
      </c>
      <c r="F102" s="55">
        <f>N102</f>
        <v>2863.7</v>
      </c>
      <c r="G102" s="59">
        <v>2863.7</v>
      </c>
      <c r="N102" s="22">
        <f>SUM(G102:M102)</f>
        <v>2863.7</v>
      </c>
      <c r="Q102" s="2">
        <v>45450</v>
      </c>
      <c r="R102" s="55">
        <f>AA102</f>
        <v>10505</v>
      </c>
      <c r="S102" s="59">
        <v>2621</v>
      </c>
      <c r="T102" s="72">
        <v>756</v>
      </c>
      <c r="U102" s="72">
        <v>3062</v>
      </c>
      <c r="V102" s="72">
        <v>1910</v>
      </c>
      <c r="W102">
        <v>2156</v>
      </c>
      <c r="AA102" s="68">
        <f>SUM(S102:Z102)</f>
        <v>10505</v>
      </c>
      <c r="AB102" s="9" t="s">
        <v>10</v>
      </c>
      <c r="AC102" s="19">
        <v>45450</v>
      </c>
      <c r="AD102" s="4">
        <f>F102+R102</f>
        <v>13368.7</v>
      </c>
      <c r="AE102" s="1"/>
    </row>
    <row r="103" spans="1:73" hidden="true">
      <c r="D103" s="9" t="s">
        <v>11</v>
      </c>
      <c r="E103" s="2">
        <v>45451</v>
      </c>
      <c r="F103" s="55">
        <f>N103</f>
        <v>4476.1</v>
      </c>
      <c r="G103" s="59">
        <v>4476.1</v>
      </c>
      <c r="N103" s="22">
        <f>SUM(G103:M103)</f>
        <v>4476.1</v>
      </c>
      <c r="Q103" s="2">
        <v>45451</v>
      </c>
      <c r="R103" s="55">
        <f>AA103</f>
        <v>8316</v>
      </c>
      <c r="S103" s="59">
        <v>1950</v>
      </c>
      <c r="T103" s="72">
        <v>594</v>
      </c>
      <c r="U103" s="72">
        <v>3042</v>
      </c>
      <c r="V103" s="72">
        <v>2264</v>
      </c>
      <c r="W103">
        <v>466</v>
      </c>
      <c r="AA103" s="68">
        <f>SUM(S103:Z103)</f>
        <v>8316</v>
      </c>
      <c r="AB103" s="9" t="s">
        <v>11</v>
      </c>
      <c r="AC103" s="19">
        <v>45451</v>
      </c>
      <c r="AD103" s="4">
        <f>F103+R103</f>
        <v>12792.1</v>
      </c>
      <c r="AE103" s="1"/>
    </row>
    <row r="104" spans="1:73" hidden="true">
      <c r="D104" s="9" t="s">
        <v>12</v>
      </c>
      <c r="E104" s="2">
        <v>45452</v>
      </c>
      <c r="F104" s="55">
        <f>N104</f>
        <v>5421.7</v>
      </c>
      <c r="G104" s="59">
        <v>5421.7</v>
      </c>
      <c r="N104" s="22">
        <f>SUM(G104:M104)</f>
        <v>5421.7</v>
      </c>
      <c r="Q104" s="2">
        <v>45452</v>
      </c>
      <c r="R104" s="55">
        <f>AA104</f>
        <v>11590</v>
      </c>
      <c r="S104" s="59">
        <v>2654</v>
      </c>
      <c r="T104" s="72">
        <v>168</v>
      </c>
      <c r="U104" s="72">
        <v>5188</v>
      </c>
      <c r="V104" s="72">
        <v>940</v>
      </c>
      <c r="W104">
        <v>2640</v>
      </c>
      <c r="AA104" s="68">
        <f>SUM(S104:Z104)</f>
        <v>11590</v>
      </c>
      <c r="AB104" s="9" t="s">
        <v>12</v>
      </c>
      <c r="AC104" s="19">
        <v>45452</v>
      </c>
      <c r="AD104" s="4">
        <f>F104+R104</f>
        <v>17011.7</v>
      </c>
      <c r="AE104" s="1"/>
    </row>
    <row r="105" spans="1:73" hidden="true">
      <c r="D105" s="9" t="s">
        <v>13</v>
      </c>
      <c r="E105" s="2">
        <v>45453</v>
      </c>
      <c r="F105" s="55">
        <f>N105</f>
        <v>3583.55</v>
      </c>
      <c r="G105" s="59">
        <v>3583.55</v>
      </c>
      <c r="N105" s="22">
        <f>SUM(G105:M105)</f>
        <v>3583.55</v>
      </c>
      <c r="Q105" s="2">
        <v>45453</v>
      </c>
      <c r="R105" s="55">
        <f>AA105</f>
        <v>7407</v>
      </c>
      <c r="S105" s="59">
        <v>1325</v>
      </c>
      <c r="T105" s="72">
        <v>0</v>
      </c>
      <c r="U105" s="72">
        <v>3416</v>
      </c>
      <c r="V105" s="72">
        <v>1546</v>
      </c>
      <c r="W105">
        <v>1120</v>
      </c>
      <c r="AA105" s="68">
        <f>SUM(S105:Z105)</f>
        <v>7407</v>
      </c>
      <c r="AB105" s="9" t="s">
        <v>13</v>
      </c>
      <c r="AC105" s="19">
        <v>45453</v>
      </c>
      <c r="AD105" s="4">
        <f>F105+R105</f>
        <v>10990.55</v>
      </c>
      <c r="AE105" s="1"/>
    </row>
    <row r="106" spans="1:73" hidden="true">
      <c r="D106" s="9" t="s">
        <v>14</v>
      </c>
      <c r="E106" s="2">
        <v>45454</v>
      </c>
      <c r="F106" s="55">
        <f>N106</f>
        <v>4578.75</v>
      </c>
      <c r="G106" s="59">
        <v>4578.75</v>
      </c>
      <c r="N106" s="22">
        <f>SUM(G106:M106)</f>
        <v>4578.75</v>
      </c>
      <c r="Q106" s="2">
        <v>45454</v>
      </c>
      <c r="R106" s="55">
        <f>AA106</f>
        <v>9774</v>
      </c>
      <c r="S106" s="59">
        <v>5340</v>
      </c>
      <c r="T106" s="72">
        <v>594</v>
      </c>
      <c r="U106" s="72">
        <v>586</v>
      </c>
      <c r="V106" s="72">
        <v>2114</v>
      </c>
      <c r="W106">
        <v>1140</v>
      </c>
      <c r="AA106" s="68">
        <f>SUM(S106:Z106)</f>
        <v>9774</v>
      </c>
      <c r="AB106" s="9" t="s">
        <v>14</v>
      </c>
      <c r="AC106" s="19">
        <v>45454</v>
      </c>
      <c r="AD106" s="4">
        <f>F106+R106</f>
        <v>14352.75</v>
      </c>
      <c r="AE106" s="1"/>
    </row>
    <row r="107" spans="1:73" hidden="true">
      <c r="D107" s="9" t="s">
        <v>15</v>
      </c>
      <c r="E107" s="2">
        <v>45455</v>
      </c>
      <c r="F107" s="55">
        <f>N107</f>
        <v>3872.05</v>
      </c>
      <c r="G107" s="59">
        <v>3872.05</v>
      </c>
      <c r="N107" s="22">
        <f>SUM(G107:M107)</f>
        <v>3872.05</v>
      </c>
      <c r="Q107" s="2">
        <v>45455</v>
      </c>
      <c r="R107" s="55">
        <f>AA107</f>
        <v>6393</v>
      </c>
      <c r="S107" s="59">
        <v>1817</v>
      </c>
      <c r="T107" s="72">
        <v>786</v>
      </c>
      <c r="U107" s="72">
        <v>1730</v>
      </c>
      <c r="V107" s="72">
        <v>1046</v>
      </c>
      <c r="W107">
        <v>1014</v>
      </c>
      <c r="AA107" s="68">
        <f>SUM(S107:Z107)</f>
        <v>6393</v>
      </c>
      <c r="AB107" s="9" t="s">
        <v>15</v>
      </c>
      <c r="AC107" s="19">
        <v>45455</v>
      </c>
      <c r="AD107" s="4">
        <f>F107+R107</f>
        <v>10265.05</v>
      </c>
      <c r="AE107" s="1"/>
    </row>
    <row r="108" spans="1:73" hidden="true">
      <c r="D108" s="9" t="s">
        <v>16</v>
      </c>
      <c r="E108" s="2">
        <v>45456</v>
      </c>
      <c r="F108" s="55">
        <f>N108</f>
        <v>4066.85</v>
      </c>
      <c r="G108" s="59">
        <v>4066.85</v>
      </c>
      <c r="N108" s="22">
        <f>SUM(G108:M108)</f>
        <v>4066.85</v>
      </c>
      <c r="Q108" s="2">
        <v>45456</v>
      </c>
      <c r="R108" s="55">
        <f>AA108</f>
        <v>5788</v>
      </c>
      <c r="S108" s="59">
        <v>590</v>
      </c>
      <c r="T108" s="72">
        <v>564</v>
      </c>
      <c r="U108" s="72">
        <v>1870</v>
      </c>
      <c r="V108" s="72">
        <v>1742</v>
      </c>
      <c r="W108">
        <v>1022</v>
      </c>
      <c r="AA108" s="68">
        <f>SUM(S108:Z108)</f>
        <v>5788</v>
      </c>
      <c r="AB108" s="9" t="s">
        <v>16</v>
      </c>
      <c r="AC108" s="19">
        <v>45456</v>
      </c>
      <c r="AD108" s="4">
        <f>F108+R108</f>
        <v>9854.85</v>
      </c>
      <c r="AE108" s="1"/>
    </row>
    <row r="109" spans="1:73" hidden="true">
      <c r="D109" s="9" t="s">
        <v>10</v>
      </c>
      <c r="E109" s="2">
        <v>45457</v>
      </c>
      <c r="F109" s="55">
        <f>N109</f>
        <v>2951</v>
      </c>
      <c r="G109" s="59">
        <v>2951</v>
      </c>
      <c r="N109" s="22">
        <f>SUM(G109:M109)</f>
        <v>2951</v>
      </c>
      <c r="Q109" s="2">
        <v>45457</v>
      </c>
      <c r="R109" s="55">
        <f>AA109</f>
        <v>11553</v>
      </c>
      <c r="S109" s="59">
        <v>3536</v>
      </c>
      <c r="T109" s="72">
        <v>0</v>
      </c>
      <c r="U109" s="72">
        <v>1736</v>
      </c>
      <c r="V109" s="72">
        <v>3471</v>
      </c>
      <c r="W109">
        <v>2810</v>
      </c>
      <c r="AA109" s="68">
        <f>SUM(S109:Z109)</f>
        <v>11553</v>
      </c>
      <c r="AB109" s="9" t="s">
        <v>10</v>
      </c>
      <c r="AC109" s="19">
        <v>45457</v>
      </c>
      <c r="AD109" s="4">
        <f>F109+R109</f>
        <v>14504</v>
      </c>
      <c r="AE109" s="1"/>
    </row>
    <row r="110" spans="1:73" hidden="true">
      <c r="D110" s="9" t="s">
        <v>11</v>
      </c>
      <c r="E110" s="2">
        <v>45458</v>
      </c>
      <c r="F110" s="55">
        <f>N110</f>
        <v>4484.35</v>
      </c>
      <c r="G110" s="59">
        <v>4484.35</v>
      </c>
      <c r="N110" s="22">
        <f>SUM(G110:M110)</f>
        <v>4484.35</v>
      </c>
      <c r="Q110" s="2">
        <v>45458</v>
      </c>
      <c r="R110" s="55">
        <f>AA110</f>
        <v>8344</v>
      </c>
      <c r="S110" s="59">
        <v>2888</v>
      </c>
      <c r="T110" s="72">
        <v>560</v>
      </c>
      <c r="U110" s="72">
        <v>2288</v>
      </c>
      <c r="V110" s="72">
        <v>1220</v>
      </c>
      <c r="W110">
        <v>1388</v>
      </c>
      <c r="AA110" s="68">
        <f>SUM(S110:Z110)</f>
        <v>8344</v>
      </c>
      <c r="AB110" s="9" t="s">
        <v>11</v>
      </c>
      <c r="AC110" s="19">
        <v>45458</v>
      </c>
      <c r="AD110" s="4">
        <f>F110+R110</f>
        <v>12828.35</v>
      </c>
      <c r="AE110" s="1"/>
    </row>
    <row r="111" spans="1:73" hidden="true">
      <c r="D111" s="9" t="s">
        <v>12</v>
      </c>
      <c r="E111" s="2">
        <v>45459</v>
      </c>
      <c r="F111" s="55">
        <f>N111</f>
        <v>5427.6</v>
      </c>
      <c r="G111" s="59">
        <v>5427.6</v>
      </c>
      <c r="N111" s="22">
        <f>SUM(G111:M111)</f>
        <v>5427.6</v>
      </c>
      <c r="Q111" s="2">
        <v>45459</v>
      </c>
      <c r="R111" s="55">
        <f>AA111</f>
        <v>11070</v>
      </c>
      <c r="S111" s="59">
        <v>4590</v>
      </c>
      <c r="T111" s="72">
        <v>590</v>
      </c>
      <c r="U111" s="72">
        <v>3541</v>
      </c>
      <c r="V111" s="72">
        <v>1246</v>
      </c>
      <c r="W111">
        <v>1103</v>
      </c>
      <c r="AA111" s="68">
        <f>SUM(S111:Z111)</f>
        <v>11070</v>
      </c>
      <c r="AB111" s="9" t="s">
        <v>12</v>
      </c>
      <c r="AC111" s="19">
        <v>45459</v>
      </c>
      <c r="AD111" s="4">
        <f>F111+R111</f>
        <v>16497.6</v>
      </c>
      <c r="AE111" s="1"/>
    </row>
    <row r="112" spans="1:73" hidden="true">
      <c r="D112" s="9" t="s">
        <v>13</v>
      </c>
      <c r="E112" s="2">
        <v>45460</v>
      </c>
      <c r="F112" s="55">
        <f>N112</f>
        <v>4851.2</v>
      </c>
      <c r="G112" s="59">
        <v>4851.2</v>
      </c>
      <c r="N112" s="22">
        <f>SUM(G112:M112)</f>
        <v>4851.2</v>
      </c>
      <c r="Q112" s="2">
        <v>45460</v>
      </c>
      <c r="R112" s="55">
        <f>AA112</f>
        <v>6601</v>
      </c>
      <c r="S112" s="59">
        <v>1199</v>
      </c>
      <c r="T112" s="72">
        <v>0</v>
      </c>
      <c r="U112" s="72">
        <v>1632</v>
      </c>
      <c r="V112" s="72">
        <v>3274</v>
      </c>
      <c r="W112">
        <v>496</v>
      </c>
      <c r="AA112" s="68">
        <f>SUM(S112:Z112)</f>
        <v>6601</v>
      </c>
      <c r="AB112" s="9" t="s">
        <v>13</v>
      </c>
      <c r="AC112" s="19">
        <v>45460</v>
      </c>
      <c r="AD112" s="4">
        <f>F112+R112</f>
        <v>11452.2</v>
      </c>
      <c r="AE112" s="1"/>
    </row>
    <row r="113" spans="1:73" hidden="true">
      <c r="D113" s="9" t="s">
        <v>14</v>
      </c>
      <c r="E113" s="2">
        <v>45461</v>
      </c>
      <c r="F113" s="55">
        <f>N113</f>
        <v>4741.4</v>
      </c>
      <c r="G113" s="59">
        <v>4741.4</v>
      </c>
      <c r="N113" s="22">
        <f>SUM(G113:M113)</f>
        <v>4741.4</v>
      </c>
      <c r="Q113" s="2">
        <v>45461</v>
      </c>
      <c r="R113" s="55">
        <f>AA113</f>
        <v>5475</v>
      </c>
      <c r="S113" s="59">
        <v>1616</v>
      </c>
      <c r="T113" s="72">
        <v>592</v>
      </c>
      <c r="U113" s="72">
        <v>1621</v>
      </c>
      <c r="V113" s="72">
        <v>930</v>
      </c>
      <c r="W113">
        <v>716</v>
      </c>
      <c r="AA113" s="68">
        <f>SUM(S113:Z113)</f>
        <v>5475</v>
      </c>
      <c r="AB113" s="9" t="s">
        <v>14</v>
      </c>
      <c r="AC113" s="19">
        <v>45461</v>
      </c>
      <c r="AD113" s="4">
        <f>F113+R113</f>
        <v>10216.4</v>
      </c>
      <c r="AE113" s="1"/>
    </row>
    <row r="114" spans="1:73" hidden="true">
      <c r="D114" s="9" t="s">
        <v>15</v>
      </c>
      <c r="E114" s="2">
        <v>45462</v>
      </c>
      <c r="F114" s="55">
        <f>N114</f>
        <v>3269.55</v>
      </c>
      <c r="G114" s="59">
        <v>3269.55</v>
      </c>
      <c r="N114" s="22">
        <f>SUM(G114:M114)</f>
        <v>3269.55</v>
      </c>
      <c r="Q114" s="2">
        <v>45462</v>
      </c>
      <c r="R114" s="55">
        <f>AA114</f>
        <v>5426</v>
      </c>
      <c r="S114" s="59">
        <v>1342</v>
      </c>
      <c r="T114" s="72">
        <v>228</v>
      </c>
      <c r="U114" s="72">
        <v>1326</v>
      </c>
      <c r="V114" s="72">
        <v>954</v>
      </c>
      <c r="W114">
        <v>1576</v>
      </c>
      <c r="AA114" s="68">
        <f>SUM(S114:Z114)</f>
        <v>5426</v>
      </c>
      <c r="AB114" s="9" t="s">
        <v>15</v>
      </c>
      <c r="AC114" s="19">
        <v>45462</v>
      </c>
      <c r="AD114" s="4">
        <f>F114+R114</f>
        <v>8695.55</v>
      </c>
      <c r="AE114" s="1"/>
    </row>
    <row r="115" spans="1:73" hidden="true">
      <c r="D115" s="9" t="s">
        <v>16</v>
      </c>
      <c r="E115" s="2">
        <v>45463</v>
      </c>
      <c r="F115" s="55">
        <f>N115</f>
        <v>3867.1</v>
      </c>
      <c r="G115" s="59">
        <v>3867.1</v>
      </c>
      <c r="N115" s="22">
        <f>SUM(G115:M115)</f>
        <v>3867.1</v>
      </c>
      <c r="Q115" s="2">
        <v>45463</v>
      </c>
      <c r="R115" s="55">
        <f>AA115</f>
        <v>11516</v>
      </c>
      <c r="S115" s="59">
        <v>3292</v>
      </c>
      <c r="T115" s="72">
        <v>560</v>
      </c>
      <c r="U115" s="72">
        <v>4398</v>
      </c>
      <c r="V115" s="72">
        <v>1876</v>
      </c>
      <c r="W115">
        <v>1390</v>
      </c>
      <c r="AA115" s="68">
        <f>SUM(S115:Z115)</f>
        <v>11516</v>
      </c>
      <c r="AB115" s="9" t="s">
        <v>16</v>
      </c>
      <c r="AC115" s="19">
        <v>45463</v>
      </c>
      <c r="AD115" s="4">
        <f>F115+R115</f>
        <v>15383.1</v>
      </c>
      <c r="AE115" s="1"/>
    </row>
    <row r="116" spans="1:73" hidden="true">
      <c r="D116" s="9" t="s">
        <v>10</v>
      </c>
      <c r="E116" s="2">
        <v>45464</v>
      </c>
      <c r="F116" s="55">
        <f>N116</f>
        <v>3103.45</v>
      </c>
      <c r="G116" s="59">
        <v>3103.45</v>
      </c>
      <c r="N116" s="22">
        <f>SUM(G116:M116)</f>
        <v>3103.45</v>
      </c>
      <c r="Q116" s="2">
        <v>45464</v>
      </c>
      <c r="R116" s="55">
        <f>AA116</f>
        <v>10528</v>
      </c>
      <c r="S116" s="59">
        <v>2594</v>
      </c>
      <c r="T116" s="72">
        <v>0</v>
      </c>
      <c r="U116" s="72">
        <v>3458</v>
      </c>
      <c r="V116" s="72">
        <v>3096</v>
      </c>
      <c r="W116">
        <v>1380</v>
      </c>
      <c r="AA116" s="68">
        <f>SUM(S116:Z116)</f>
        <v>10528</v>
      </c>
      <c r="AB116" s="9" t="s">
        <v>10</v>
      </c>
      <c r="AC116" s="19">
        <v>45464</v>
      </c>
      <c r="AD116" s="4">
        <f>F116+R116</f>
        <v>13631.45</v>
      </c>
      <c r="AE116" s="1"/>
    </row>
    <row r="117" spans="1:73" hidden="true">
      <c r="D117" s="9" t="s">
        <v>11</v>
      </c>
      <c r="E117" s="2">
        <v>45465</v>
      </c>
      <c r="F117" s="55">
        <f>N117</f>
        <v>3978.95</v>
      </c>
      <c r="G117" s="59">
        <v>3978.95</v>
      </c>
      <c r="N117" s="22">
        <f>SUM(G117:M117)</f>
        <v>3978.95</v>
      </c>
      <c r="Q117" s="2">
        <v>45465</v>
      </c>
      <c r="R117" s="55">
        <f>AA117</f>
        <v>8645</v>
      </c>
      <c r="S117" s="59">
        <v>1297</v>
      </c>
      <c r="T117" s="72">
        <v>1346</v>
      </c>
      <c r="U117" s="72">
        <v>892</v>
      </c>
      <c r="V117" s="72">
        <v>2948</v>
      </c>
      <c r="W117">
        <v>2162</v>
      </c>
      <c r="AA117" s="68">
        <f>SUM(S117:Z117)</f>
        <v>8645</v>
      </c>
      <c r="AB117" s="9" t="s">
        <v>11</v>
      </c>
      <c r="AC117" s="19">
        <v>45465</v>
      </c>
      <c r="AD117" s="4">
        <f>F117+R117</f>
        <v>12623.95</v>
      </c>
      <c r="AE117" s="1"/>
    </row>
    <row r="118" spans="1:73" hidden="true">
      <c r="D118" s="9" t="s">
        <v>12</v>
      </c>
      <c r="E118" s="2">
        <v>45466</v>
      </c>
      <c r="F118" s="55">
        <f>N118</f>
        <v>4422.4</v>
      </c>
      <c r="G118" s="59">
        <v>4422.4</v>
      </c>
      <c r="N118" s="22">
        <f>SUM(G118:M118)</f>
        <v>4422.4</v>
      </c>
      <c r="Q118" s="2">
        <v>45466</v>
      </c>
      <c r="R118" s="55">
        <f>AA118</f>
        <v>7548</v>
      </c>
      <c r="S118" s="59">
        <v>2856</v>
      </c>
      <c r="T118" s="72">
        <v>682</v>
      </c>
      <c r="U118" s="72">
        <v>2088</v>
      </c>
      <c r="V118" s="72">
        <v>690</v>
      </c>
      <c r="W118">
        <v>1232</v>
      </c>
      <c r="AA118" s="68">
        <f>SUM(S118:Z118)</f>
        <v>7548</v>
      </c>
      <c r="AB118" s="9" t="s">
        <v>12</v>
      </c>
      <c r="AC118" s="19">
        <v>45466</v>
      </c>
      <c r="AD118" s="4">
        <f>F118+R118</f>
        <v>11970.4</v>
      </c>
      <c r="AE118" s="1"/>
    </row>
    <row r="119" spans="1:73" hidden="true">
      <c r="D119" s="9" t="s">
        <v>13</v>
      </c>
      <c r="E119" s="2">
        <v>45467</v>
      </c>
      <c r="F119" s="55">
        <f>N119</f>
        <v>3753.5</v>
      </c>
      <c r="G119" s="59">
        <v>3753.5</v>
      </c>
      <c r="N119" s="22">
        <f>SUM(G119:M119)</f>
        <v>3753.5</v>
      </c>
      <c r="Q119" s="2">
        <v>45467</v>
      </c>
      <c r="R119" s="55">
        <f>AA119</f>
        <v>6318</v>
      </c>
      <c r="S119" s="59">
        <v>0</v>
      </c>
      <c r="T119" s="72">
        <v>238</v>
      </c>
      <c r="U119" s="72">
        <v>3356</v>
      </c>
      <c r="V119" s="72">
        <v>1284</v>
      </c>
      <c r="W119">
        <v>1440</v>
      </c>
      <c r="AA119" s="68">
        <f>SUM(S119:Z119)</f>
        <v>6318</v>
      </c>
      <c r="AB119" s="9" t="s">
        <v>13</v>
      </c>
      <c r="AC119" s="19">
        <v>45467</v>
      </c>
      <c r="AD119" s="4">
        <f>F119+R119</f>
        <v>10071.5</v>
      </c>
      <c r="AE119" s="1"/>
    </row>
    <row r="120" spans="1:73" hidden="true">
      <c r="D120" s="9" t="s">
        <v>14</v>
      </c>
      <c r="E120" s="2">
        <v>45468</v>
      </c>
      <c r="F120" s="55">
        <f>N120</f>
        <v>3356.25</v>
      </c>
      <c r="G120" s="59">
        <v>3356.25</v>
      </c>
      <c r="N120" s="22">
        <f>SUM(G120:M120)</f>
        <v>3356.25</v>
      </c>
      <c r="Q120" s="2">
        <v>45468</v>
      </c>
      <c r="R120" s="55">
        <f>AA120</f>
        <v>8496</v>
      </c>
      <c r="S120" s="59">
        <v>1204</v>
      </c>
      <c r="T120" s="72">
        <v>806</v>
      </c>
      <c r="U120" s="72">
        <v>2748</v>
      </c>
      <c r="V120" s="72">
        <v>1376</v>
      </c>
      <c r="W120">
        <v>2362</v>
      </c>
      <c r="AA120" s="68">
        <f>SUM(S120:Z120)</f>
        <v>8496</v>
      </c>
      <c r="AB120" s="9" t="s">
        <v>14</v>
      </c>
      <c r="AC120" s="19">
        <v>45468</v>
      </c>
      <c r="AD120" s="4">
        <f>F120+R120</f>
        <v>11852.25</v>
      </c>
      <c r="AE120" s="1"/>
    </row>
    <row r="121" spans="1:73" hidden="true">
      <c r="D121" s="9" t="s">
        <v>15</v>
      </c>
      <c r="E121" s="2">
        <v>45469</v>
      </c>
      <c r="F121" s="55">
        <f>N121</f>
        <v>2955.05</v>
      </c>
      <c r="G121" s="59">
        <v>2955.05</v>
      </c>
      <c r="N121" s="22">
        <f>SUM(G121:M121)</f>
        <v>2955.05</v>
      </c>
      <c r="Q121" s="2">
        <v>45469</v>
      </c>
      <c r="R121" s="55">
        <f>AA121</f>
        <v>6706</v>
      </c>
      <c r="S121" s="59">
        <v>1112</v>
      </c>
      <c r="T121" s="72">
        <v>0</v>
      </c>
      <c r="U121" s="72">
        <v>2354</v>
      </c>
      <c r="V121" s="72">
        <v>2040</v>
      </c>
      <c r="W121">
        <v>1200</v>
      </c>
      <c r="AA121" s="68">
        <f>SUM(S121:Z121)</f>
        <v>6706</v>
      </c>
      <c r="AB121" s="9" t="s">
        <v>15</v>
      </c>
      <c r="AC121" s="19">
        <v>45469</v>
      </c>
      <c r="AD121" s="4">
        <f>F121+R121</f>
        <v>9661.05</v>
      </c>
      <c r="AE121" s="1"/>
    </row>
    <row r="122" spans="1:73" hidden="true">
      <c r="D122" s="9" t="s">
        <v>16</v>
      </c>
      <c r="E122" s="2">
        <v>45470</v>
      </c>
      <c r="F122" s="55">
        <f>N122</f>
        <v>2564.25</v>
      </c>
      <c r="G122" s="59">
        <v>2564.25</v>
      </c>
      <c r="N122" s="22">
        <f>SUM(G122:M122)</f>
        <v>2564.25</v>
      </c>
      <c r="Q122" s="2">
        <v>45470</v>
      </c>
      <c r="R122" s="55">
        <f>AA122</f>
        <v>5790</v>
      </c>
      <c r="S122" s="59">
        <v>1523</v>
      </c>
      <c r="T122" s="72">
        <v>196</v>
      </c>
      <c r="U122" s="72">
        <v>2069</v>
      </c>
      <c r="V122" s="72">
        <v>552</v>
      </c>
      <c r="W122">
        <v>1450</v>
      </c>
      <c r="AA122" s="68">
        <f>SUM(S122:Z122)</f>
        <v>5790</v>
      </c>
      <c r="AB122" s="9" t="s">
        <v>16</v>
      </c>
      <c r="AC122" s="19">
        <v>45470</v>
      </c>
      <c r="AD122" s="4">
        <f>F122+R122</f>
        <v>8354.25</v>
      </c>
      <c r="AE122" s="1"/>
    </row>
    <row r="123" spans="1:73" hidden="true">
      <c r="D123" s="9" t="s">
        <v>10</v>
      </c>
      <c r="E123" s="2">
        <v>45471</v>
      </c>
      <c r="F123" s="55">
        <f>N123</f>
        <v>3976.05</v>
      </c>
      <c r="G123" s="59">
        <v>3976.05</v>
      </c>
      <c r="N123" s="22">
        <f>SUM(G123:M123)</f>
        <v>3976.05</v>
      </c>
      <c r="Q123" s="2">
        <v>45471</v>
      </c>
      <c r="R123" s="55">
        <f>AA123</f>
        <v>7635</v>
      </c>
      <c r="S123" s="59">
        <v>2757</v>
      </c>
      <c r="T123" s="72">
        <v>0</v>
      </c>
      <c r="U123" s="72">
        <v>2852</v>
      </c>
      <c r="V123" s="72">
        <v>298</v>
      </c>
      <c r="W123">
        <v>1728</v>
      </c>
      <c r="AA123" s="68">
        <f>SUM(S123:Z123)</f>
        <v>7635</v>
      </c>
      <c r="AB123" s="9" t="s">
        <v>10</v>
      </c>
      <c r="AC123" s="19">
        <v>45471</v>
      </c>
      <c r="AD123" s="4">
        <f>F123+R123</f>
        <v>11611.05</v>
      </c>
      <c r="AE123" s="1"/>
    </row>
    <row r="124" spans="1:73" hidden="true">
      <c r="D124" s="9" t="s">
        <v>11</v>
      </c>
      <c r="E124" s="2">
        <v>45472</v>
      </c>
      <c r="F124" s="55">
        <f>N124</f>
        <v>3972.3</v>
      </c>
      <c r="G124" s="59">
        <v>3972.3</v>
      </c>
      <c r="N124" s="22">
        <f>SUM(G124:M124)</f>
        <v>3972.3</v>
      </c>
      <c r="Q124" s="2">
        <v>45472</v>
      </c>
      <c r="R124" s="55">
        <f>AA124</f>
        <v>10973</v>
      </c>
      <c r="S124" s="59">
        <v>1450</v>
      </c>
      <c r="T124" s="72">
        <v>1014</v>
      </c>
      <c r="U124" s="72">
        <v>3497</v>
      </c>
      <c r="V124" s="72">
        <v>2766</v>
      </c>
      <c r="W124">
        <v>2246</v>
      </c>
      <c r="AA124" s="68">
        <f>SUM(S124:Z124)</f>
        <v>10973</v>
      </c>
      <c r="AB124" s="9" t="s">
        <v>11</v>
      </c>
      <c r="AC124" s="19">
        <v>45472</v>
      </c>
      <c r="AD124" s="4">
        <f>F124+R124</f>
        <v>14945.3</v>
      </c>
      <c r="AE124" s="1"/>
    </row>
    <row r="125" spans="1:73" hidden="true" s="13" customFormat="1">
      <c r="D125" s="13" t="s">
        <v>12</v>
      </c>
      <c r="E125" s="10">
        <v>45473</v>
      </c>
      <c r="F125" s="57">
        <f>N125</f>
        <v>6129</v>
      </c>
      <c r="G125" s="63">
        <v>6129</v>
      </c>
      <c r="I125" s="119"/>
      <c r="N125" s="30">
        <f>SUM(G125:M125)</f>
        <v>6129</v>
      </c>
      <c r="Q125" s="10">
        <v>45473</v>
      </c>
      <c r="R125" s="57">
        <f>AA125</f>
        <v>11442</v>
      </c>
      <c r="S125" s="63">
        <v>3182</v>
      </c>
      <c r="T125" s="74">
        <v>590</v>
      </c>
      <c r="U125" s="74">
        <v>3300</v>
      </c>
      <c r="V125" s="74">
        <v>1462</v>
      </c>
      <c r="W125" s="13">
        <v>2908</v>
      </c>
      <c r="Y125" s="16"/>
      <c r="Z125" s="16"/>
      <c r="AA125" s="75">
        <f>SUM(S125:Z125)</f>
        <v>11442</v>
      </c>
      <c r="AB125" s="9" t="s">
        <v>12</v>
      </c>
      <c r="AC125" s="20">
        <v>45473</v>
      </c>
      <c r="AD125" s="11">
        <f>F125+R125</f>
        <v>17571</v>
      </c>
      <c r="AE125" s="16"/>
      <c r="BJ125" s="16"/>
    </row>
    <row r="126" spans="1:73" hidden="true">
      <c r="D126" s="9" t="s">
        <v>13</v>
      </c>
      <c r="E126" s="2">
        <v>45474</v>
      </c>
      <c r="F126" s="55">
        <f>N126</f>
        <v>3366.65</v>
      </c>
      <c r="G126" s="59">
        <v>3366.65</v>
      </c>
      <c r="N126" s="22">
        <f>SUM(G126:M126)</f>
        <v>3366.65</v>
      </c>
      <c r="Q126" s="2">
        <v>45474</v>
      </c>
      <c r="R126" s="55">
        <f>AA126</f>
        <v>9354</v>
      </c>
      <c r="S126" s="59">
        <v>2626</v>
      </c>
      <c r="T126" s="72">
        <v>248</v>
      </c>
      <c r="U126" s="72">
        <v>2306</v>
      </c>
      <c r="V126" s="72">
        <v>2124</v>
      </c>
      <c r="W126">
        <v>1016</v>
      </c>
      <c r="X126">
        <v>1034</v>
      </c>
      <c r="AA126" s="68">
        <f>SUM(S126:Z126)</f>
        <v>9354</v>
      </c>
      <c r="AB126" s="9" t="s">
        <v>13</v>
      </c>
      <c r="AC126" s="19">
        <v>45474</v>
      </c>
      <c r="AD126" s="4">
        <f>F126+R126</f>
        <v>12720.65</v>
      </c>
      <c r="AE126" s="1"/>
    </row>
    <row r="127" spans="1:73" hidden="true">
      <c r="D127" s="9" t="s">
        <v>14</v>
      </c>
      <c r="E127" s="2">
        <v>45475</v>
      </c>
      <c r="F127" s="55">
        <f>N127</f>
        <v>3003.4</v>
      </c>
      <c r="G127" s="59">
        <v>3003.4</v>
      </c>
      <c r="N127" s="22">
        <f>SUM(G127:M127)</f>
        <v>3003.4</v>
      </c>
      <c r="Q127" s="2">
        <v>45475</v>
      </c>
      <c r="R127" s="55">
        <f>AA127</f>
        <v>6144</v>
      </c>
      <c r="S127" s="59">
        <v>2188</v>
      </c>
      <c r="T127" s="72">
        <v>196</v>
      </c>
      <c r="U127" s="72">
        <v>826</v>
      </c>
      <c r="V127" s="72">
        <v>396</v>
      </c>
      <c r="W127">
        <v>2112</v>
      </c>
      <c r="X127">
        <v>426</v>
      </c>
      <c r="AA127" s="68">
        <f>SUM(S127:Z127)</f>
        <v>6144</v>
      </c>
      <c r="AB127" s="9" t="s">
        <v>14</v>
      </c>
      <c r="AC127" s="19">
        <v>45475</v>
      </c>
      <c r="AD127" s="4">
        <f>F127+R127</f>
        <v>9147.4</v>
      </c>
      <c r="AE127" s="1"/>
    </row>
    <row r="128" spans="1:73" hidden="true">
      <c r="D128" s="9" t="s">
        <v>15</v>
      </c>
      <c r="E128" s="2">
        <v>45476</v>
      </c>
      <c r="F128" s="55">
        <f>N128</f>
        <v>3496.65</v>
      </c>
      <c r="G128" s="59">
        <v>3496.65</v>
      </c>
      <c r="N128" s="22">
        <f>SUM(G128:M128)</f>
        <v>3496.65</v>
      </c>
      <c r="Q128" s="2">
        <v>45476</v>
      </c>
      <c r="R128" s="55">
        <f>AA128</f>
        <v>7727</v>
      </c>
      <c r="S128" s="59">
        <v>2232</v>
      </c>
      <c r="T128" s="72">
        <v>394</v>
      </c>
      <c r="U128" s="72">
        <v>1182</v>
      </c>
      <c r="V128" s="72">
        <v>1741</v>
      </c>
      <c r="W128">
        <v>1254</v>
      </c>
      <c r="X128">
        <v>924</v>
      </c>
      <c r="AA128" s="68">
        <f>SUM(S128:Z128)</f>
        <v>7727</v>
      </c>
      <c r="AB128" s="9" t="s">
        <v>15</v>
      </c>
      <c r="AC128" s="19">
        <v>45476</v>
      </c>
      <c r="AD128" s="4">
        <f>F128+R128</f>
        <v>11223.65</v>
      </c>
      <c r="AE128" s="1"/>
    </row>
    <row r="129" spans="1:73" hidden="true">
      <c r="D129" s="9" t="s">
        <v>16</v>
      </c>
      <c r="E129" s="2">
        <v>45477</v>
      </c>
      <c r="F129" s="55">
        <f>N129</f>
        <v>2902.9</v>
      </c>
      <c r="G129" s="59">
        <v>2902.9</v>
      </c>
      <c r="N129" s="22">
        <f>SUM(G129:M129)</f>
        <v>2902.9</v>
      </c>
      <c r="Q129" s="2">
        <v>45477</v>
      </c>
      <c r="R129" s="55">
        <f>AA129</f>
        <v>6249</v>
      </c>
      <c r="S129" s="59">
        <v>1087</v>
      </c>
      <c r="T129" s="72">
        <v>642</v>
      </c>
      <c r="U129" s="72">
        <v>804</v>
      </c>
      <c r="V129" s="72">
        <v>1078</v>
      </c>
      <c r="W129">
        <v>1538</v>
      </c>
      <c r="X129">
        <v>1100</v>
      </c>
      <c r="AA129" s="68">
        <f>SUM(S129:Z129)</f>
        <v>6249</v>
      </c>
      <c r="AC129" s="19">
        <v>45477</v>
      </c>
      <c r="AD129" s="4">
        <f>F129+R129</f>
        <v>9151.9</v>
      </c>
      <c r="AE129" s="1"/>
    </row>
    <row r="130" spans="1:73" hidden="true">
      <c r="D130" s="9" t="s">
        <v>10</v>
      </c>
      <c r="E130" s="2">
        <v>45478</v>
      </c>
      <c r="F130" s="55">
        <f>N130</f>
        <v>2996.95</v>
      </c>
      <c r="G130" s="59">
        <v>2996.95</v>
      </c>
      <c r="N130" s="22">
        <f>SUM(G130:M130)</f>
        <v>2996.95</v>
      </c>
      <c r="Q130" s="2">
        <v>45478</v>
      </c>
      <c r="R130" s="55">
        <f>AA130</f>
        <v>7506</v>
      </c>
      <c r="S130" s="59">
        <v>2792</v>
      </c>
      <c r="T130" s="72">
        <v>588</v>
      </c>
      <c r="U130" s="72">
        <v>734</v>
      </c>
      <c r="V130" s="72">
        <v>228</v>
      </c>
      <c r="W130">
        <v>1240</v>
      </c>
      <c r="X130">
        <v>1924</v>
      </c>
      <c r="AA130" s="68">
        <f>SUM(S130:Z130)</f>
        <v>7506</v>
      </c>
      <c r="AC130" s="19">
        <v>45478</v>
      </c>
      <c r="AD130" s="4">
        <f>F130+R130</f>
        <v>10502.95</v>
      </c>
      <c r="AE130" s="1"/>
    </row>
    <row r="131" spans="1:73" hidden="true">
      <c r="D131" s="9" t="s">
        <v>11</v>
      </c>
      <c r="E131" s="2">
        <v>45479</v>
      </c>
      <c r="F131" s="55">
        <f>N131</f>
        <v>3152</v>
      </c>
      <c r="G131" s="59">
        <v>3152</v>
      </c>
      <c r="N131" s="22">
        <f>SUM(G131:M131)</f>
        <v>3152</v>
      </c>
      <c r="Q131" s="2">
        <v>45479</v>
      </c>
      <c r="R131" s="55">
        <f>AA131</f>
        <v>10271</v>
      </c>
      <c r="S131" s="59">
        <v>2911</v>
      </c>
      <c r="T131" s="72">
        <v>196</v>
      </c>
      <c r="U131" s="72">
        <v>2824</v>
      </c>
      <c r="V131" s="72">
        <v>1226</v>
      </c>
      <c r="W131">
        <v>1848</v>
      </c>
      <c r="X131">
        <v>1266</v>
      </c>
      <c r="AA131" s="68">
        <f>SUM(S131:Z131)</f>
        <v>10271</v>
      </c>
      <c r="AC131" s="19">
        <v>45479</v>
      </c>
      <c r="AD131" s="4">
        <f>F131+R131</f>
        <v>13423</v>
      </c>
      <c r="AE131" s="1"/>
    </row>
    <row r="132" spans="1:73" hidden="true">
      <c r="D132" s="9" t="s">
        <v>12</v>
      </c>
      <c r="E132" s="2">
        <v>45480</v>
      </c>
      <c r="F132" s="55">
        <f>N132</f>
        <v>5611.05</v>
      </c>
      <c r="G132" s="59">
        <v>5611.05</v>
      </c>
      <c r="N132" s="22">
        <f>SUM(G132:M132)</f>
        <v>5611.05</v>
      </c>
      <c r="Q132" s="2">
        <v>45480</v>
      </c>
      <c r="R132" s="55">
        <f>AA132</f>
        <v>12099</v>
      </c>
      <c r="S132" s="59">
        <v>2663</v>
      </c>
      <c r="T132" s="72">
        <v>1246</v>
      </c>
      <c r="U132" s="72">
        <v>3660</v>
      </c>
      <c r="V132" s="72">
        <v>1566</v>
      </c>
      <c r="W132">
        <v>1508</v>
      </c>
      <c r="X132">
        <v>1456</v>
      </c>
      <c r="AA132" s="68">
        <f>SUM(S132:Z132)</f>
        <v>12099</v>
      </c>
      <c r="AC132" s="19">
        <v>45480</v>
      </c>
      <c r="AD132" s="4">
        <f>F132+R132</f>
        <v>17710.05</v>
      </c>
      <c r="AE132" s="1"/>
    </row>
    <row r="133" spans="1:73" hidden="true">
      <c r="D133" s="9" t="s">
        <v>13</v>
      </c>
      <c r="E133" s="2">
        <v>45481</v>
      </c>
      <c r="F133" s="55">
        <f>N133</f>
        <v>2867.45</v>
      </c>
      <c r="G133" s="59">
        <v>2867.45</v>
      </c>
      <c r="N133" s="22">
        <f>SUM(G133:M133)</f>
        <v>2867.45</v>
      </c>
      <c r="Q133" s="2">
        <v>45481</v>
      </c>
      <c r="R133" s="55">
        <f>AA133</f>
        <v>8333</v>
      </c>
      <c r="S133" s="59">
        <v>455</v>
      </c>
      <c r="T133" s="72">
        <v>196</v>
      </c>
      <c r="U133" s="72">
        <v>1176</v>
      </c>
      <c r="V133" s="72">
        <v>2770</v>
      </c>
      <c r="W133">
        <v>1778</v>
      </c>
      <c r="X133">
        <v>1958</v>
      </c>
      <c r="AA133" s="68">
        <f>SUM(S133:Z133)</f>
        <v>8333</v>
      </c>
      <c r="AC133" s="19">
        <v>45481</v>
      </c>
      <c r="AD133" s="4">
        <f>F133+R133</f>
        <v>11200.45</v>
      </c>
      <c r="AE133" s="1"/>
    </row>
    <row r="134" spans="1:73" hidden="true">
      <c r="D134" s="9" t="s">
        <v>14</v>
      </c>
      <c r="E134" s="2">
        <v>45482</v>
      </c>
      <c r="F134" s="55">
        <f>N134</f>
        <v>4054.5</v>
      </c>
      <c r="G134" s="59">
        <v>4054.5</v>
      </c>
      <c r="N134" s="22">
        <f>SUM(G134:M134)</f>
        <v>4054.5</v>
      </c>
      <c r="Q134" s="2">
        <v>45482</v>
      </c>
      <c r="R134" s="55">
        <f>AA134</f>
        <v>5026</v>
      </c>
      <c r="S134" s="59">
        <v>1861</v>
      </c>
      <c r="T134" s="72">
        <v>740</v>
      </c>
      <c r="U134" s="72">
        <v>1637</v>
      </c>
      <c r="V134" s="72">
        <v>196</v>
      </c>
      <c r="W134">
        <v>396</v>
      </c>
      <c r="X134">
        <v>196</v>
      </c>
      <c r="AA134" s="68">
        <f>SUM(S134:Z134)</f>
        <v>5026</v>
      </c>
      <c r="AC134" s="19">
        <v>45482</v>
      </c>
      <c r="AD134" s="4">
        <f>F134+R134</f>
        <v>9080.5</v>
      </c>
      <c r="AE134" s="1"/>
    </row>
    <row r="135" spans="1:73" hidden="true">
      <c r="D135" s="9" t="s">
        <v>15</v>
      </c>
      <c r="E135" s="2">
        <v>45483</v>
      </c>
      <c r="F135" s="55">
        <f>N135</f>
        <v>4252.8</v>
      </c>
      <c r="G135" s="59">
        <v>4252.8</v>
      </c>
      <c r="N135" s="22">
        <f>SUM(G135:M135)</f>
        <v>4252.8</v>
      </c>
      <c r="Q135" s="2">
        <v>45483</v>
      </c>
      <c r="R135" s="55">
        <f>AA135</f>
        <v>10796</v>
      </c>
      <c r="S135" s="59">
        <v>2703</v>
      </c>
      <c r="T135" s="72">
        <v>1898</v>
      </c>
      <c r="U135" s="72">
        <v>2554</v>
      </c>
      <c r="V135" s="72">
        <v>1889</v>
      </c>
      <c r="W135">
        <v>794</v>
      </c>
      <c r="X135">
        <v>958</v>
      </c>
      <c r="AA135" s="68">
        <f>SUM(S135:Z135)</f>
        <v>10796</v>
      </c>
      <c r="AC135" s="19">
        <v>45483</v>
      </c>
      <c r="AD135" s="4">
        <f>F135+R135</f>
        <v>15048.8</v>
      </c>
      <c r="AE135" s="1"/>
    </row>
    <row r="136" spans="1:73" hidden="true">
      <c r="D136" s="9" t="s">
        <v>16</v>
      </c>
      <c r="E136" s="2">
        <v>45484</v>
      </c>
      <c r="F136" s="55">
        <f>N136</f>
        <v>3731.4</v>
      </c>
      <c r="G136" s="59">
        <v>3731.4</v>
      </c>
      <c r="N136" s="22">
        <f>SUM(G136:M136)</f>
        <v>3731.4</v>
      </c>
      <c r="Q136" s="2">
        <v>45484</v>
      </c>
      <c r="R136" s="55">
        <f>AA136</f>
        <v>8991</v>
      </c>
      <c r="S136" s="59">
        <v>2095</v>
      </c>
      <c r="T136" s="72">
        <v>592</v>
      </c>
      <c r="U136" s="72">
        <v>3384</v>
      </c>
      <c r="V136" s="72">
        <v>1928</v>
      </c>
      <c r="W136">
        <v>794</v>
      </c>
      <c r="X136">
        <v>198</v>
      </c>
      <c r="AA136" s="68">
        <f>SUM(S136:Z136)</f>
        <v>8991</v>
      </c>
      <c r="AC136" s="19">
        <v>45484</v>
      </c>
      <c r="AD136" s="4">
        <f>F136+R136</f>
        <v>12722.4</v>
      </c>
      <c r="AE136" s="1"/>
    </row>
    <row r="137" spans="1:73" hidden="true">
      <c r="D137" s="9" t="s">
        <v>10</v>
      </c>
      <c r="E137" s="2">
        <v>45485</v>
      </c>
      <c r="F137" s="55">
        <f>N137</f>
        <v>4579</v>
      </c>
      <c r="G137" s="59">
        <v>4579</v>
      </c>
      <c r="N137" s="22">
        <f>SUM(G137:M137)</f>
        <v>4579</v>
      </c>
      <c r="Q137" s="2">
        <v>45485</v>
      </c>
      <c r="R137" s="55">
        <f>AA137</f>
        <v>10089</v>
      </c>
      <c r="S137" s="59">
        <v>4139</v>
      </c>
      <c r="T137" s="72">
        <v>1416</v>
      </c>
      <c r="U137" s="72">
        <v>894</v>
      </c>
      <c r="V137" s="72">
        <v>1806</v>
      </c>
      <c r="W137">
        <v>426</v>
      </c>
      <c r="X137">
        <v>1408</v>
      </c>
      <c r="AA137" s="68">
        <f>SUM(S137:Z137)</f>
        <v>10089</v>
      </c>
      <c r="AC137" s="19">
        <v>45485</v>
      </c>
      <c r="AD137" s="4">
        <f>F137+R137</f>
        <v>14668</v>
      </c>
      <c r="AE137" s="1"/>
    </row>
    <row r="138" spans="1:73" hidden="true">
      <c r="D138" s="9" t="s">
        <v>11</v>
      </c>
      <c r="E138" s="2">
        <v>45486</v>
      </c>
      <c r="F138" s="55">
        <f>N138</f>
        <v>4047.85</v>
      </c>
      <c r="G138" s="59">
        <v>4047.85</v>
      </c>
      <c r="N138" s="22">
        <f>SUM(G138:M138)</f>
        <v>4047.85</v>
      </c>
      <c r="Q138" s="2">
        <v>45486</v>
      </c>
      <c r="R138" s="55">
        <f>AA138</f>
        <v>10468</v>
      </c>
      <c r="S138" s="59">
        <v>3677</v>
      </c>
      <c r="T138" s="72">
        <v>0</v>
      </c>
      <c r="U138" s="72">
        <v>1730</v>
      </c>
      <c r="V138" s="72">
        <v>4833</v>
      </c>
      <c r="W138">
        <v>0</v>
      </c>
      <c r="X138">
        <v>228</v>
      </c>
      <c r="AA138" s="68">
        <f>SUM(S138:Z138)</f>
        <v>10468</v>
      </c>
      <c r="AC138" s="19">
        <v>45486</v>
      </c>
      <c r="AD138" s="4">
        <f>F138+R138</f>
        <v>14515.85</v>
      </c>
      <c r="AE138" s="1"/>
    </row>
    <row r="139" spans="1:73" hidden="true">
      <c r="D139" s="9" t="s">
        <v>12</v>
      </c>
      <c r="E139" s="2">
        <v>45487</v>
      </c>
      <c r="F139" s="55">
        <f>N139</f>
        <v>3775.3</v>
      </c>
      <c r="G139" s="59">
        <v>3775.3</v>
      </c>
      <c r="N139" s="22">
        <f>SUM(G139:M139)</f>
        <v>3775.3</v>
      </c>
      <c r="Q139" s="2">
        <v>45487</v>
      </c>
      <c r="R139" s="55">
        <f>AA139</f>
        <v>7623</v>
      </c>
      <c r="S139" s="59">
        <v>1074</v>
      </c>
      <c r="T139" s="72">
        <v>610</v>
      </c>
      <c r="U139" s="72">
        <v>1790</v>
      </c>
      <c r="V139" s="72">
        <v>855</v>
      </c>
      <c r="W139">
        <v>1876</v>
      </c>
      <c r="X139">
        <v>1418</v>
      </c>
      <c r="AA139" s="68">
        <f>SUM(S139:Z139)</f>
        <v>7623</v>
      </c>
      <c r="AC139" s="19">
        <v>45487</v>
      </c>
      <c r="AD139" s="4">
        <f>F139+R139</f>
        <v>11398.3</v>
      </c>
      <c r="AE139" s="1"/>
    </row>
    <row r="140" spans="1:73" hidden="true">
      <c r="D140" s="9" t="s">
        <v>13</v>
      </c>
      <c r="E140" s="2">
        <v>45488</v>
      </c>
      <c r="F140" s="55">
        <f>N140</f>
        <v>4578.3</v>
      </c>
      <c r="G140" s="59">
        <v>4578.3</v>
      </c>
      <c r="N140" s="22">
        <f>SUM(G140:M140)</f>
        <v>4578.3</v>
      </c>
      <c r="Q140" s="2">
        <v>45488</v>
      </c>
      <c r="R140" s="55">
        <f>AA140</f>
        <v>5741</v>
      </c>
      <c r="S140" s="59">
        <v>1521</v>
      </c>
      <c r="T140" s="72">
        <v>198</v>
      </c>
      <c r="U140" s="72">
        <v>1834</v>
      </c>
      <c r="V140" s="72">
        <v>1246</v>
      </c>
      <c r="W140">
        <v>228</v>
      </c>
      <c r="X140">
        <v>714</v>
      </c>
      <c r="AA140" s="68">
        <f>SUM(S140:Z140)</f>
        <v>5741</v>
      </c>
      <c r="AC140" s="19">
        <v>45488</v>
      </c>
      <c r="AD140" s="4">
        <f>F140+R140</f>
        <v>10319.3</v>
      </c>
      <c r="AE140" s="1"/>
    </row>
    <row r="141" spans="1:73" hidden="true">
      <c r="D141" s="9" t="s">
        <v>14</v>
      </c>
      <c r="E141" s="2">
        <v>45489</v>
      </c>
      <c r="F141" s="55">
        <f>N141</f>
        <v>4294.75</v>
      </c>
      <c r="G141" s="59">
        <v>4294.75</v>
      </c>
      <c r="N141" s="22">
        <f>SUM(G141:M141)</f>
        <v>4294.75</v>
      </c>
      <c r="Q141" s="2">
        <v>45489</v>
      </c>
      <c r="R141" s="55">
        <f>AA141</f>
        <v>5262</v>
      </c>
      <c r="S141" s="59">
        <v>1438</v>
      </c>
      <c r="T141" s="72">
        <v>1156</v>
      </c>
      <c r="U141" s="72">
        <v>1408</v>
      </c>
      <c r="V141" s="72">
        <v>198</v>
      </c>
      <c r="W141">
        <v>388</v>
      </c>
      <c r="X141">
        <v>674</v>
      </c>
      <c r="AA141" s="68">
        <f>SUM(S141:Z141)</f>
        <v>5262</v>
      </c>
      <c r="AC141" s="19">
        <v>45489</v>
      </c>
      <c r="AD141" s="4">
        <f>F141+R141</f>
        <v>9556.75</v>
      </c>
      <c r="AE141" s="1"/>
    </row>
    <row r="142" spans="1:73" hidden="true">
      <c r="D142" s="9" t="s">
        <v>15</v>
      </c>
      <c r="E142" s="2">
        <v>45490</v>
      </c>
      <c r="F142" s="55">
        <f>N142</f>
        <v>3332.65</v>
      </c>
      <c r="G142" s="59">
        <v>3332.65</v>
      </c>
      <c r="N142" s="22">
        <f>SUM(G142:M142)</f>
        <v>3332.65</v>
      </c>
      <c r="Q142" s="2">
        <v>45490</v>
      </c>
      <c r="R142" s="55">
        <f>AA142</f>
        <v>10118</v>
      </c>
      <c r="S142" s="59">
        <v>3220</v>
      </c>
      <c r="T142" s="72">
        <v>0</v>
      </c>
      <c r="U142" s="72">
        <v>2106</v>
      </c>
      <c r="V142" s="72">
        <v>636</v>
      </c>
      <c r="W142">
        <v>1542</v>
      </c>
      <c r="X142">
        <v>2614</v>
      </c>
      <c r="AA142" s="68">
        <f>SUM(S142:Z142)</f>
        <v>10118</v>
      </c>
      <c r="AC142" s="19">
        <v>45490</v>
      </c>
      <c r="AD142" s="4">
        <f>F142+R142</f>
        <v>13450.65</v>
      </c>
      <c r="AE142" s="1"/>
    </row>
    <row r="143" spans="1:73" hidden="true">
      <c r="D143" s="9" t="s">
        <v>16</v>
      </c>
      <c r="E143" s="2">
        <v>45491</v>
      </c>
      <c r="F143" s="55">
        <f>N143</f>
        <v>3465.2</v>
      </c>
      <c r="G143" s="59">
        <v>3465.2</v>
      </c>
      <c r="N143" s="22">
        <f>SUM(G143:M143)</f>
        <v>3465.2</v>
      </c>
      <c r="Q143" s="2">
        <v>45491</v>
      </c>
      <c r="R143" s="55">
        <f>AA143</f>
        <v>7356</v>
      </c>
      <c r="S143" s="59">
        <v>1722</v>
      </c>
      <c r="T143" s="72">
        <v>198</v>
      </c>
      <c r="U143" s="72">
        <v>1610</v>
      </c>
      <c r="V143" s="72">
        <v>3370</v>
      </c>
      <c r="W143">
        <v>358</v>
      </c>
      <c r="X143">
        <v>98</v>
      </c>
      <c r="AA143" s="68">
        <f>SUM(S143:Z143)</f>
        <v>7356</v>
      </c>
      <c r="AC143" s="19">
        <v>45491</v>
      </c>
      <c r="AD143" s="4">
        <f>F143+R143</f>
        <v>10821.2</v>
      </c>
      <c r="AE143" s="1"/>
    </row>
    <row r="144" spans="1:73" hidden="true">
      <c r="D144" s="9" t="s">
        <v>10</v>
      </c>
      <c r="E144" s="2">
        <v>45492</v>
      </c>
      <c r="F144" s="55">
        <f>N144</f>
        <v>4747.4</v>
      </c>
      <c r="G144" s="59">
        <v>4747.4</v>
      </c>
      <c r="N144" s="22">
        <f>SUM(G144:M144)</f>
        <v>4747.4</v>
      </c>
      <c r="Q144" s="2">
        <v>45492</v>
      </c>
      <c r="R144" s="55">
        <f>AA144</f>
        <v>6000</v>
      </c>
      <c r="S144" s="59">
        <v>1178</v>
      </c>
      <c r="T144" s="72">
        <v>196</v>
      </c>
      <c r="U144" s="72">
        <v>992</v>
      </c>
      <c r="V144" s="72">
        <v>734</v>
      </c>
      <c r="W144">
        <v>1500</v>
      </c>
      <c r="X144">
        <v>1400</v>
      </c>
      <c r="AA144" s="68">
        <f>SUM(S144:Z144)</f>
        <v>6000</v>
      </c>
      <c r="AC144" s="19">
        <v>45492</v>
      </c>
      <c r="AD144" s="4">
        <f>F144+R144</f>
        <v>10747.4</v>
      </c>
      <c r="AE144" s="1"/>
    </row>
    <row r="145" spans="1:73" hidden="true">
      <c r="D145" s="9" t="s">
        <v>11</v>
      </c>
      <c r="E145" s="2">
        <v>45493</v>
      </c>
      <c r="F145" s="55">
        <f>N145</f>
        <v>4814.95</v>
      </c>
      <c r="G145" s="59">
        <v>4814.95</v>
      </c>
      <c r="N145" s="22">
        <f>SUM(G145:M145)</f>
        <v>4814.95</v>
      </c>
      <c r="Q145" s="2">
        <v>45493</v>
      </c>
      <c r="R145" s="55">
        <f>AA145</f>
        <v>6318</v>
      </c>
      <c r="S145" s="59">
        <v>1175</v>
      </c>
      <c r="T145" s="72">
        <v>394</v>
      </c>
      <c r="U145" s="72">
        <v>1998</v>
      </c>
      <c r="V145" s="72">
        <v>288</v>
      </c>
      <c r="W145">
        <v>1012</v>
      </c>
      <c r="X145">
        <v>1451</v>
      </c>
      <c r="AA145" s="68">
        <f>SUM(S145:Z145)</f>
        <v>6318</v>
      </c>
      <c r="AC145" s="19">
        <v>45493</v>
      </c>
      <c r="AD145" s="4">
        <f>F145+R145</f>
        <v>11132.95</v>
      </c>
      <c r="AE145" s="1"/>
    </row>
    <row r="146" spans="1:73" hidden="true">
      <c r="D146" s="9" t="s">
        <v>12</v>
      </c>
      <c r="E146" s="2">
        <v>45494</v>
      </c>
      <c r="F146" s="55">
        <f>N146</f>
        <v>4374.95</v>
      </c>
      <c r="G146" s="59">
        <v>4374.95</v>
      </c>
      <c r="N146" s="22">
        <f>SUM(G146:M146)</f>
        <v>4374.95</v>
      </c>
      <c r="Q146" s="2">
        <v>45494</v>
      </c>
      <c r="R146" s="55">
        <f>AA146</f>
        <v>11392</v>
      </c>
      <c r="S146" s="59">
        <v>4053</v>
      </c>
      <c r="T146" s="72">
        <v>1344</v>
      </c>
      <c r="U146" s="72">
        <v>1272</v>
      </c>
      <c r="V146" s="72">
        <v>1142</v>
      </c>
      <c r="W146">
        <v>2642</v>
      </c>
      <c r="X146">
        <v>939</v>
      </c>
      <c r="AA146" s="68">
        <f>SUM(S146:Z146)</f>
        <v>11392</v>
      </c>
      <c r="AC146" s="19">
        <v>45494</v>
      </c>
      <c r="AD146" s="4">
        <f>F146+R146</f>
        <v>15766.95</v>
      </c>
      <c r="AE146" s="1"/>
    </row>
    <row r="147" spans="1:73" hidden="true">
      <c r="D147" s="9" t="s">
        <v>13</v>
      </c>
      <c r="E147" s="2">
        <v>45495</v>
      </c>
      <c r="F147" s="55">
        <f>N147</f>
        <v>5638.45</v>
      </c>
      <c r="G147" s="59">
        <v>5638.45</v>
      </c>
      <c r="N147" s="22">
        <f>SUM(G147:M147)</f>
        <v>5638.45</v>
      </c>
      <c r="Q147" s="2">
        <v>45495</v>
      </c>
      <c r="R147" s="55">
        <f>AA147</f>
        <v>6626</v>
      </c>
      <c r="S147" s="59">
        <v>1239</v>
      </c>
      <c r="T147" s="72">
        <v>546</v>
      </c>
      <c r="U147" s="72">
        <v>1421</v>
      </c>
      <c r="V147" s="72">
        <v>2070</v>
      </c>
      <c r="W147">
        <v>764</v>
      </c>
      <c r="X147">
        <v>586</v>
      </c>
      <c r="AA147" s="68">
        <f>SUM(S147:Z147)</f>
        <v>6626</v>
      </c>
      <c r="AC147" s="19">
        <v>45495</v>
      </c>
      <c r="AD147" s="4">
        <f>F147+R147</f>
        <v>12264.45</v>
      </c>
      <c r="AE147" s="1"/>
    </row>
    <row r="148" spans="1:73" hidden="true">
      <c r="D148" s="9" t="s">
        <v>14</v>
      </c>
      <c r="E148" s="2">
        <v>45496</v>
      </c>
      <c r="F148" s="55">
        <f>N148</f>
        <v>5436.2</v>
      </c>
      <c r="G148" s="59">
        <v>5436.2</v>
      </c>
      <c r="N148" s="22">
        <f>SUM(G148:M148)</f>
        <v>5436.2</v>
      </c>
      <c r="Q148" s="2">
        <v>45496</v>
      </c>
      <c r="R148" s="55">
        <f>AA148</f>
        <v>4789</v>
      </c>
      <c r="S148" s="59">
        <v>990</v>
      </c>
      <c r="T148" s="72">
        <v>196</v>
      </c>
      <c r="U148" s="72">
        <v>1302</v>
      </c>
      <c r="V148" s="72">
        <v>1089</v>
      </c>
      <c r="W148">
        <v>984</v>
      </c>
      <c r="X148">
        <v>228</v>
      </c>
      <c r="AA148" s="68">
        <f>SUM(S148:Z148)</f>
        <v>4789</v>
      </c>
      <c r="AC148" s="19">
        <v>45496</v>
      </c>
      <c r="AD148" s="4">
        <f>F148+R148</f>
        <v>10225.2</v>
      </c>
      <c r="AE148" s="1"/>
    </row>
    <row r="149" spans="1:73" hidden="true">
      <c r="D149" s="9" t="s">
        <v>15</v>
      </c>
      <c r="E149" s="2">
        <v>45497</v>
      </c>
      <c r="F149" s="55">
        <f>N149</f>
        <v>2828.15</v>
      </c>
      <c r="G149" s="59">
        <v>2828.15</v>
      </c>
      <c r="N149" s="22">
        <f>SUM(G149:M149)</f>
        <v>2828.15</v>
      </c>
      <c r="Q149" s="2">
        <v>45497</v>
      </c>
      <c r="R149" s="55">
        <f>AA149</f>
        <v>8042</v>
      </c>
      <c r="S149" s="59">
        <v>2360</v>
      </c>
      <c r="T149" s="72">
        <v>0</v>
      </c>
      <c r="U149" s="72">
        <v>1900</v>
      </c>
      <c r="V149" s="72">
        <v>1180</v>
      </c>
      <c r="W149">
        <v>1460</v>
      </c>
      <c r="X149">
        <v>1142</v>
      </c>
      <c r="AA149" s="68">
        <f>SUM(S149:Z149)</f>
        <v>8042</v>
      </c>
      <c r="AC149" s="19">
        <v>45497</v>
      </c>
      <c r="AD149" s="4">
        <f>F149+R149</f>
        <v>10870.15</v>
      </c>
      <c r="AE149" s="1"/>
    </row>
    <row r="150" spans="1:73" hidden="true">
      <c r="D150" s="9" t="s">
        <v>16</v>
      </c>
      <c r="E150" s="2">
        <v>45498</v>
      </c>
      <c r="F150" s="55">
        <f>N150</f>
        <v>4125.2</v>
      </c>
      <c r="G150" s="59">
        <v>4125.2</v>
      </c>
      <c r="N150" s="22">
        <f>SUM(G150:M150)</f>
        <v>4125.2</v>
      </c>
      <c r="Q150" s="2">
        <v>45498</v>
      </c>
      <c r="R150" s="55">
        <f>AA150</f>
        <v>6998</v>
      </c>
      <c r="S150" s="59">
        <v>1562</v>
      </c>
      <c r="T150" s="72">
        <v>238</v>
      </c>
      <c r="U150" s="72">
        <v>1990</v>
      </c>
      <c r="V150" s="72">
        <v>1878</v>
      </c>
      <c r="W150">
        <v>706</v>
      </c>
      <c r="X150">
        <v>624</v>
      </c>
      <c r="AA150" s="68">
        <f>SUM(S150:Z150)</f>
        <v>6998</v>
      </c>
      <c r="AC150" s="19">
        <v>45498</v>
      </c>
      <c r="AD150" s="4">
        <f>F150+R150</f>
        <v>11123.2</v>
      </c>
      <c r="AE150" s="1"/>
    </row>
    <row r="151" spans="1:73" hidden="true">
      <c r="D151" s="9" t="s">
        <v>10</v>
      </c>
      <c r="E151" s="2">
        <v>45499</v>
      </c>
      <c r="F151" s="55">
        <f>N151</f>
        <v>4923.7</v>
      </c>
      <c r="G151" s="59">
        <v>4923.7</v>
      </c>
      <c r="N151" s="22">
        <f>SUM(G151:M151)</f>
        <v>4923.7</v>
      </c>
      <c r="Q151" s="2">
        <v>45499</v>
      </c>
      <c r="R151" s="55">
        <f>AA151</f>
        <v>10389</v>
      </c>
      <c r="S151" s="59">
        <v>4212</v>
      </c>
      <c r="T151" s="72">
        <v>810</v>
      </c>
      <c r="U151" s="72">
        <v>2757</v>
      </c>
      <c r="V151" s="72">
        <v>1152</v>
      </c>
      <c r="W151">
        <v>348</v>
      </c>
      <c r="X151">
        <v>1110</v>
      </c>
      <c r="AA151" s="68">
        <f>SUM(S151:Z151)</f>
        <v>10389</v>
      </c>
      <c r="AC151" s="19">
        <v>45499</v>
      </c>
      <c r="AD151" s="4">
        <f>F151+R151</f>
        <v>15312.7</v>
      </c>
      <c r="AE151" s="1"/>
    </row>
    <row r="152" spans="1:73" hidden="true">
      <c r="D152" s="9" t="s">
        <v>11</v>
      </c>
      <c r="E152" s="2">
        <v>45500</v>
      </c>
      <c r="F152" s="55">
        <f>N152</f>
        <v>3371.1</v>
      </c>
      <c r="G152" s="59">
        <v>3371.1</v>
      </c>
      <c r="N152" s="22">
        <f>SUM(G152:M152)</f>
        <v>3371.1</v>
      </c>
      <c r="Q152" s="2">
        <v>45500</v>
      </c>
      <c r="R152" s="55">
        <f>AA152</f>
        <v>8672</v>
      </c>
      <c r="S152" s="59">
        <v>2064</v>
      </c>
      <c r="T152" s="72">
        <v>1346</v>
      </c>
      <c r="U152" s="72">
        <v>1748</v>
      </c>
      <c r="V152" s="72">
        <v>774</v>
      </c>
      <c r="W152">
        <v>2174</v>
      </c>
      <c r="X152">
        <v>566</v>
      </c>
      <c r="AA152" s="68">
        <f>SUM(S152:Z152)</f>
        <v>8672</v>
      </c>
      <c r="AC152" s="19">
        <v>45500</v>
      </c>
      <c r="AD152" s="4">
        <f>F152+R152</f>
        <v>12043.1</v>
      </c>
      <c r="AE152" s="1"/>
    </row>
    <row r="153" spans="1:73" hidden="true">
      <c r="D153" s="9" t="s">
        <v>12</v>
      </c>
      <c r="E153" s="2">
        <v>45501</v>
      </c>
      <c r="F153" s="55">
        <f>N153</f>
        <v>4480.75</v>
      </c>
      <c r="G153" s="59">
        <v>4480.75</v>
      </c>
      <c r="N153" s="22">
        <f>SUM(G153:M153)</f>
        <v>4480.75</v>
      </c>
      <c r="Q153" s="2">
        <v>45501</v>
      </c>
      <c r="R153" s="55">
        <f>AA153</f>
        <v>11295</v>
      </c>
      <c r="S153" s="59">
        <v>3456</v>
      </c>
      <c r="T153" s="72">
        <v>516</v>
      </c>
      <c r="U153" s="72">
        <v>3532</v>
      </c>
      <c r="V153" s="72">
        <v>2255</v>
      </c>
      <c r="W153">
        <v>624</v>
      </c>
      <c r="X153">
        <v>912</v>
      </c>
      <c r="AA153" s="68">
        <f>SUM(S153:Z153)</f>
        <v>11295</v>
      </c>
      <c r="AC153" s="19">
        <v>45501</v>
      </c>
      <c r="AD153" s="4">
        <f>F153+R153</f>
        <v>15775.75</v>
      </c>
      <c r="AE153" s="1"/>
    </row>
    <row r="154" spans="1:73" hidden="true">
      <c r="D154" s="9" t="s">
        <v>13</v>
      </c>
      <c r="E154" s="2">
        <v>45502</v>
      </c>
      <c r="F154" s="55">
        <f>N154</f>
        <v>4192.5</v>
      </c>
      <c r="G154" s="59">
        <v>4192.5</v>
      </c>
      <c r="N154" s="22">
        <f>SUM(G154:M154)</f>
        <v>4192.5</v>
      </c>
      <c r="Q154" s="2">
        <v>45502</v>
      </c>
      <c r="R154" s="55">
        <f>AA154</f>
        <v>5240</v>
      </c>
      <c r="S154" s="59">
        <v>721</v>
      </c>
      <c r="T154" s="72">
        <v>392</v>
      </c>
      <c r="U154" s="72">
        <v>563</v>
      </c>
      <c r="V154" s="72">
        <v>962</v>
      </c>
      <c r="W154">
        <v>1966</v>
      </c>
      <c r="X154">
        <v>636</v>
      </c>
      <c r="AA154" s="68">
        <f>SUM(S154:Z154)</f>
        <v>5240</v>
      </c>
      <c r="AC154" s="19">
        <v>45502</v>
      </c>
      <c r="AD154" s="4">
        <f>F154+R154</f>
        <v>9432.5</v>
      </c>
      <c r="AE154" s="1"/>
    </row>
    <row r="155" spans="1:73" hidden="true">
      <c r="D155" s="9" t="s">
        <v>14</v>
      </c>
      <c r="E155" s="2">
        <v>45503</v>
      </c>
      <c r="F155" s="55">
        <f>N155</f>
        <v>4265.2</v>
      </c>
      <c r="G155" s="59">
        <v>4265.2</v>
      </c>
      <c r="N155" s="22">
        <f>SUM(G155:M155)</f>
        <v>4265.2</v>
      </c>
      <c r="Q155" s="2">
        <v>45503</v>
      </c>
      <c r="R155" s="55">
        <f>AA155</f>
        <v>7800</v>
      </c>
      <c r="S155" s="59">
        <v>3682</v>
      </c>
      <c r="T155" s="72">
        <v>644</v>
      </c>
      <c r="U155" s="72">
        <v>1888</v>
      </c>
      <c r="V155" s="72">
        <v>536</v>
      </c>
      <c r="W155">
        <v>426</v>
      </c>
      <c r="X155">
        <v>624</v>
      </c>
      <c r="AA155" s="68">
        <f>SUM(S155:Z155)</f>
        <v>7800</v>
      </c>
      <c r="AC155" s="19">
        <v>45503</v>
      </c>
      <c r="AD155" s="4">
        <f>F155+R155</f>
        <v>12065.2</v>
      </c>
      <c r="AE155" s="1"/>
    </row>
    <row r="156" spans="1:73" hidden="true" s="13" customFormat="1">
      <c r="D156" s="13" t="s">
        <v>15</v>
      </c>
      <c r="E156" s="10">
        <v>45504</v>
      </c>
      <c r="F156" s="58">
        <f>N156</f>
        <v>3530.25</v>
      </c>
      <c r="G156" s="63">
        <v>3530.25</v>
      </c>
      <c r="I156" s="119"/>
      <c r="N156" s="30">
        <f>SUM(G156:M156)</f>
        <v>3530.25</v>
      </c>
      <c r="Q156" s="10">
        <v>45504</v>
      </c>
      <c r="R156" s="58">
        <f>AA156</f>
        <v>9389</v>
      </c>
      <c r="S156" s="63">
        <v>2467</v>
      </c>
      <c r="T156" s="74">
        <v>0</v>
      </c>
      <c r="U156" s="74">
        <v>2930</v>
      </c>
      <c r="V156" s="74">
        <v>1134</v>
      </c>
      <c r="W156" s="13">
        <v>874</v>
      </c>
      <c r="X156" s="13">
        <v>1984</v>
      </c>
      <c r="Y156" s="16"/>
      <c r="Z156" s="16"/>
      <c r="AA156" s="75">
        <f>SUM(S156:Z156)</f>
        <v>9389</v>
      </c>
      <c r="AC156" s="20">
        <v>45504</v>
      </c>
      <c r="AD156" s="11">
        <f>F156+R156</f>
        <v>12919.25</v>
      </c>
      <c r="AE156" s="16"/>
      <c r="BJ156" s="16"/>
    </row>
    <row r="157" spans="1:73" hidden="true">
      <c r="D157" s="9" t="s">
        <v>16</v>
      </c>
      <c r="E157" s="2">
        <v>45505</v>
      </c>
      <c r="F157" s="55">
        <f>N157</f>
        <v>3838.8</v>
      </c>
      <c r="G157" s="59">
        <v>3838.8</v>
      </c>
      <c r="N157" s="22">
        <f>SUM(G157:M157)</f>
        <v>3838.8</v>
      </c>
      <c r="Q157" s="2">
        <v>45505</v>
      </c>
      <c r="R157" s="55">
        <f>AA157</f>
        <v>8688</v>
      </c>
      <c r="S157" s="59">
        <v>2027</v>
      </c>
      <c r="T157" s="72">
        <v>218</v>
      </c>
      <c r="U157" s="72">
        <v>2290</v>
      </c>
      <c r="V157" s="72">
        <v>2467</v>
      </c>
      <c r="W157">
        <v>624</v>
      </c>
      <c r="X157">
        <v>1062</v>
      </c>
      <c r="AA157" s="68">
        <f>SUM(S157:Z157)</f>
        <v>8688</v>
      </c>
      <c r="AC157" s="19">
        <v>45505</v>
      </c>
      <c r="AD157" s="4">
        <f>F157+R157</f>
        <v>12526.8</v>
      </c>
      <c r="AE157" s="1"/>
    </row>
    <row r="158" spans="1:73" hidden="true">
      <c r="D158" s="9" t="s">
        <v>10</v>
      </c>
      <c r="E158" s="2">
        <v>45506</v>
      </c>
      <c r="F158" s="55">
        <f>N158</f>
        <v>2470.05</v>
      </c>
      <c r="G158" s="59">
        <v>2470.05</v>
      </c>
      <c r="N158" s="22">
        <f>SUM(G158:M158)</f>
        <v>2470.05</v>
      </c>
      <c r="Q158" s="2">
        <v>45506</v>
      </c>
      <c r="R158" s="55">
        <f>AA158</f>
        <v>7908</v>
      </c>
      <c r="S158" s="59">
        <v>2054</v>
      </c>
      <c r="T158" s="72">
        <v>750</v>
      </c>
      <c r="U158" s="72">
        <v>1182</v>
      </c>
      <c r="V158" s="72">
        <v>2382</v>
      </c>
      <c r="W158">
        <v>1312</v>
      </c>
      <c r="X158">
        <v>228</v>
      </c>
      <c r="AA158" s="68">
        <f>SUM(S158:Z158)</f>
        <v>7908</v>
      </c>
      <c r="AC158" s="19">
        <v>45506</v>
      </c>
      <c r="AD158" s="4">
        <f>F158+R158</f>
        <v>10378.05</v>
      </c>
      <c r="AE158" s="1"/>
    </row>
    <row r="159" spans="1:73" hidden="true">
      <c r="D159" s="9" t="s">
        <v>11</v>
      </c>
      <c r="E159" s="2">
        <v>45507</v>
      </c>
      <c r="F159" s="55">
        <f>N159</f>
        <v>4990.75</v>
      </c>
      <c r="G159" s="59">
        <v>4990.75</v>
      </c>
      <c r="N159" s="22">
        <f>SUM(G159:M159)</f>
        <v>4990.75</v>
      </c>
      <c r="Q159" s="2">
        <v>45507</v>
      </c>
      <c r="R159" s="55">
        <f>AA159</f>
        <v>5835</v>
      </c>
      <c r="S159" s="59">
        <v>2065</v>
      </c>
      <c r="T159" s="72">
        <v>0</v>
      </c>
      <c r="U159" s="72">
        <v>514</v>
      </c>
      <c r="V159" s="72">
        <v>1984</v>
      </c>
      <c r="W159">
        <v>726</v>
      </c>
      <c r="X159">
        <v>546</v>
      </c>
      <c r="AA159" s="68">
        <f>SUM(S159:Z159)</f>
        <v>5835</v>
      </c>
      <c r="AC159" s="19">
        <v>45507</v>
      </c>
      <c r="AD159" s="4">
        <f>F159+R159</f>
        <v>10825.75</v>
      </c>
      <c r="AE159" s="1"/>
    </row>
    <row r="160" spans="1:73" hidden="true">
      <c r="D160" s="9" t="s">
        <v>12</v>
      </c>
      <c r="E160" s="2">
        <v>45508</v>
      </c>
      <c r="F160" s="55">
        <f>N160</f>
        <v>3816.85</v>
      </c>
      <c r="G160" s="59">
        <v>3816.85</v>
      </c>
      <c r="N160" s="22">
        <f>SUM(G160:M160)</f>
        <v>3816.85</v>
      </c>
      <c r="Q160" s="2">
        <v>45508</v>
      </c>
      <c r="R160" s="55">
        <f>AA160</f>
        <v>9516</v>
      </c>
      <c r="S160" s="59">
        <v>1036</v>
      </c>
      <c r="T160" s="72">
        <v>954</v>
      </c>
      <c r="U160" s="72">
        <v>3750</v>
      </c>
      <c r="V160" s="72">
        <v>1406</v>
      </c>
      <c r="W160">
        <v>1844</v>
      </c>
      <c r="X160">
        <v>526</v>
      </c>
      <c r="AA160" s="68">
        <f>SUM(S160:Z160)</f>
        <v>9516</v>
      </c>
      <c r="AC160" s="19">
        <v>45508</v>
      </c>
      <c r="AD160" s="4">
        <f>F160+R160</f>
        <v>13332.85</v>
      </c>
      <c r="AE160" s="1"/>
    </row>
    <row r="161" spans="1:73" hidden="true">
      <c r="D161" s="9" t="s">
        <v>13</v>
      </c>
      <c r="E161" s="2">
        <v>45509</v>
      </c>
      <c r="F161" s="55">
        <f>N161</f>
        <v>3981.3</v>
      </c>
      <c r="G161" s="59">
        <v>3981.3</v>
      </c>
      <c r="N161" s="22">
        <f>SUM(G161:M161)</f>
        <v>3981.3</v>
      </c>
      <c r="Q161" s="2">
        <v>45509</v>
      </c>
      <c r="R161" s="55">
        <f>AA161</f>
        <v>5123</v>
      </c>
      <c r="S161" s="59">
        <v>709</v>
      </c>
      <c r="T161" s="72">
        <v>392</v>
      </c>
      <c r="U161" s="72">
        <v>1006</v>
      </c>
      <c r="V161" s="72">
        <v>1560</v>
      </c>
      <c r="W161">
        <v>832</v>
      </c>
      <c r="X161">
        <v>624</v>
      </c>
      <c r="AA161" s="68">
        <f>SUM(S161:Z161)</f>
        <v>5123</v>
      </c>
      <c r="AC161" s="19">
        <v>45509</v>
      </c>
      <c r="AD161" s="4">
        <f>F161+R161</f>
        <v>9104.3</v>
      </c>
      <c r="AE161" s="1"/>
    </row>
    <row r="162" spans="1:73" hidden="true">
      <c r="D162" s="9" t="s">
        <v>14</v>
      </c>
      <c r="E162" s="2">
        <v>45510</v>
      </c>
      <c r="F162" s="55">
        <f>N162</f>
        <v>4703.45</v>
      </c>
      <c r="G162" s="59">
        <v>4703.45</v>
      </c>
      <c r="N162" s="22">
        <f>SUM(G162:M162)</f>
        <v>4703.45</v>
      </c>
      <c r="Q162" s="2">
        <v>45510</v>
      </c>
      <c r="R162" s="55">
        <f>AA162</f>
        <v>6995</v>
      </c>
      <c r="S162" s="59">
        <v>1071</v>
      </c>
      <c r="T162" s="72">
        <v>820</v>
      </c>
      <c r="U162" s="72">
        <v>1872</v>
      </c>
      <c r="V162" s="72">
        <v>1628</v>
      </c>
      <c r="W162">
        <v>486</v>
      </c>
      <c r="X162">
        <v>1118</v>
      </c>
      <c r="AA162" s="68">
        <f>SUM(S162:Z162)</f>
        <v>6995</v>
      </c>
      <c r="AC162" s="19">
        <v>45510</v>
      </c>
      <c r="AD162" s="4">
        <f>F162+R162</f>
        <v>11698.45</v>
      </c>
      <c r="AE162" s="1"/>
    </row>
    <row r="163" spans="1:73" hidden="true">
      <c r="D163" s="9" t="s">
        <v>15</v>
      </c>
      <c r="E163" s="2">
        <v>45511</v>
      </c>
      <c r="F163" s="55">
        <f>N163</f>
        <v>3011.6</v>
      </c>
      <c r="G163" s="59">
        <v>3011.6</v>
      </c>
      <c r="N163" s="22">
        <f>SUM(G163:M163)</f>
        <v>3011.6</v>
      </c>
      <c r="Q163" s="2">
        <v>45511</v>
      </c>
      <c r="R163" s="55">
        <f>AA163</f>
        <v>3701</v>
      </c>
      <c r="S163" s="59">
        <v>685</v>
      </c>
      <c r="T163" s="72">
        <v>0</v>
      </c>
      <c r="U163" s="72">
        <v>228</v>
      </c>
      <c r="V163" s="72">
        <v>2272</v>
      </c>
      <c r="W163">
        <v>198</v>
      </c>
      <c r="X163">
        <v>318</v>
      </c>
      <c r="AA163" s="68">
        <f>SUM(S163:Z163)</f>
        <v>3701</v>
      </c>
      <c r="AC163" s="19">
        <v>45511</v>
      </c>
      <c r="AD163" s="4">
        <f>F163+R163</f>
        <v>6712.6</v>
      </c>
      <c r="AE163" s="1"/>
    </row>
    <row r="164" spans="1:73" hidden="true">
      <c r="D164" s="9" t="s">
        <v>16</v>
      </c>
      <c r="E164" s="2">
        <v>45512</v>
      </c>
      <c r="F164" s="55">
        <f>N164</f>
        <v>4680.05</v>
      </c>
      <c r="G164" s="59">
        <v>4680.05</v>
      </c>
      <c r="N164" s="22">
        <f>SUM(G164:M164)</f>
        <v>4680.05</v>
      </c>
      <c r="Q164" s="2">
        <v>45512</v>
      </c>
      <c r="R164" s="55">
        <f>AA164</f>
        <v>5234</v>
      </c>
      <c r="S164" s="59">
        <v>1930</v>
      </c>
      <c r="T164" s="72">
        <v>0</v>
      </c>
      <c r="U164" s="72">
        <v>258</v>
      </c>
      <c r="V164" s="72">
        <v>1706</v>
      </c>
      <c r="W164">
        <v>1112</v>
      </c>
      <c r="X164">
        <v>228</v>
      </c>
      <c r="AA164" s="68">
        <f>SUM(S164:Z164)</f>
        <v>5234</v>
      </c>
      <c r="AC164" s="19">
        <v>45512</v>
      </c>
      <c r="AD164" s="4">
        <f>F164+R164</f>
        <v>9914.05</v>
      </c>
      <c r="AE164" s="1"/>
    </row>
    <row r="165" spans="1:73" hidden="true">
      <c r="D165" s="9" t="s">
        <v>10</v>
      </c>
      <c r="E165" s="2">
        <v>45513</v>
      </c>
      <c r="F165" s="55">
        <f>N165</f>
        <v>3162.35</v>
      </c>
      <c r="G165" s="59">
        <v>3162.35</v>
      </c>
      <c r="N165" s="22">
        <f>SUM(G165:M165)</f>
        <v>3162.35</v>
      </c>
      <c r="Q165" s="2">
        <v>45513</v>
      </c>
      <c r="R165" s="55">
        <f>AA165</f>
        <v>11403</v>
      </c>
      <c r="S165" s="59">
        <v>2762</v>
      </c>
      <c r="T165" s="72">
        <v>976</v>
      </c>
      <c r="U165" s="72">
        <v>2810</v>
      </c>
      <c r="V165" s="72">
        <v>1576</v>
      </c>
      <c r="W165">
        <v>1641</v>
      </c>
      <c r="X165">
        <v>1638</v>
      </c>
      <c r="AA165" s="68">
        <f>SUM(S165:Z165)</f>
        <v>11403</v>
      </c>
      <c r="AC165" s="19">
        <v>45513</v>
      </c>
      <c r="AD165" s="4">
        <f>F165+R165</f>
        <v>14565.35</v>
      </c>
      <c r="AE165" s="1"/>
    </row>
    <row r="166" spans="1:73" hidden="true">
      <c r="D166" s="9" t="s">
        <v>11</v>
      </c>
      <c r="E166" s="2">
        <v>45514</v>
      </c>
      <c r="F166" s="55">
        <f>N166</f>
        <v>4180.15</v>
      </c>
      <c r="G166" s="59">
        <v>4180.15</v>
      </c>
      <c r="N166" s="22">
        <f>SUM(G166:M166)</f>
        <v>4180.15</v>
      </c>
      <c r="Q166" s="2">
        <v>45514</v>
      </c>
      <c r="R166" s="55">
        <f>AA166</f>
        <v>12520</v>
      </c>
      <c r="S166" s="59">
        <v>3474</v>
      </c>
      <c r="T166" s="72">
        <v>984</v>
      </c>
      <c r="U166" s="72">
        <v>3430</v>
      </c>
      <c r="V166" s="72">
        <v>1898</v>
      </c>
      <c r="W166">
        <v>2078</v>
      </c>
      <c r="X166">
        <v>656</v>
      </c>
      <c r="AA166" s="68">
        <f>SUM(S166:Z166)</f>
        <v>12520</v>
      </c>
      <c r="AC166" s="19">
        <v>45514</v>
      </c>
      <c r="AD166" s="4">
        <f>F166+R166</f>
        <v>16700.15</v>
      </c>
      <c r="AE166" s="1"/>
    </row>
    <row r="167" spans="1:73" hidden="true">
      <c r="D167" s="9" t="s">
        <v>12</v>
      </c>
      <c r="E167" s="2">
        <v>45515</v>
      </c>
      <c r="F167" s="55">
        <f>N167</f>
        <v>4006.95</v>
      </c>
      <c r="G167" s="59">
        <v>4006.95</v>
      </c>
      <c r="N167" s="22">
        <f>SUM(G167:M167)</f>
        <v>4006.95</v>
      </c>
      <c r="Q167" s="2">
        <v>45515</v>
      </c>
      <c r="R167" s="55">
        <f>AA167</f>
        <v>12903</v>
      </c>
      <c r="S167" s="59">
        <v>2095</v>
      </c>
      <c r="T167" s="72">
        <v>812</v>
      </c>
      <c r="U167" s="72">
        <v>3924</v>
      </c>
      <c r="V167" s="72">
        <v>4414</v>
      </c>
      <c r="W167">
        <v>1232</v>
      </c>
      <c r="X167">
        <v>426</v>
      </c>
      <c r="AA167" s="68">
        <f>SUM(S167:Z167)</f>
        <v>12903</v>
      </c>
      <c r="AC167" s="19">
        <v>45515</v>
      </c>
      <c r="AD167" s="4">
        <f>F167+R167</f>
        <v>16909.95</v>
      </c>
      <c r="AE167" s="1"/>
    </row>
    <row r="168" spans="1:73" hidden="true">
      <c r="D168" s="9" t="s">
        <v>13</v>
      </c>
      <c r="E168" s="2">
        <v>45516</v>
      </c>
      <c r="F168" s="55">
        <f>N168</f>
        <v>4177</v>
      </c>
      <c r="G168" s="59">
        <v>4177</v>
      </c>
      <c r="N168" s="22">
        <f>SUM(G168:M168)</f>
        <v>4177</v>
      </c>
      <c r="Q168" s="2">
        <v>45516</v>
      </c>
      <c r="R168" s="55">
        <f>AA168</f>
        <v>4646</v>
      </c>
      <c r="S168" s="59">
        <v>2018</v>
      </c>
      <c r="T168" s="72">
        <v>0</v>
      </c>
      <c r="U168" s="72">
        <v>1032</v>
      </c>
      <c r="V168" s="72">
        <v>694</v>
      </c>
      <c r="W168">
        <v>228</v>
      </c>
      <c r="X168">
        <v>674</v>
      </c>
      <c r="AA168" s="68">
        <f>SUM(S168:Z168)</f>
        <v>4646</v>
      </c>
      <c r="AC168" s="19">
        <v>45516</v>
      </c>
      <c r="AD168" s="4">
        <f>F168+R168</f>
        <v>8823</v>
      </c>
      <c r="AE168" s="1"/>
    </row>
    <row r="169" spans="1:73" hidden="true">
      <c r="D169" s="9" t="s">
        <v>14</v>
      </c>
      <c r="E169" s="2">
        <v>45517</v>
      </c>
      <c r="F169" s="55">
        <f>N169</f>
        <v>4118.1</v>
      </c>
      <c r="G169" s="59">
        <v>4118.1</v>
      </c>
      <c r="N169" s="22">
        <f>SUM(G169:M169)</f>
        <v>4118.1</v>
      </c>
      <c r="Q169" s="2">
        <v>45517</v>
      </c>
      <c r="R169" s="55">
        <f>AA169</f>
        <v>6886</v>
      </c>
      <c r="S169" s="59">
        <v>2956</v>
      </c>
      <c r="T169" s="72">
        <v>788</v>
      </c>
      <c r="U169" s="72">
        <v>834</v>
      </c>
      <c r="V169" s="72">
        <v>438</v>
      </c>
      <c r="W169">
        <v>1642</v>
      </c>
      <c r="X169">
        <v>228</v>
      </c>
      <c r="AA169" s="68">
        <f>SUM(S169:Z169)</f>
        <v>6886</v>
      </c>
      <c r="AC169" s="19">
        <v>45517</v>
      </c>
      <c r="AD169" s="4">
        <f>F169+R169</f>
        <v>11004.1</v>
      </c>
      <c r="AE169" s="1"/>
    </row>
    <row r="170" spans="1:73" hidden="true">
      <c r="D170" s="9" t="s">
        <v>15</v>
      </c>
      <c r="E170" s="2">
        <v>45518</v>
      </c>
      <c r="F170" s="55">
        <f>N170</f>
        <v>4820.9</v>
      </c>
      <c r="G170" s="59">
        <v>4820.9</v>
      </c>
      <c r="N170" s="22">
        <f>SUM(G170:M170)</f>
        <v>4820.9</v>
      </c>
      <c r="Q170" s="2">
        <v>45518</v>
      </c>
      <c r="R170" s="55">
        <f>AA170</f>
        <v>4548</v>
      </c>
      <c r="S170" s="59">
        <v>196</v>
      </c>
      <c r="T170" s="72">
        <v>364</v>
      </c>
      <c r="U170" s="72">
        <v>884</v>
      </c>
      <c r="V170" s="72">
        <v>1802</v>
      </c>
      <c r="W170">
        <v>1302</v>
      </c>
      <c r="X170">
        <v>0</v>
      </c>
      <c r="AA170" s="68">
        <f>SUM(S170:Z170)</f>
        <v>4548</v>
      </c>
      <c r="AC170" s="19">
        <v>45518</v>
      </c>
      <c r="AD170" s="4">
        <f>F170+R170</f>
        <v>9368.9</v>
      </c>
      <c r="AE170" s="1"/>
    </row>
    <row r="171" spans="1:73" hidden="true">
      <c r="D171" s="9" t="s">
        <v>16</v>
      </c>
      <c r="E171" s="2">
        <v>45519</v>
      </c>
      <c r="F171" s="55">
        <f>N171</f>
        <v>3070.35</v>
      </c>
      <c r="G171" s="59">
        <v>3070.35</v>
      </c>
      <c r="N171" s="22">
        <f>SUM(G171:M171)</f>
        <v>3070.35</v>
      </c>
      <c r="Q171" s="2">
        <v>45519</v>
      </c>
      <c r="R171" s="55">
        <f>AA171</f>
        <v>5195</v>
      </c>
      <c r="S171" s="59">
        <v>89</v>
      </c>
      <c r="T171" s="72">
        <v>198</v>
      </c>
      <c r="U171" s="72">
        <v>2628</v>
      </c>
      <c r="V171" s="72">
        <v>1922</v>
      </c>
      <c r="W171">
        <v>358</v>
      </c>
      <c r="X171">
        <v>0</v>
      </c>
      <c r="AA171" s="68">
        <f>SUM(S171:Z171)</f>
        <v>5195</v>
      </c>
      <c r="AC171" s="19">
        <v>45519</v>
      </c>
      <c r="AD171" s="4">
        <f>F171+R171</f>
        <v>8265.35</v>
      </c>
      <c r="AE171" s="1"/>
    </row>
    <row r="172" spans="1:73" hidden="true">
      <c r="D172" s="9" t="s">
        <v>10</v>
      </c>
      <c r="E172" s="2">
        <v>45520</v>
      </c>
      <c r="F172" s="55">
        <f>N172</f>
        <v>4544.55</v>
      </c>
      <c r="G172" s="59">
        <v>4544.55</v>
      </c>
      <c r="N172" s="22">
        <f>SUM(G172:M172)</f>
        <v>4544.55</v>
      </c>
      <c r="Q172" s="2">
        <v>45520</v>
      </c>
      <c r="R172" s="55">
        <f>AA172</f>
        <v>8901</v>
      </c>
      <c r="S172" s="59">
        <v>1875</v>
      </c>
      <c r="T172" s="72">
        <v>196</v>
      </c>
      <c r="U172" s="72">
        <v>2218</v>
      </c>
      <c r="V172" s="72">
        <v>4612</v>
      </c>
      <c r="AA172" s="68">
        <f>SUM(S172:Z172)</f>
        <v>8901</v>
      </c>
      <c r="AC172" s="19">
        <v>45520</v>
      </c>
      <c r="AD172" s="4">
        <f>F172+R172</f>
        <v>13445.55</v>
      </c>
      <c r="AE172" s="1"/>
    </row>
    <row r="173" spans="1:73" hidden="true">
      <c r="D173" s="9" t="s">
        <v>11</v>
      </c>
      <c r="E173" s="2">
        <v>45521</v>
      </c>
      <c r="F173" s="55">
        <f>N173</f>
        <v>3050.3</v>
      </c>
      <c r="G173" s="59">
        <v>3050.3</v>
      </c>
      <c r="N173" s="22">
        <f>SUM(G173:M173)</f>
        <v>3050.3</v>
      </c>
      <c r="Q173" s="2">
        <v>45521</v>
      </c>
      <c r="R173" s="55">
        <f>AA173</f>
        <v>3168</v>
      </c>
      <c r="S173" s="59">
        <v>962</v>
      </c>
      <c r="T173" s="72">
        <v>0</v>
      </c>
      <c r="U173" s="72">
        <v>984</v>
      </c>
      <c r="V173" s="72">
        <v>1222</v>
      </c>
      <c r="AA173" s="68">
        <f>SUM(S173:Z173)</f>
        <v>3168</v>
      </c>
      <c r="AC173" s="19">
        <v>45521</v>
      </c>
      <c r="AD173" s="4">
        <f>F173+R173</f>
        <v>6218.3</v>
      </c>
      <c r="AE173" s="1"/>
    </row>
    <row r="174" spans="1:73" hidden="true">
      <c r="D174" s="9" t="s">
        <v>12</v>
      </c>
      <c r="E174" s="2">
        <v>45522</v>
      </c>
      <c r="F174" s="55">
        <f>N174</f>
        <v>4467.4</v>
      </c>
      <c r="G174" s="59">
        <v>4467.4</v>
      </c>
      <c r="N174" s="22">
        <f>SUM(G174:M174)</f>
        <v>4467.4</v>
      </c>
      <c r="Q174" s="2">
        <v>45522</v>
      </c>
      <c r="R174" s="55">
        <f>AA174</f>
        <v>4929</v>
      </c>
      <c r="S174" s="59">
        <v>2223</v>
      </c>
      <c r="T174" s="72">
        <v>392</v>
      </c>
      <c r="U174" s="72">
        <v>1102</v>
      </c>
      <c r="V174" s="72">
        <v>1212</v>
      </c>
      <c r="AA174" s="68">
        <f>SUM(S174:Z174)</f>
        <v>4929</v>
      </c>
      <c r="AC174" s="19">
        <v>45522</v>
      </c>
      <c r="AD174" s="4">
        <f>F174+R174</f>
        <v>9396.4</v>
      </c>
      <c r="AE174" s="1"/>
    </row>
    <row r="175" spans="1:73" hidden="true">
      <c r="D175" s="9" t="s">
        <v>13</v>
      </c>
      <c r="E175" s="2">
        <v>45523</v>
      </c>
      <c r="F175" s="55">
        <f>N175</f>
        <v>4109.9</v>
      </c>
      <c r="G175" s="59">
        <v>4109.9</v>
      </c>
      <c r="N175" s="22">
        <f>SUM(G175:M175)</f>
        <v>4109.9</v>
      </c>
      <c r="Q175" s="2">
        <v>45523</v>
      </c>
      <c r="R175" s="55">
        <f>AA175</f>
        <v>2796</v>
      </c>
      <c r="S175" s="59">
        <v>1516</v>
      </c>
      <c r="T175" s="72">
        <v>0</v>
      </c>
      <c r="U175" s="72">
        <v>1032</v>
      </c>
      <c r="V175" s="72">
        <v>248</v>
      </c>
      <c r="AA175" s="68">
        <f>SUM(S175:Z175)</f>
        <v>2796</v>
      </c>
      <c r="AC175" s="19">
        <v>45523</v>
      </c>
      <c r="AD175" s="4">
        <f>F175+R175</f>
        <v>6905.9</v>
      </c>
      <c r="AE175" s="1"/>
    </row>
    <row r="176" spans="1:73" hidden="true">
      <c r="D176" s="9" t="s">
        <v>14</v>
      </c>
      <c r="E176" s="2">
        <v>45524</v>
      </c>
      <c r="F176" s="55">
        <f>N176</f>
        <v>4821.65</v>
      </c>
      <c r="G176" s="59">
        <v>4821.65</v>
      </c>
      <c r="N176" s="22">
        <f>SUM(G176:M176)</f>
        <v>4821.65</v>
      </c>
      <c r="Q176" s="2">
        <v>45524</v>
      </c>
      <c r="R176" s="55">
        <f>AA176</f>
        <v>7277</v>
      </c>
      <c r="S176" s="59">
        <v>3059</v>
      </c>
      <c r="T176" s="72">
        <v>318</v>
      </c>
      <c r="U176" s="72">
        <v>3702</v>
      </c>
      <c r="V176" s="72">
        <v>198</v>
      </c>
      <c r="AA176" s="68">
        <f>SUM(S176:Z176)</f>
        <v>7277</v>
      </c>
      <c r="AC176" s="19">
        <v>45524</v>
      </c>
      <c r="AD176" s="4">
        <f>F176+R176</f>
        <v>12098.65</v>
      </c>
      <c r="AE176" s="1"/>
    </row>
    <row r="177" spans="1:73" hidden="true">
      <c r="D177" s="9" t="s">
        <v>15</v>
      </c>
      <c r="E177" s="2">
        <v>45525</v>
      </c>
      <c r="F177" s="55">
        <f>N177</f>
        <v>3361.8</v>
      </c>
      <c r="G177" s="59">
        <v>3361.8</v>
      </c>
      <c r="N177" s="22">
        <f>SUM(G177:M177)</f>
        <v>3361.8</v>
      </c>
      <c r="Q177" s="2">
        <v>45525</v>
      </c>
      <c r="R177" s="55">
        <f>AA177</f>
        <v>5304</v>
      </c>
      <c r="S177" s="59">
        <v>2660</v>
      </c>
      <c r="T177" s="72">
        <v>0</v>
      </c>
      <c r="U177" s="72">
        <v>2148</v>
      </c>
      <c r="V177" s="72">
        <v>496</v>
      </c>
      <c r="AA177" s="68">
        <f>SUM(S177:Z177)</f>
        <v>5304</v>
      </c>
      <c r="AC177" s="19">
        <v>45525</v>
      </c>
      <c r="AD177" s="4">
        <f>F177+R177</f>
        <v>8665.8</v>
      </c>
      <c r="AE177" s="1"/>
    </row>
    <row r="178" spans="1:73" hidden="true">
      <c r="D178" s="9" t="s">
        <v>16</v>
      </c>
      <c r="E178" s="2">
        <v>45526</v>
      </c>
      <c r="F178" s="55">
        <f>N178</f>
        <v>3809.3</v>
      </c>
      <c r="G178" s="59">
        <v>3809.3</v>
      </c>
      <c r="N178" s="22">
        <f>SUM(G178:M178)</f>
        <v>3809.3</v>
      </c>
      <c r="Q178" s="2">
        <v>45526</v>
      </c>
      <c r="R178" s="55">
        <f>AA178</f>
        <v>5408</v>
      </c>
      <c r="S178" s="59">
        <v>1284</v>
      </c>
      <c r="T178" s="72">
        <v>196</v>
      </c>
      <c r="U178" s="72">
        <v>1730</v>
      </c>
      <c r="V178" s="72">
        <v>2198</v>
      </c>
      <c r="AA178" s="68">
        <f>SUM(S178:Z178)</f>
        <v>5408</v>
      </c>
      <c r="AC178" s="19">
        <v>45526</v>
      </c>
      <c r="AD178" s="4">
        <f>F178+R178</f>
        <v>9217.3</v>
      </c>
      <c r="AE178" s="1"/>
    </row>
    <row r="179" spans="1:73" hidden="true">
      <c r="D179" s="9" t="s">
        <v>10</v>
      </c>
      <c r="E179" s="2">
        <v>45527</v>
      </c>
      <c r="F179" s="55">
        <f>N179</f>
        <v>3616.75</v>
      </c>
      <c r="G179" s="59">
        <v>3616.75</v>
      </c>
      <c r="N179" s="22">
        <f>SUM(G179:M179)</f>
        <v>3616.75</v>
      </c>
      <c r="Q179" s="2">
        <v>45527</v>
      </c>
      <c r="R179" s="55">
        <f>AA179</f>
        <v>3276</v>
      </c>
      <c r="S179" s="59">
        <v>1588</v>
      </c>
      <c r="T179" s="72">
        <v>416</v>
      </c>
      <c r="U179" s="72">
        <v>754</v>
      </c>
      <c r="V179" s="72">
        <v>518</v>
      </c>
      <c r="AA179" s="68">
        <f>SUM(S179:Z179)</f>
        <v>3276</v>
      </c>
      <c r="AC179" s="19">
        <v>45527</v>
      </c>
      <c r="AD179" s="4">
        <f>F179+R179</f>
        <v>6892.75</v>
      </c>
      <c r="AE179" s="1"/>
    </row>
    <row r="180" spans="1:73" hidden="true">
      <c r="D180" s="9" t="s">
        <v>11</v>
      </c>
      <c r="E180" s="2">
        <v>45528</v>
      </c>
      <c r="F180" s="55">
        <f>N180</f>
        <v>4797.5</v>
      </c>
      <c r="G180" s="59">
        <v>4797.5</v>
      </c>
      <c r="N180" s="22">
        <f>SUM(G180:M180)</f>
        <v>4797.5</v>
      </c>
      <c r="Q180" s="2">
        <v>45528</v>
      </c>
      <c r="R180" s="55">
        <f>AA180</f>
        <v>8432</v>
      </c>
      <c r="S180" s="59">
        <v>3912</v>
      </c>
      <c r="T180" s="72">
        <v>820</v>
      </c>
      <c r="U180" s="72">
        <v>1730</v>
      </c>
      <c r="V180" s="72">
        <v>1970</v>
      </c>
      <c r="AA180" s="68">
        <f>SUM(S180:Z180)</f>
        <v>8432</v>
      </c>
      <c r="AC180" s="19">
        <v>45528</v>
      </c>
      <c r="AD180" s="4">
        <f>F180+R180</f>
        <v>13229.5</v>
      </c>
      <c r="AE180" s="1"/>
    </row>
    <row r="181" spans="1:73" hidden="true">
      <c r="D181" s="9" t="s">
        <v>12</v>
      </c>
      <c r="E181" s="2">
        <v>45529</v>
      </c>
      <c r="F181" s="55">
        <f>N181</f>
        <v>3534.75</v>
      </c>
      <c r="G181" s="59">
        <v>3534.75</v>
      </c>
      <c r="N181" s="22">
        <f>SUM(G181:M181)</f>
        <v>3534.75</v>
      </c>
      <c r="Q181" s="2">
        <v>45529</v>
      </c>
      <c r="R181" s="55">
        <f>AA181</f>
        <v>9098</v>
      </c>
      <c r="S181" s="59">
        <v>994</v>
      </c>
      <c r="T181" s="72">
        <v>444</v>
      </c>
      <c r="U181" s="72">
        <v>3450</v>
      </c>
      <c r="V181" s="72">
        <v>4210</v>
      </c>
      <c r="AA181" s="68">
        <f>SUM(S181:Z181)</f>
        <v>9098</v>
      </c>
      <c r="AC181" s="19">
        <v>45529</v>
      </c>
      <c r="AD181" s="4">
        <f>F181+R181</f>
        <v>12632.75</v>
      </c>
      <c r="AE181" s="1"/>
    </row>
    <row r="182" spans="1:73" hidden="true">
      <c r="D182" s="9" t="s">
        <v>13</v>
      </c>
      <c r="E182" s="2">
        <v>45530</v>
      </c>
      <c r="F182" s="55">
        <f>N182</f>
        <v>5643.85</v>
      </c>
      <c r="G182" s="59">
        <v>5643.85</v>
      </c>
      <c r="N182" s="22">
        <f>SUM(G182:M182)</f>
        <v>5643.85</v>
      </c>
      <c r="Q182" s="2">
        <v>45530</v>
      </c>
      <c r="R182" s="55">
        <f>AA182</f>
        <v>7252</v>
      </c>
      <c r="S182" s="59">
        <v>3170</v>
      </c>
      <c r="T182" s="72">
        <v>1404</v>
      </c>
      <c r="U182" s="72">
        <v>1202</v>
      </c>
      <c r="V182" s="72">
        <v>1476</v>
      </c>
      <c r="AA182" s="68">
        <f>SUM(S182:Z182)</f>
        <v>7252</v>
      </c>
      <c r="AC182" s="19">
        <v>45530</v>
      </c>
      <c r="AD182" s="4">
        <f>F182+R182</f>
        <v>12895.85</v>
      </c>
      <c r="AE182" s="1"/>
    </row>
    <row r="183" spans="1:73" hidden="true">
      <c r="D183" s="9" t="s">
        <v>14</v>
      </c>
      <c r="E183" s="2">
        <v>45531</v>
      </c>
      <c r="F183" s="55">
        <f>N183</f>
        <v>2721.65</v>
      </c>
      <c r="G183" s="59">
        <v>2721.65</v>
      </c>
      <c r="N183" s="22">
        <f>SUM(G183:M183)</f>
        <v>2721.65</v>
      </c>
      <c r="Q183" s="2">
        <v>45531</v>
      </c>
      <c r="R183" s="55">
        <f>AA183</f>
        <v>8332</v>
      </c>
      <c r="S183" s="59">
        <v>2433</v>
      </c>
      <c r="T183" s="72">
        <v>196</v>
      </c>
      <c r="U183" s="72">
        <v>2489</v>
      </c>
      <c r="V183" s="72">
        <v>3214</v>
      </c>
      <c r="AA183" s="68">
        <f>SUM(S183:Z183)</f>
        <v>8332</v>
      </c>
      <c r="AC183" s="19">
        <v>45531</v>
      </c>
      <c r="AD183" s="4">
        <f>F183+R183</f>
        <v>11053.65</v>
      </c>
      <c r="AE183" s="1"/>
    </row>
    <row r="184" spans="1:73" hidden="true">
      <c r="D184" s="9" t="s">
        <v>15</v>
      </c>
      <c r="E184" s="2">
        <v>45532</v>
      </c>
      <c r="F184" s="55">
        <f>N184</f>
        <v>3704.7</v>
      </c>
      <c r="G184" s="59">
        <v>3704.7</v>
      </c>
      <c r="N184" s="22">
        <f>SUM(G184:M184)</f>
        <v>3704.7</v>
      </c>
      <c r="Q184" s="2">
        <v>45532</v>
      </c>
      <c r="R184" s="55">
        <v>8000</v>
      </c>
      <c r="S184" s="59">
        <v>1436</v>
      </c>
      <c r="T184" s="72">
        <v>1024</v>
      </c>
      <c r="U184" s="72">
        <v>1282</v>
      </c>
      <c r="V184" s="72">
        <v>444</v>
      </c>
      <c r="AA184" s="68">
        <f>SUM(S184:Z184)</f>
        <v>4186</v>
      </c>
      <c r="AC184" s="19">
        <v>45532</v>
      </c>
      <c r="AD184" s="4">
        <f>F184+R184</f>
        <v>11704.7</v>
      </c>
      <c r="AE184" s="1"/>
    </row>
    <row r="185" spans="1:73" hidden="true">
      <c r="D185" s="9" t="s">
        <v>16</v>
      </c>
      <c r="E185" s="2">
        <v>45533</v>
      </c>
      <c r="F185" s="55">
        <f>N185</f>
        <v>3049.6</v>
      </c>
      <c r="G185" s="59">
        <v>3049.6</v>
      </c>
      <c r="N185" s="22">
        <f>SUM(G185:M185)</f>
        <v>3049.6</v>
      </c>
      <c r="Q185" s="2">
        <v>45533</v>
      </c>
      <c r="R185" s="55">
        <v>8000</v>
      </c>
      <c r="S185" s="59">
        <v>1742</v>
      </c>
      <c r="T185" s="72">
        <v>0</v>
      </c>
      <c r="U185" s="72">
        <v>1302</v>
      </c>
      <c r="V185" s="72">
        <v>644</v>
      </c>
      <c r="AA185" s="68">
        <f>SUM(S185:Z185)</f>
        <v>3688</v>
      </c>
      <c r="AC185" s="19">
        <v>45533</v>
      </c>
      <c r="AD185" s="4">
        <f>F185+R185</f>
        <v>11049.6</v>
      </c>
      <c r="AE185" s="1"/>
    </row>
    <row r="186" spans="1:73" hidden="true">
      <c r="D186" s="9" t="s">
        <v>10</v>
      </c>
      <c r="E186" s="2">
        <v>45534</v>
      </c>
      <c r="F186" s="55">
        <f>N186</f>
        <v>3585</v>
      </c>
      <c r="G186" s="59">
        <v>3585</v>
      </c>
      <c r="N186" s="22">
        <f>SUM(G186:M186)</f>
        <v>3585</v>
      </c>
      <c r="Q186" s="2">
        <v>45534</v>
      </c>
      <c r="R186" s="55">
        <v>8000</v>
      </c>
      <c r="S186" s="59">
        <v>1887</v>
      </c>
      <c r="T186" s="72">
        <v>760</v>
      </c>
      <c r="U186" s="72">
        <v>1512</v>
      </c>
      <c r="V186" s="72">
        <v>2000</v>
      </c>
      <c r="AA186" s="68">
        <f>SUM(S186:Z186)</f>
        <v>6159</v>
      </c>
      <c r="AC186" s="19">
        <v>45534</v>
      </c>
      <c r="AD186" s="4">
        <f>F186+R186</f>
        <v>11585</v>
      </c>
      <c r="AE186" s="1"/>
    </row>
    <row r="187" spans="1:73" hidden="true" s="13" customFormat="1">
      <c r="D187" s="13" t="s">
        <v>11</v>
      </c>
      <c r="E187" s="10">
        <v>45535</v>
      </c>
      <c r="F187" s="57">
        <f>N187</f>
        <v>6990.6</v>
      </c>
      <c r="G187" s="63">
        <v>6990.6</v>
      </c>
      <c r="I187" s="119"/>
      <c r="N187" s="30">
        <f>SUM(G187:M187)</f>
        <v>6990.6</v>
      </c>
      <c r="Q187" s="10">
        <v>45535</v>
      </c>
      <c r="R187" s="57">
        <v>8000</v>
      </c>
      <c r="S187" s="63">
        <v>5265</v>
      </c>
      <c r="T187" s="74">
        <v>630</v>
      </c>
      <c r="U187" s="74">
        <v>1740</v>
      </c>
      <c r="V187" s="74">
        <v>3374</v>
      </c>
      <c r="Y187" s="16"/>
      <c r="Z187" s="16"/>
      <c r="AA187" s="75">
        <f>SUM(S187:Z187)</f>
        <v>11009</v>
      </c>
      <c r="AC187" s="20">
        <v>45535</v>
      </c>
      <c r="AD187" s="11">
        <f>F187+R187</f>
        <v>14990.6</v>
      </c>
      <c r="AE187" s="16"/>
      <c r="BJ187" s="16"/>
    </row>
    <row r="188" spans="1:73" hidden="true">
      <c r="D188" s="9" t="s">
        <v>12</v>
      </c>
      <c r="E188" s="2">
        <v>45536</v>
      </c>
      <c r="F188" s="55">
        <f>N188</f>
        <v>5658.15</v>
      </c>
      <c r="G188" s="59">
        <v>5658.15</v>
      </c>
      <c r="N188" s="22">
        <f>SUM(G188:M188)</f>
        <v>5658.15</v>
      </c>
      <c r="Q188" s="2">
        <v>45536</v>
      </c>
      <c r="R188" s="55">
        <v>8000</v>
      </c>
      <c r="S188" s="59">
        <v>1954.6</v>
      </c>
      <c r="T188" s="72">
        <v>2750</v>
      </c>
      <c r="U188" s="72">
        <v>2774</v>
      </c>
      <c r="V188" s="72">
        <v>1214</v>
      </c>
      <c r="AA188" s="68">
        <f>SUM(S188:Z188)</f>
        <v>8692.6</v>
      </c>
      <c r="AC188" s="19">
        <v>45536</v>
      </c>
      <c r="AD188" s="4">
        <f>F188+R188</f>
        <v>13658.15</v>
      </c>
      <c r="AE188" s="1"/>
    </row>
    <row r="189" spans="1:73" hidden="true">
      <c r="D189" s="9" t="s">
        <v>13</v>
      </c>
      <c r="E189" s="2">
        <v>45537</v>
      </c>
      <c r="F189" s="55">
        <f>N189</f>
        <v>4086.25</v>
      </c>
      <c r="G189" s="59">
        <v>4086.25</v>
      </c>
      <c r="N189" s="22">
        <f>SUM(G189:M189)</f>
        <v>4086.25</v>
      </c>
      <c r="Q189" s="2">
        <v>45537</v>
      </c>
      <c r="R189" s="55">
        <v>8000</v>
      </c>
      <c r="S189" s="59">
        <v>3356</v>
      </c>
      <c r="T189" s="72">
        <v>1304</v>
      </c>
      <c r="U189" s="72">
        <v>1650</v>
      </c>
      <c r="V189" s="72">
        <v>1402</v>
      </c>
      <c r="AA189" s="68">
        <f>SUM(S189:Z189)</f>
        <v>7712</v>
      </c>
      <c r="AC189" s="19">
        <v>45537</v>
      </c>
      <c r="AD189" s="4">
        <f>F189+R189</f>
        <v>12086.25</v>
      </c>
      <c r="AE189" s="1"/>
    </row>
    <row r="190" spans="1:73" hidden="true">
      <c r="D190" s="9" t="s">
        <v>14</v>
      </c>
      <c r="E190" s="2">
        <v>45538</v>
      </c>
      <c r="F190" s="55">
        <f>N190</f>
        <v>3918.5</v>
      </c>
      <c r="G190" s="59">
        <v>3918.5</v>
      </c>
      <c r="N190" s="22">
        <f>SUM(G190:M190)</f>
        <v>3918.5</v>
      </c>
      <c r="Q190" s="2">
        <v>45538</v>
      </c>
      <c r="R190" s="55">
        <v>8000</v>
      </c>
      <c r="S190" s="59">
        <v>4193</v>
      </c>
      <c r="T190" s="72">
        <v>394</v>
      </c>
      <c r="U190" s="72">
        <v>1292</v>
      </c>
      <c r="V190" s="72">
        <v>2530</v>
      </c>
      <c r="AA190" s="68">
        <f>SUM(S190:Z190)</f>
        <v>8409</v>
      </c>
      <c r="AC190" s="19">
        <v>45538</v>
      </c>
      <c r="AD190" s="4">
        <f>F190+R190</f>
        <v>11918.5</v>
      </c>
      <c r="AE190" s="1"/>
    </row>
    <row r="191" spans="1:73" hidden="true">
      <c r="D191" s="9" t="s">
        <v>15</v>
      </c>
      <c r="E191" s="2">
        <v>45539</v>
      </c>
      <c r="F191" s="55">
        <f>N191</f>
        <v>2705.8</v>
      </c>
      <c r="G191" s="59">
        <v>2705.8</v>
      </c>
      <c r="N191" s="22">
        <f>SUM(G191:M191)</f>
        <v>2705.8</v>
      </c>
      <c r="Q191" s="2">
        <v>45539</v>
      </c>
      <c r="R191" s="55">
        <v>8000</v>
      </c>
      <c r="S191" s="59">
        <v>2117</v>
      </c>
      <c r="T191" s="72">
        <v>0</v>
      </c>
      <c r="U191" s="72">
        <v>892</v>
      </c>
      <c r="V191" s="72">
        <v>546</v>
      </c>
      <c r="AA191" s="68">
        <f>SUM(S191:Z191)</f>
        <v>3555</v>
      </c>
      <c r="AC191" s="19">
        <v>45539</v>
      </c>
      <c r="AD191" s="4">
        <f>F191+R191</f>
        <v>10705.8</v>
      </c>
      <c r="AE191" s="1"/>
    </row>
    <row r="192" spans="1:73" hidden="true">
      <c r="D192" s="9" t="s">
        <v>16</v>
      </c>
      <c r="E192" s="2">
        <v>45540</v>
      </c>
      <c r="F192" s="55">
        <f>N192</f>
        <v>4347.3</v>
      </c>
      <c r="G192" s="59">
        <v>4347.3</v>
      </c>
      <c r="N192" s="22">
        <f>SUM(G192:M192)</f>
        <v>4347.3</v>
      </c>
      <c r="Q192" s="2">
        <v>45540</v>
      </c>
      <c r="R192" s="55">
        <v>8000</v>
      </c>
      <c r="S192" s="59">
        <v>2682</v>
      </c>
      <c r="T192" s="72">
        <v>392</v>
      </c>
      <c r="U192" s="72">
        <v>1682</v>
      </c>
      <c r="V192" s="72">
        <v>1994</v>
      </c>
      <c r="AA192" s="68">
        <f>SUM(S192:Z192)</f>
        <v>6750</v>
      </c>
      <c r="AC192" s="19">
        <v>45540</v>
      </c>
      <c r="AD192" s="4">
        <f>F192+R192</f>
        <v>12347.3</v>
      </c>
      <c r="AE192" s="1"/>
    </row>
    <row r="193" spans="1:73" hidden="true">
      <c r="D193" s="9" t="s">
        <v>10</v>
      </c>
      <c r="E193" s="2">
        <v>45541</v>
      </c>
      <c r="F193" s="55">
        <f>N193</f>
        <v>4589.9</v>
      </c>
      <c r="G193" s="59">
        <v>4589.9</v>
      </c>
      <c r="N193" s="22">
        <f>SUM(G193:M193)</f>
        <v>4589.9</v>
      </c>
      <c r="Q193" s="2">
        <v>45541</v>
      </c>
      <c r="R193" s="55">
        <v>8000</v>
      </c>
      <c r="S193" s="59">
        <v>1243</v>
      </c>
      <c r="T193" s="72">
        <v>494</v>
      </c>
      <c r="U193" s="72">
        <v>2014</v>
      </c>
      <c r="V193" s="72">
        <v>1992</v>
      </c>
      <c r="AA193" s="68">
        <f>SUM(S193:Z193)</f>
        <v>5743</v>
      </c>
      <c r="AC193" s="19">
        <v>45541</v>
      </c>
      <c r="AD193" s="4">
        <f>F193+R193</f>
        <v>12589.9</v>
      </c>
      <c r="AE193" s="1"/>
    </row>
    <row r="194" spans="1:73" hidden="true">
      <c r="D194" s="9" t="s">
        <v>11</v>
      </c>
      <c r="E194" s="2">
        <v>45542</v>
      </c>
      <c r="F194" s="55">
        <f>N194</f>
        <v>4638.65</v>
      </c>
      <c r="G194" s="59">
        <v>4638.65</v>
      </c>
      <c r="N194" s="22">
        <f>SUM(G194:M194)</f>
        <v>4638.65</v>
      </c>
      <c r="Q194" s="2">
        <v>45542</v>
      </c>
      <c r="R194" s="55">
        <v>8000</v>
      </c>
      <c r="S194" s="59">
        <v>1508</v>
      </c>
      <c r="T194" s="72">
        <v>394</v>
      </c>
      <c r="U194" s="72">
        <v>1202</v>
      </c>
      <c r="V194" s="72">
        <v>3104</v>
      </c>
      <c r="AA194" s="68">
        <f>SUM(S194:Z194)</f>
        <v>6208</v>
      </c>
      <c r="AC194" s="19">
        <v>45542</v>
      </c>
      <c r="AD194" s="4">
        <f>F194+R194</f>
        <v>12638.65</v>
      </c>
      <c r="AE194" s="1"/>
    </row>
    <row r="195" spans="1:73" hidden="true">
      <c r="D195" s="9" t="s">
        <v>12</v>
      </c>
      <c r="E195" s="2">
        <v>45543</v>
      </c>
      <c r="F195" s="55">
        <f>N195</f>
        <v>4378</v>
      </c>
      <c r="G195" s="59">
        <v>4378</v>
      </c>
      <c r="N195" s="22">
        <f>SUM(G195:M195)</f>
        <v>4378</v>
      </c>
      <c r="Q195" s="2">
        <v>45543</v>
      </c>
      <c r="R195" s="55">
        <v>8000</v>
      </c>
      <c r="S195" s="59">
        <v>2309</v>
      </c>
      <c r="T195" s="72">
        <v>218</v>
      </c>
      <c r="U195" s="72">
        <v>1490</v>
      </c>
      <c r="V195" s="72">
        <v>2472</v>
      </c>
      <c r="AA195" s="68">
        <f>SUM(S195:Z195)</f>
        <v>6489</v>
      </c>
      <c r="AC195" s="19">
        <v>45543</v>
      </c>
      <c r="AD195" s="4">
        <f>F195+R195</f>
        <v>12378</v>
      </c>
      <c r="AE195" s="1"/>
    </row>
    <row r="196" spans="1:73" hidden="true">
      <c r="D196" s="9" t="s">
        <v>13</v>
      </c>
      <c r="E196" s="2">
        <v>45544</v>
      </c>
      <c r="F196" s="55">
        <f>N196</f>
        <v>3363.3</v>
      </c>
      <c r="G196" s="59">
        <v>3363.3</v>
      </c>
      <c r="N196" s="22">
        <f>SUM(G196:M196)</f>
        <v>3363.3</v>
      </c>
      <c r="Q196" s="2">
        <v>45544</v>
      </c>
      <c r="R196" s="55">
        <v>8000</v>
      </c>
      <c r="S196" s="59">
        <v>2129</v>
      </c>
      <c r="T196" s="72">
        <v>228</v>
      </c>
      <c r="U196" s="72">
        <v>1260</v>
      </c>
      <c r="V196" s="72">
        <v>2176</v>
      </c>
      <c r="AA196" s="68">
        <f>SUM(S196:Z196)</f>
        <v>5793</v>
      </c>
      <c r="AC196" s="19">
        <v>45544</v>
      </c>
      <c r="AD196" s="4">
        <f>F196+R196</f>
        <v>11363.3</v>
      </c>
      <c r="AE196" s="1"/>
    </row>
    <row r="197" spans="1:73" hidden="true">
      <c r="D197" s="9" t="s">
        <v>14</v>
      </c>
      <c r="E197" s="2">
        <v>45545</v>
      </c>
      <c r="F197" s="55">
        <f>N197</f>
        <v>3910.35</v>
      </c>
      <c r="G197" s="59">
        <v>3910.35</v>
      </c>
      <c r="N197" s="22">
        <f>SUM(G197:M197)</f>
        <v>3910.35</v>
      </c>
      <c r="Q197" s="2">
        <v>45545</v>
      </c>
      <c r="R197" s="55">
        <v>8000</v>
      </c>
      <c r="S197" s="59">
        <v>1618</v>
      </c>
      <c r="T197" s="72">
        <v>228</v>
      </c>
      <c r="U197" s="72">
        <v>1242</v>
      </c>
      <c r="V197" s="72">
        <v>0</v>
      </c>
      <c r="AA197" s="68">
        <f>SUM(S197:Z197)</f>
        <v>3088</v>
      </c>
      <c r="AC197" s="19">
        <v>45545</v>
      </c>
      <c r="AD197" s="4">
        <f>F197+R197</f>
        <v>11910.35</v>
      </c>
      <c r="AE197" s="1"/>
    </row>
    <row r="198" spans="1:73" hidden="true">
      <c r="D198" s="9" t="s">
        <v>15</v>
      </c>
      <c r="E198" s="2">
        <v>45546</v>
      </c>
      <c r="F198" s="55">
        <f>N198</f>
        <v>4562.15</v>
      </c>
      <c r="G198" s="59">
        <v>4562.15</v>
      </c>
      <c r="N198" s="22">
        <f>SUM(G198:M198)</f>
        <v>4562.15</v>
      </c>
      <c r="Q198" s="2">
        <v>45546</v>
      </c>
      <c r="R198" s="55">
        <v>8000</v>
      </c>
      <c r="S198" s="59">
        <v>1496.6</v>
      </c>
      <c r="T198" s="72">
        <v>196</v>
      </c>
      <c r="U198" s="72">
        <v>4430</v>
      </c>
      <c r="V198" s="72">
        <v>1018</v>
      </c>
      <c r="AA198" s="68">
        <f>SUM(S198:Z198)</f>
        <v>7140.6</v>
      </c>
      <c r="AC198" s="19">
        <v>45546</v>
      </c>
      <c r="AD198" s="4">
        <f>F198+R198</f>
        <v>12562.15</v>
      </c>
      <c r="AE198" s="1"/>
    </row>
    <row r="199" spans="1:73" hidden="true">
      <c r="D199" s="9" t="s">
        <v>16</v>
      </c>
      <c r="E199" s="2">
        <v>45547</v>
      </c>
      <c r="F199" s="55">
        <f>N199</f>
        <v>3294</v>
      </c>
      <c r="G199" s="59">
        <v>3294</v>
      </c>
      <c r="N199" s="22">
        <f>SUM(G199:M199)</f>
        <v>3294</v>
      </c>
      <c r="Q199" s="2">
        <v>45547</v>
      </c>
      <c r="R199" s="55">
        <v>8000</v>
      </c>
      <c r="S199" s="59"/>
      <c r="T199" s="72">
        <v>318</v>
      </c>
      <c r="U199" s="72">
        <v>1134</v>
      </c>
      <c r="V199" s="72">
        <v>854</v>
      </c>
      <c r="AA199" s="68">
        <f>SUM(S199:Z199)</f>
        <v>2306</v>
      </c>
      <c r="AC199" s="19">
        <v>45547</v>
      </c>
      <c r="AD199" s="4">
        <f>F199+R199</f>
        <v>11294</v>
      </c>
      <c r="AE199" s="1"/>
    </row>
    <row r="200" spans="1:73" hidden="true">
      <c r="D200" s="9" t="s">
        <v>10</v>
      </c>
      <c r="E200" s="2">
        <v>45548</v>
      </c>
      <c r="F200" s="55">
        <f>N200</f>
        <v>4903.8</v>
      </c>
      <c r="G200" s="59">
        <v>4903.8</v>
      </c>
      <c r="N200" s="22">
        <f>SUM(G200:M200)</f>
        <v>4903.8</v>
      </c>
      <c r="Q200" s="2">
        <v>45548</v>
      </c>
      <c r="R200" s="55">
        <v>8000</v>
      </c>
      <c r="S200" s="59">
        <v>2036</v>
      </c>
      <c r="T200" s="72">
        <v>0</v>
      </c>
      <c r="U200" s="72">
        <v>536</v>
      </c>
      <c r="V200" s="72">
        <v>1012</v>
      </c>
      <c r="AA200" s="68">
        <f>SUM(S200:Z200)</f>
        <v>3584</v>
      </c>
      <c r="AC200" s="19">
        <v>45548</v>
      </c>
      <c r="AD200" s="4">
        <f>F200+R200</f>
        <v>12903.8</v>
      </c>
      <c r="AE200" s="1"/>
    </row>
    <row r="201" spans="1:73" hidden="true">
      <c r="D201" s="9" t="s">
        <v>11</v>
      </c>
      <c r="E201" s="2">
        <v>45549</v>
      </c>
      <c r="F201" s="55">
        <f>N201</f>
        <v>4011.2</v>
      </c>
      <c r="G201" s="59">
        <v>4011.2</v>
      </c>
      <c r="N201" s="22">
        <f>SUM(G201:M201)</f>
        <v>4011.2</v>
      </c>
      <c r="Q201" s="2">
        <v>45549</v>
      </c>
      <c r="R201" s="55">
        <v>8000</v>
      </c>
      <c r="S201" s="59">
        <v>590</v>
      </c>
      <c r="T201" s="72">
        <v>0</v>
      </c>
      <c r="U201" s="72">
        <v>1352</v>
      </c>
      <c r="V201" s="72">
        <v>1406</v>
      </c>
      <c r="AA201" s="68">
        <f>SUM(S201:Z201)</f>
        <v>3348</v>
      </c>
      <c r="AC201" s="19">
        <v>45549</v>
      </c>
      <c r="AD201" s="4">
        <f>F201+R201</f>
        <v>12011.2</v>
      </c>
      <c r="AE201" s="1"/>
    </row>
    <row r="202" spans="1:73" hidden="true">
      <c r="D202" s="9" t="s">
        <v>12</v>
      </c>
      <c r="E202" s="2">
        <v>45550</v>
      </c>
      <c r="F202" s="55">
        <f>N202</f>
        <v>4000.75</v>
      </c>
      <c r="G202" s="59">
        <v>4000.75</v>
      </c>
      <c r="N202" s="22">
        <f>SUM(G202:M202)</f>
        <v>4000.75</v>
      </c>
      <c r="Q202" s="2">
        <v>45550</v>
      </c>
      <c r="R202" s="55">
        <v>8000</v>
      </c>
      <c r="S202" s="59">
        <v>4688</v>
      </c>
      <c r="T202" s="72">
        <v>1022</v>
      </c>
      <c r="U202" s="72">
        <v>2324</v>
      </c>
      <c r="V202" s="72">
        <v>1436</v>
      </c>
      <c r="AA202" s="68">
        <f>SUM(S202:Z202)</f>
        <v>9470</v>
      </c>
      <c r="AC202" s="19">
        <v>45550</v>
      </c>
      <c r="AD202" s="4">
        <f>F202+R202</f>
        <v>12000.75</v>
      </c>
      <c r="AE202" s="1"/>
    </row>
    <row r="203" spans="1:73" hidden="true">
      <c r="D203" s="9" t="s">
        <v>13</v>
      </c>
      <c r="E203" s="2">
        <v>45551</v>
      </c>
      <c r="F203" s="55">
        <f>N203</f>
        <v>6903.6</v>
      </c>
      <c r="G203" s="59">
        <v>6903.6</v>
      </c>
      <c r="N203" s="22">
        <f>SUM(G203:M203)</f>
        <v>6903.6</v>
      </c>
      <c r="Q203" s="2">
        <v>45551</v>
      </c>
      <c r="R203" s="55">
        <v>8000</v>
      </c>
      <c r="S203" s="59">
        <v>3518</v>
      </c>
      <c r="T203" s="72">
        <v>592</v>
      </c>
      <c r="U203" s="72">
        <v>1708</v>
      </c>
      <c r="V203" s="72">
        <v>932</v>
      </c>
      <c r="AA203" s="68">
        <f>SUM(S203:Z203)</f>
        <v>6750</v>
      </c>
      <c r="AC203" s="19">
        <v>45551</v>
      </c>
      <c r="AD203" s="4">
        <f>F203+R203</f>
        <v>14903.6</v>
      </c>
      <c r="AE203" s="1"/>
    </row>
    <row r="204" spans="1:73" hidden="true">
      <c r="D204" s="9" t="s">
        <v>14</v>
      </c>
      <c r="E204" s="2">
        <v>45552</v>
      </c>
      <c r="F204" s="55">
        <f>N204</f>
        <v>5212</v>
      </c>
      <c r="G204" s="59">
        <v>5212</v>
      </c>
      <c r="N204" s="22">
        <f>SUM(G204:M204)</f>
        <v>5212</v>
      </c>
      <c r="Q204" s="2">
        <v>45552</v>
      </c>
      <c r="R204" s="55">
        <v>8000</v>
      </c>
      <c r="S204" s="59">
        <v>1965</v>
      </c>
      <c r="T204" s="72">
        <v>786</v>
      </c>
      <c r="U204" s="72">
        <v>1448</v>
      </c>
      <c r="V204" s="72">
        <v>466</v>
      </c>
      <c r="AA204" s="68">
        <f>SUM(S204:Z204)</f>
        <v>4665</v>
      </c>
      <c r="AC204" s="19">
        <v>45552</v>
      </c>
      <c r="AD204" s="4">
        <f>F204+R204</f>
        <v>13212</v>
      </c>
      <c r="AE204" s="1"/>
    </row>
    <row r="205" spans="1:73" hidden="true">
      <c r="D205" s="9" t="s">
        <v>15</v>
      </c>
      <c r="E205" s="2">
        <v>45553</v>
      </c>
      <c r="F205" s="55">
        <f>N205</f>
        <v>4077.4</v>
      </c>
      <c r="G205" s="59">
        <v>4077.4</v>
      </c>
      <c r="N205" s="22">
        <f>SUM(G205:M205)</f>
        <v>4077.4</v>
      </c>
      <c r="Q205" s="2">
        <v>45553</v>
      </c>
      <c r="R205" s="55">
        <v>8000</v>
      </c>
      <c r="S205" s="59">
        <v>3556</v>
      </c>
      <c r="T205" s="72"/>
      <c r="U205" s="72">
        <v>1004</v>
      </c>
      <c r="V205" s="72">
        <v>590</v>
      </c>
      <c r="AA205" s="68">
        <f>SUM(S205:Z205)</f>
        <v>5150</v>
      </c>
      <c r="AC205" s="19">
        <v>45553</v>
      </c>
      <c r="AD205" s="4">
        <f>F205+R205</f>
        <v>12077.4</v>
      </c>
      <c r="AE205" s="1"/>
    </row>
    <row r="206" spans="1:73" hidden="true">
      <c r="D206" s="9" t="s">
        <v>16</v>
      </c>
      <c r="E206" s="2">
        <v>45554</v>
      </c>
      <c r="F206" s="55">
        <f>N206</f>
        <v>3203.15</v>
      </c>
      <c r="G206" s="59">
        <v>3203.15</v>
      </c>
      <c r="N206" s="22">
        <f>SUM(G206:M206)</f>
        <v>3203.15</v>
      </c>
      <c r="Q206" s="2">
        <v>45554</v>
      </c>
      <c r="R206" s="55">
        <v>8000</v>
      </c>
      <c r="S206" s="59">
        <v>3124</v>
      </c>
      <c r="T206" s="72">
        <v>788</v>
      </c>
      <c r="U206" s="72">
        <v>1928</v>
      </c>
      <c r="V206" s="72">
        <v>0</v>
      </c>
      <c r="AA206" s="68">
        <f>SUM(S206:Z206)</f>
        <v>5840</v>
      </c>
      <c r="AC206" s="19">
        <v>45554</v>
      </c>
      <c r="AD206" s="4">
        <f>F206+R206</f>
        <v>11203.15</v>
      </c>
      <c r="AE206" s="1"/>
    </row>
    <row r="207" spans="1:73" hidden="true">
      <c r="D207" s="9" t="s">
        <v>10</v>
      </c>
      <c r="E207" s="2">
        <v>45555</v>
      </c>
      <c r="F207" s="55">
        <f>N207</f>
        <v>6282</v>
      </c>
      <c r="G207" s="59">
        <v>6282</v>
      </c>
      <c r="N207" s="22">
        <f>SUM(G207:M207)</f>
        <v>6282</v>
      </c>
      <c r="Q207" s="2">
        <v>45555</v>
      </c>
      <c r="R207" s="55">
        <v>8000</v>
      </c>
      <c r="S207" s="59">
        <v>1722</v>
      </c>
      <c r="T207" s="72">
        <v>0</v>
      </c>
      <c r="U207" s="72">
        <v>912</v>
      </c>
      <c r="V207" s="72">
        <v>684</v>
      </c>
      <c r="AA207" s="68">
        <f>SUM(S207:Z207)</f>
        <v>3318</v>
      </c>
      <c r="AC207" s="19">
        <v>45555</v>
      </c>
      <c r="AD207" s="4">
        <f>F207+R207</f>
        <v>14282</v>
      </c>
      <c r="AE207" s="1"/>
    </row>
    <row r="208" spans="1:73" hidden="true">
      <c r="D208" s="9" t="s">
        <v>11</v>
      </c>
      <c r="E208" s="2">
        <v>45556</v>
      </c>
      <c r="F208" s="55">
        <f>N208</f>
        <v>5007.15</v>
      </c>
      <c r="G208" s="59">
        <v>5007.15</v>
      </c>
      <c r="N208" s="22">
        <f>SUM(G208:M208)</f>
        <v>5007.15</v>
      </c>
      <c r="Q208" s="2">
        <v>45556</v>
      </c>
      <c r="R208" s="55">
        <v>8000</v>
      </c>
      <c r="S208" s="59"/>
      <c r="T208" s="72"/>
      <c r="U208" s="72"/>
      <c r="V208" s="72"/>
      <c r="AA208" s="68">
        <f>SUM(S208:Z208)</f>
        <v>0</v>
      </c>
      <c r="AC208" s="19">
        <v>45556</v>
      </c>
      <c r="AD208" s="4">
        <f>F208+R208</f>
        <v>13007.15</v>
      </c>
      <c r="AE208" s="1"/>
    </row>
    <row r="209" spans="1:73" hidden="true">
      <c r="D209" s="9" t="s">
        <v>12</v>
      </c>
      <c r="E209" s="2">
        <v>45557</v>
      </c>
      <c r="F209" s="55">
        <f>N209</f>
        <v>6830.1</v>
      </c>
      <c r="G209" s="59">
        <v>6830.1</v>
      </c>
      <c r="N209" s="22">
        <f>SUM(G209:M209)</f>
        <v>6830.1</v>
      </c>
      <c r="Q209" s="2">
        <v>45557</v>
      </c>
      <c r="R209" s="55">
        <v>8000</v>
      </c>
      <c r="S209" s="59"/>
      <c r="T209" s="72"/>
      <c r="U209" s="72"/>
      <c r="V209" s="72"/>
      <c r="AA209" s="68">
        <f>SUM(S209:Z209)</f>
        <v>0</v>
      </c>
      <c r="AC209" s="19">
        <v>45557</v>
      </c>
      <c r="AD209" s="4">
        <f>F209+R209</f>
        <v>14830.1</v>
      </c>
      <c r="AE209" s="1"/>
    </row>
    <row r="210" spans="1:73" hidden="true">
      <c r="D210" s="9" t="s">
        <v>13</v>
      </c>
      <c r="E210" s="2">
        <v>45558</v>
      </c>
      <c r="F210" s="55">
        <f>N210</f>
        <v>4194.85</v>
      </c>
      <c r="G210" s="59">
        <v>4194.85</v>
      </c>
      <c r="N210" s="22">
        <f>SUM(G210:M210)</f>
        <v>4194.85</v>
      </c>
      <c r="Q210" s="2">
        <v>45558</v>
      </c>
      <c r="R210" s="55">
        <v>8000</v>
      </c>
      <c r="S210" s="59"/>
      <c r="T210" s="72"/>
      <c r="U210" s="72"/>
      <c r="V210" s="72"/>
      <c r="AA210" s="68">
        <f>SUM(S210:Z210)</f>
        <v>0</v>
      </c>
      <c r="AC210" s="19">
        <v>45558</v>
      </c>
      <c r="AD210" s="4">
        <f>F210+R210</f>
        <v>12194.85</v>
      </c>
      <c r="AE210" s="1"/>
    </row>
    <row r="211" spans="1:73" hidden="true">
      <c r="D211" s="9" t="s">
        <v>14</v>
      </c>
      <c r="E211" s="2">
        <v>45559</v>
      </c>
      <c r="F211" s="55">
        <f>N211</f>
        <v>3654.15</v>
      </c>
      <c r="G211" s="59">
        <v>3654.15</v>
      </c>
      <c r="N211" s="22">
        <f>SUM(G211:M211)</f>
        <v>3654.15</v>
      </c>
      <c r="Q211" s="2">
        <v>45559</v>
      </c>
      <c r="R211" s="55">
        <v>8000</v>
      </c>
      <c r="S211" s="59"/>
      <c r="T211" s="72"/>
      <c r="U211" s="72"/>
      <c r="V211" s="72"/>
      <c r="AA211" s="68">
        <f>SUM(S211:Z211)</f>
        <v>0</v>
      </c>
      <c r="AC211" s="19">
        <v>45559</v>
      </c>
      <c r="AD211" s="4">
        <f>F211+R211</f>
        <v>11654.15</v>
      </c>
      <c r="AE211" s="1"/>
    </row>
    <row r="212" spans="1:73" hidden="true">
      <c r="D212" s="9" t="s">
        <v>15</v>
      </c>
      <c r="E212" s="2">
        <v>45560</v>
      </c>
      <c r="F212" s="55">
        <f>N212</f>
        <v>4575.65</v>
      </c>
      <c r="G212" s="59">
        <v>4575.65</v>
      </c>
      <c r="N212" s="22">
        <f>SUM(G212:M212)</f>
        <v>4575.65</v>
      </c>
      <c r="Q212" s="2">
        <v>45560</v>
      </c>
      <c r="R212" s="55">
        <v>8000</v>
      </c>
      <c r="S212" s="59">
        <v>2000</v>
      </c>
      <c r="T212" s="72">
        <v>1100</v>
      </c>
      <c r="U212" s="72">
        <v>100</v>
      </c>
      <c r="V212" s="72"/>
      <c r="AA212" s="68">
        <f>SUM(S212:Z212)</f>
        <v>3200</v>
      </c>
      <c r="AC212" s="19">
        <v>45560</v>
      </c>
      <c r="AD212" s="4">
        <f>F212+R212</f>
        <v>12575.65</v>
      </c>
      <c r="AE212" s="1"/>
    </row>
    <row r="213" spans="1:73" hidden="true">
      <c r="D213" s="9" t="s">
        <v>16</v>
      </c>
      <c r="E213" s="2">
        <v>45561</v>
      </c>
      <c r="F213" s="55">
        <f>N213</f>
        <v>4703.45</v>
      </c>
      <c r="G213" s="59">
        <v>4703.45</v>
      </c>
      <c r="N213" s="22">
        <f>SUM(G213:M213)</f>
        <v>4703.45</v>
      </c>
      <c r="Q213" s="2">
        <v>45561</v>
      </c>
      <c r="R213" s="55">
        <v>8000</v>
      </c>
      <c r="S213" s="59"/>
      <c r="T213" s="72"/>
      <c r="U213" s="72"/>
      <c r="V213" s="72"/>
      <c r="AA213" s="68">
        <f>SUM(S213:Z213)</f>
        <v>0</v>
      </c>
      <c r="AC213" s="19">
        <v>45561</v>
      </c>
      <c r="AD213" s="4">
        <f>F213+R213</f>
        <v>12703.45</v>
      </c>
      <c r="AE213" s="1"/>
    </row>
    <row r="214" spans="1:73" hidden="true">
      <c r="D214" s="9" t="s">
        <v>10</v>
      </c>
      <c r="E214" s="2">
        <v>45562</v>
      </c>
      <c r="F214" s="55">
        <f>N214</f>
        <v>5307.1</v>
      </c>
      <c r="G214" s="59">
        <v>5307.1</v>
      </c>
      <c r="N214" s="22">
        <f>SUM(G214:M214)</f>
        <v>5307.1</v>
      </c>
      <c r="Q214" s="2">
        <v>45562</v>
      </c>
      <c r="R214" s="55">
        <v>8000</v>
      </c>
      <c r="S214" s="59"/>
      <c r="T214" s="72"/>
      <c r="U214" s="72"/>
      <c r="V214" s="72"/>
      <c r="AA214" s="68">
        <f>SUM(S214:Z214)</f>
        <v>0</v>
      </c>
      <c r="AC214" s="19">
        <v>45562</v>
      </c>
      <c r="AD214" s="4">
        <f>F214+R214</f>
        <v>13307.1</v>
      </c>
      <c r="AE214" s="1"/>
    </row>
    <row r="215" spans="1:73" hidden="true">
      <c r="D215" s="9" t="s">
        <v>11</v>
      </c>
      <c r="E215" s="2">
        <v>45563</v>
      </c>
      <c r="F215" s="55">
        <f>N215</f>
        <v>5046.55</v>
      </c>
      <c r="G215" s="59">
        <v>5046.55</v>
      </c>
      <c r="N215" s="22">
        <f>SUM(G215:M215)</f>
        <v>5046.55</v>
      </c>
      <c r="Q215" s="2">
        <v>45563</v>
      </c>
      <c r="R215" s="55">
        <v>8000</v>
      </c>
      <c r="S215" s="59"/>
      <c r="T215" s="72"/>
      <c r="U215" s="72"/>
      <c r="V215" s="72"/>
      <c r="AA215" s="68">
        <f>SUM(S215:Z215)</f>
        <v>0</v>
      </c>
      <c r="AC215" s="19">
        <v>45563</v>
      </c>
      <c r="AD215" s="4">
        <f>F215+R215</f>
        <v>13046.55</v>
      </c>
      <c r="AE215" s="1"/>
    </row>
    <row r="216" spans="1:73" hidden="true">
      <c r="D216" s="9" t="s">
        <v>12</v>
      </c>
      <c r="E216" s="2">
        <v>45564</v>
      </c>
      <c r="F216" s="55">
        <f>N216</f>
        <v>4315.5</v>
      </c>
      <c r="G216" s="59">
        <v>4315.5</v>
      </c>
      <c r="N216" s="22">
        <f>SUM(G216:M216)</f>
        <v>4315.5</v>
      </c>
      <c r="Q216" s="2">
        <v>45564</v>
      </c>
      <c r="R216" s="55">
        <v>8000</v>
      </c>
      <c r="S216" s="59"/>
      <c r="T216" s="72"/>
      <c r="U216" s="72"/>
      <c r="V216" s="72"/>
      <c r="AA216" s="68">
        <f>SUM(S216:Z216)</f>
        <v>0</v>
      </c>
      <c r="AC216" s="19">
        <v>45564</v>
      </c>
      <c r="AD216" s="4">
        <f>F216+R216</f>
        <v>12315.5</v>
      </c>
      <c r="AE216" s="1"/>
    </row>
    <row r="217" spans="1:73" hidden="true" s="13" customFormat="1">
      <c r="E217" s="10"/>
      <c r="F217" s="57"/>
      <c r="G217" s="63"/>
      <c r="I217" s="119"/>
      <c r="N217" s="30"/>
      <c r="Q217" s="10"/>
      <c r="R217" s="57"/>
      <c r="S217" s="63"/>
      <c r="T217" s="74"/>
      <c r="U217" s="74"/>
      <c r="V217" s="74"/>
      <c r="Y217" s="16"/>
      <c r="Z217" s="16"/>
      <c r="AA217" s="75"/>
      <c r="AC217" s="20"/>
      <c r="AD217" s="11"/>
      <c r="AE217" s="16"/>
      <c r="BJ217" s="16"/>
    </row>
    <row r="218" spans="1:73" hidden="true">
      <c r="D218" s="9" t="s">
        <v>14</v>
      </c>
      <c r="E218" s="2">
        <v>45566</v>
      </c>
      <c r="F218" s="55">
        <f>N218</f>
        <v>3931.8</v>
      </c>
      <c r="G218" s="69">
        <v>3931.8</v>
      </c>
      <c r="N218" s="22">
        <f>SUM(G218:M218)</f>
        <v>3931.8</v>
      </c>
      <c r="Q218" s="2">
        <v>45566</v>
      </c>
      <c r="R218" s="55">
        <f>AA218</f>
        <v>5842</v>
      </c>
      <c r="S218" s="59">
        <v>3094</v>
      </c>
      <c r="T218" s="72">
        <v>622</v>
      </c>
      <c r="U218" s="72">
        <v>1928</v>
      </c>
      <c r="V218" s="72">
        <v>198</v>
      </c>
      <c r="AA218" s="68">
        <f>SUM(S218:Z218)</f>
        <v>5842</v>
      </c>
      <c r="AC218" s="19">
        <v>45566</v>
      </c>
      <c r="AD218" s="4">
        <f>F218+R218</f>
        <v>9773.8</v>
      </c>
      <c r="AE218" s="1"/>
    </row>
    <row r="219" spans="1:73" hidden="true">
      <c r="D219" s="9" t="s">
        <v>15</v>
      </c>
      <c r="E219" s="2">
        <v>45567</v>
      </c>
      <c r="F219" s="55">
        <f>N219</f>
        <v>3982.25</v>
      </c>
      <c r="G219" s="69">
        <v>3982.25</v>
      </c>
      <c r="N219" s="22">
        <f>SUM(G219:M219)</f>
        <v>3982.25</v>
      </c>
      <c r="Q219" s="2">
        <v>45567</v>
      </c>
      <c r="R219" s="55">
        <f>AA219</f>
        <v>4934</v>
      </c>
      <c r="S219" s="59">
        <v>1510</v>
      </c>
      <c r="T219" s="72">
        <v>196</v>
      </c>
      <c r="U219" s="72">
        <v>2780</v>
      </c>
      <c r="V219" s="72">
        <v>448</v>
      </c>
      <c r="AA219" s="68">
        <f>SUM(S219:Z219)</f>
        <v>4934</v>
      </c>
      <c r="AC219" s="19">
        <v>45567</v>
      </c>
      <c r="AD219" s="4">
        <f>F219+R219</f>
        <v>8916.25</v>
      </c>
      <c r="AE219" s="1"/>
    </row>
    <row r="220" spans="1:73" hidden="true">
      <c r="D220" s="9" t="s">
        <v>16</v>
      </c>
      <c r="E220" s="2">
        <v>45568</v>
      </c>
      <c r="F220" s="55">
        <f>N220</f>
        <v>3884.65</v>
      </c>
      <c r="G220" s="69">
        <v>3884.65</v>
      </c>
      <c r="N220" s="22">
        <f>SUM(G220:M220)</f>
        <v>3884.65</v>
      </c>
      <c r="Q220" s="2">
        <v>45568</v>
      </c>
      <c r="R220" s="55">
        <f>AA220</f>
        <v>7168.7</v>
      </c>
      <c r="S220" s="59">
        <v>2513.7</v>
      </c>
      <c r="T220" s="72">
        <v>1058</v>
      </c>
      <c r="U220" s="72">
        <v>2258</v>
      </c>
      <c r="V220" s="72">
        <v>1339</v>
      </c>
      <c r="AA220" s="68">
        <f>SUM(S220:Z220)</f>
        <v>7168.7</v>
      </c>
      <c r="AC220" s="19">
        <v>45568</v>
      </c>
      <c r="AD220" s="4">
        <f>F220+R220</f>
        <v>11053.35</v>
      </c>
      <c r="AE220" s="1"/>
    </row>
    <row r="221" spans="1:73" hidden="true">
      <c r="D221" s="9" t="s">
        <v>10</v>
      </c>
      <c r="E221" s="2">
        <v>45569</v>
      </c>
      <c r="F221" s="55">
        <f>N221</f>
        <v>5978.95</v>
      </c>
      <c r="G221" s="69">
        <v>5978.95</v>
      </c>
      <c r="N221" s="22">
        <f>SUM(G221:M221)</f>
        <v>5978.95</v>
      </c>
      <c r="Q221" s="2">
        <v>45569</v>
      </c>
      <c r="R221" s="55">
        <f>AA221</f>
        <v>3657</v>
      </c>
      <c r="S221" s="59">
        <v>1207</v>
      </c>
      <c r="T221" s="72">
        <v>0</v>
      </c>
      <c r="U221" s="72">
        <v>2016</v>
      </c>
      <c r="V221" s="72">
        <v>434</v>
      </c>
      <c r="AA221" s="68">
        <f>SUM(S221:Z221)</f>
        <v>3657</v>
      </c>
      <c r="AC221" s="19">
        <v>45569</v>
      </c>
      <c r="AD221" s="4">
        <f>F221+R221</f>
        <v>9635.95</v>
      </c>
      <c r="AE221" s="1"/>
    </row>
    <row r="222" spans="1:73" hidden="true">
      <c r="D222" s="9" t="s">
        <v>11</v>
      </c>
      <c r="E222" s="2">
        <v>45570</v>
      </c>
      <c r="F222" s="55">
        <f>N222</f>
        <v>4971.6</v>
      </c>
      <c r="G222" s="69">
        <v>4971.6</v>
      </c>
      <c r="N222" s="22">
        <f>SUM(G222:M222)</f>
        <v>4971.6</v>
      </c>
      <c r="Q222" s="2">
        <v>45570</v>
      </c>
      <c r="R222" s="55">
        <f>AA222</f>
        <v>9163</v>
      </c>
      <c r="S222" s="59">
        <v>2016</v>
      </c>
      <c r="T222" s="72">
        <v>1378</v>
      </c>
      <c r="U222" s="72">
        <v>5005</v>
      </c>
      <c r="V222" s="72">
        <v>764</v>
      </c>
      <c r="AA222" s="68">
        <f>SUM(S222:Z222)</f>
        <v>9163</v>
      </c>
      <c r="AC222" s="19">
        <v>45570</v>
      </c>
      <c r="AD222" s="4">
        <f>F222+R222</f>
        <v>14134.6</v>
      </c>
      <c r="AE222" s="1"/>
    </row>
    <row r="223" spans="1:73" hidden="true">
      <c r="D223" s="9" t="s">
        <v>12</v>
      </c>
      <c r="E223" s="2">
        <v>45571</v>
      </c>
      <c r="F223" s="55">
        <f>N223</f>
        <v>6364.9</v>
      </c>
      <c r="G223" s="69">
        <v>6364.9</v>
      </c>
      <c r="N223" s="22">
        <f>SUM(G223:M223)</f>
        <v>6364.9</v>
      </c>
      <c r="Q223" s="2">
        <v>45571</v>
      </c>
      <c r="R223" s="55">
        <f>AA223</f>
        <v>5963</v>
      </c>
      <c r="S223" s="59">
        <v>1334</v>
      </c>
      <c r="T223" s="72">
        <v>392</v>
      </c>
      <c r="U223" s="72">
        <v>2695</v>
      </c>
      <c r="V223" s="72">
        <v>1542</v>
      </c>
      <c r="AA223" s="68">
        <f>SUM(S223:Z223)</f>
        <v>5963</v>
      </c>
      <c r="AC223" s="19">
        <v>45571</v>
      </c>
      <c r="AD223" s="4">
        <f>F223+R223</f>
        <v>12327.9</v>
      </c>
      <c r="AE223" s="1"/>
    </row>
    <row r="224" spans="1:73" hidden="true">
      <c r="D224" s="9" t="s">
        <v>13</v>
      </c>
      <c r="E224" s="2">
        <v>45572</v>
      </c>
      <c r="F224" s="55">
        <f>N224</f>
        <v>8424.7</v>
      </c>
      <c r="G224" s="69">
        <v>8424.7</v>
      </c>
      <c r="N224" s="22">
        <f>SUM(G224:M224)</f>
        <v>8424.7</v>
      </c>
      <c r="Q224" s="2">
        <v>45572</v>
      </c>
      <c r="R224" s="55">
        <f>AA224</f>
        <v>3951</v>
      </c>
      <c r="S224" s="59">
        <v>939</v>
      </c>
      <c r="T224" s="72">
        <v>196</v>
      </c>
      <c r="U224" s="72">
        <v>2228</v>
      </c>
      <c r="V224" s="72">
        <v>588</v>
      </c>
      <c r="AA224" s="68">
        <f>SUM(S224:Z224)</f>
        <v>3951</v>
      </c>
      <c r="AC224" s="19">
        <v>45572</v>
      </c>
      <c r="AD224" s="4">
        <f>F224+R224</f>
        <v>12375.7</v>
      </c>
      <c r="AE224" s="1"/>
    </row>
    <row r="225" spans="1:73" hidden="true">
      <c r="D225" s="9" t="s">
        <v>14</v>
      </c>
      <c r="E225" s="2">
        <v>45573</v>
      </c>
      <c r="F225" s="55">
        <f>N225</f>
        <v>4715.35</v>
      </c>
      <c r="G225" s="69">
        <v>4715.35</v>
      </c>
      <c r="N225" s="22">
        <f>SUM(G225:M225)</f>
        <v>4715.35</v>
      </c>
      <c r="Q225" s="2">
        <v>45573</v>
      </c>
      <c r="R225" s="55">
        <f>AA225</f>
        <v>2898</v>
      </c>
      <c r="S225" s="59">
        <v>1596</v>
      </c>
      <c r="T225" s="72">
        <v>0</v>
      </c>
      <c r="U225" s="72">
        <v>1104</v>
      </c>
      <c r="V225" s="72">
        <v>198</v>
      </c>
      <c r="AA225" s="68">
        <f>SUM(S225:Z225)</f>
        <v>2898</v>
      </c>
      <c r="AC225" s="19">
        <v>45573</v>
      </c>
      <c r="AD225" s="4">
        <f>F225+R225</f>
        <v>7613.35</v>
      </c>
      <c r="AE225" s="1"/>
    </row>
    <row r="226" spans="1:73" hidden="true">
      <c r="D226" s="9" t="s">
        <v>15</v>
      </c>
      <c r="E226" s="2">
        <v>45574</v>
      </c>
      <c r="F226" s="55">
        <f>N226</f>
        <v>5028.45</v>
      </c>
      <c r="G226" s="69">
        <v>5028.45</v>
      </c>
      <c r="N226" s="22">
        <f>SUM(G226:M226)</f>
        <v>5028.45</v>
      </c>
      <c r="Q226" s="2">
        <v>45574</v>
      </c>
      <c r="R226" s="55">
        <f>AA226</f>
        <v>8681.8</v>
      </c>
      <c r="S226" s="59">
        <v>3965.8</v>
      </c>
      <c r="T226" s="72">
        <v>198</v>
      </c>
      <c r="U226" s="72">
        <v>3732</v>
      </c>
      <c r="V226" s="72">
        <v>786</v>
      </c>
      <c r="AA226" s="68">
        <f>SUM(S226:Z226)</f>
        <v>8681.8</v>
      </c>
      <c r="AC226" s="19">
        <v>45574</v>
      </c>
      <c r="AD226" s="4">
        <f>F226+R226</f>
        <v>13710.25</v>
      </c>
      <c r="AE226" s="1"/>
    </row>
    <row r="227" spans="1:73" hidden="true">
      <c r="D227" s="9" t="s">
        <v>16</v>
      </c>
      <c r="E227" s="2">
        <v>45575</v>
      </c>
      <c r="F227" s="55">
        <f>N227</f>
        <v>4361.25</v>
      </c>
      <c r="G227" s="69">
        <v>4361.25</v>
      </c>
      <c r="N227" s="22">
        <f>SUM(G227:M227)</f>
        <v>4361.25</v>
      </c>
      <c r="Q227" s="2">
        <v>45575</v>
      </c>
      <c r="R227" s="55">
        <f>AA227</f>
        <v>4073</v>
      </c>
      <c r="S227" s="59">
        <v>1519</v>
      </c>
      <c r="T227" s="72">
        <v>0</v>
      </c>
      <c r="U227" s="72">
        <v>2256</v>
      </c>
      <c r="V227" s="72">
        <v>298</v>
      </c>
      <c r="AA227" s="68">
        <f>SUM(S227:Z227)</f>
        <v>4073</v>
      </c>
      <c r="AC227" s="19">
        <v>45575</v>
      </c>
      <c r="AD227" s="4">
        <f>F227+R227</f>
        <v>8434.25</v>
      </c>
      <c r="AE227" s="1"/>
    </row>
    <row r="228" spans="1:73" hidden="true">
      <c r="D228" s="9" t="s">
        <v>10</v>
      </c>
      <c r="E228" s="2">
        <v>45576</v>
      </c>
      <c r="F228" s="55">
        <f>N228</f>
        <v>4341.15</v>
      </c>
      <c r="G228" s="69">
        <v>4341.15</v>
      </c>
      <c r="N228" s="22">
        <f>SUM(G228:M228)</f>
        <v>4341.15</v>
      </c>
      <c r="Q228" s="2">
        <v>45576</v>
      </c>
      <c r="R228" s="55">
        <f>AA228</f>
        <v>4947</v>
      </c>
      <c r="S228" s="59">
        <v>1015</v>
      </c>
      <c r="T228" s="72">
        <v>1312</v>
      </c>
      <c r="U228" s="72">
        <v>1460</v>
      </c>
      <c r="V228" s="72">
        <v>1160</v>
      </c>
      <c r="AA228" s="68">
        <f>SUM(S228:Z228)</f>
        <v>4947</v>
      </c>
      <c r="AC228" s="19">
        <v>45576</v>
      </c>
      <c r="AD228" s="4">
        <f>F228+R228</f>
        <v>9288.15</v>
      </c>
      <c r="AE228" s="1"/>
    </row>
    <row r="229" spans="1:73" hidden="true">
      <c r="D229" s="9" t="s">
        <v>11</v>
      </c>
      <c r="E229" s="2">
        <v>45577</v>
      </c>
      <c r="F229" s="55">
        <f>N229</f>
        <v>4617.5</v>
      </c>
      <c r="G229" s="69">
        <v>4617.5</v>
      </c>
      <c r="N229" s="22">
        <f>SUM(G229:M229)</f>
        <v>4617.5</v>
      </c>
      <c r="Q229" s="2">
        <v>45577</v>
      </c>
      <c r="R229" s="55">
        <f>AA229</f>
        <v>8403.8</v>
      </c>
      <c r="S229" s="59">
        <v>621.9</v>
      </c>
      <c r="T229" s="72">
        <v>2255.9</v>
      </c>
      <c r="U229" s="72">
        <v>2944</v>
      </c>
      <c r="V229" s="72">
        <v>2582</v>
      </c>
      <c r="AA229" s="68">
        <f>SUM(S229:Z229)</f>
        <v>8403.8</v>
      </c>
      <c r="AC229" s="19">
        <v>45577</v>
      </c>
      <c r="AD229" s="4">
        <f>F229+R229</f>
        <v>13021.3</v>
      </c>
      <c r="AE229" s="1"/>
    </row>
    <row r="230" spans="1:73" hidden="true">
      <c r="D230" s="9" t="s">
        <v>12</v>
      </c>
      <c r="E230" s="2">
        <v>45578</v>
      </c>
      <c r="F230" s="55">
        <f>N230</f>
        <v>5124.05</v>
      </c>
      <c r="G230" s="69">
        <v>5124.05</v>
      </c>
      <c r="N230" s="22">
        <f>SUM(G230:M230)</f>
        <v>5124.05</v>
      </c>
      <c r="Q230" s="2">
        <v>45578</v>
      </c>
      <c r="R230" s="55">
        <f>AA230</f>
        <v>6119.5</v>
      </c>
      <c r="S230" s="59">
        <v>1815.9</v>
      </c>
      <c r="T230" s="72">
        <v>553.6</v>
      </c>
      <c r="U230" s="72">
        <v>3094</v>
      </c>
      <c r="V230" s="72">
        <v>656</v>
      </c>
      <c r="AA230" s="68">
        <f>SUM(S230:Z230)</f>
        <v>6119.5</v>
      </c>
      <c r="AC230" s="19">
        <v>45578</v>
      </c>
      <c r="AD230" s="4">
        <f>F230+R230</f>
        <v>11243.55</v>
      </c>
      <c r="AE230" s="1"/>
    </row>
    <row r="231" spans="1:73" hidden="true">
      <c r="D231" s="9" t="s">
        <v>13</v>
      </c>
      <c r="E231" s="2">
        <v>45579</v>
      </c>
      <c r="F231" s="55">
        <f>N231</f>
        <v>3362.6</v>
      </c>
      <c r="G231" s="69">
        <v>3362.6</v>
      </c>
      <c r="N231" s="22">
        <f>SUM(G231:M231)</f>
        <v>3362.6</v>
      </c>
      <c r="Q231" s="2">
        <v>45579</v>
      </c>
      <c r="R231" s="55">
        <f>AA231</f>
        <v>4056</v>
      </c>
      <c r="S231" s="59">
        <v>878</v>
      </c>
      <c r="T231" s="72">
        <v>364</v>
      </c>
      <c r="U231" s="72">
        <v>2030</v>
      </c>
      <c r="V231" s="72">
        <v>784</v>
      </c>
      <c r="AA231" s="68">
        <f>SUM(S231:Z231)</f>
        <v>4056</v>
      </c>
      <c r="AC231" s="19">
        <v>45579</v>
      </c>
      <c r="AD231" s="4">
        <f>F231+R231</f>
        <v>7418.6</v>
      </c>
      <c r="AE231" s="1"/>
    </row>
    <row r="232" spans="1:73" hidden="true">
      <c r="D232" s="9" t="s">
        <v>14</v>
      </c>
      <c r="E232" s="2">
        <v>45580</v>
      </c>
      <c r="F232" s="55">
        <f>N232</f>
        <v>4003.35</v>
      </c>
      <c r="G232" s="69">
        <v>4003.35</v>
      </c>
      <c r="N232" s="22">
        <f>SUM(G232:M232)</f>
        <v>4003.35</v>
      </c>
      <c r="Q232" s="2">
        <v>45580</v>
      </c>
      <c r="R232" s="55">
        <f>AA232</f>
        <v>3615.4</v>
      </c>
      <c r="S232" s="59">
        <v>1729.4</v>
      </c>
      <c r="T232" s="72">
        <v>762</v>
      </c>
      <c r="U232" s="72">
        <v>926</v>
      </c>
      <c r="V232" s="72">
        <v>198</v>
      </c>
      <c r="AA232" s="68">
        <f>SUM(S232:Z232)</f>
        <v>3615.4</v>
      </c>
      <c r="AC232" s="19">
        <v>45580</v>
      </c>
      <c r="AD232" s="4">
        <f>F232+R232</f>
        <v>7618.75</v>
      </c>
      <c r="AE232" s="1"/>
    </row>
    <row r="233" spans="1:73" hidden="true">
      <c r="D233" s="9" t="s">
        <v>15</v>
      </c>
      <c r="E233" s="2">
        <v>45581</v>
      </c>
      <c r="F233" s="55">
        <f>N233</f>
        <v>2964.35</v>
      </c>
      <c r="G233" s="69">
        <v>2964.35</v>
      </c>
      <c r="N233" s="22">
        <f>SUM(G233:M233)</f>
        <v>2964.35</v>
      </c>
      <c r="Q233" s="2">
        <v>45581</v>
      </c>
      <c r="R233" s="55">
        <f>AA233</f>
        <v>5250.5</v>
      </c>
      <c r="S233" s="59">
        <v>1576.5</v>
      </c>
      <c r="T233" s="72">
        <v>532</v>
      </c>
      <c r="U233" s="72">
        <v>986</v>
      </c>
      <c r="V233" s="72">
        <v>2156</v>
      </c>
      <c r="AA233" s="68">
        <f>SUM(S233:Z233)</f>
        <v>5250.5</v>
      </c>
      <c r="AC233" s="19">
        <v>45581</v>
      </c>
      <c r="AD233" s="4">
        <f>F233+R233</f>
        <v>8214.85</v>
      </c>
      <c r="AE233" s="1"/>
    </row>
    <row r="234" spans="1:73" hidden="true">
      <c r="D234" s="9" t="s">
        <v>16</v>
      </c>
      <c r="E234" s="2">
        <v>45582</v>
      </c>
      <c r="F234" s="55">
        <f>N234</f>
        <v>4602.6</v>
      </c>
      <c r="G234" s="69">
        <v>4602.6</v>
      </c>
      <c r="N234" s="22">
        <f>SUM(G234:M234)</f>
        <v>4602.6</v>
      </c>
      <c r="Q234" s="2">
        <v>45582</v>
      </c>
      <c r="R234" s="55">
        <f>AA234</f>
        <v>6931.5</v>
      </c>
      <c r="S234" s="59">
        <v>1597.5</v>
      </c>
      <c r="T234" s="72">
        <v>1106</v>
      </c>
      <c r="U234" s="72">
        <v>3838</v>
      </c>
      <c r="V234" s="72">
        <v>390</v>
      </c>
      <c r="AA234" s="68">
        <f>SUM(S234:Z234)</f>
        <v>6931.5</v>
      </c>
      <c r="AC234" s="19">
        <v>45582</v>
      </c>
      <c r="AD234" s="4">
        <f>F234+R234</f>
        <v>11534.1</v>
      </c>
      <c r="AE234" s="1"/>
    </row>
    <row r="235" spans="1:73" hidden="true">
      <c r="D235" s="9" t="s">
        <v>10</v>
      </c>
      <c r="E235" s="2">
        <v>45583</v>
      </c>
      <c r="F235" s="55">
        <f>N235</f>
        <v>4260.4</v>
      </c>
      <c r="G235" s="69">
        <v>4260.4</v>
      </c>
      <c r="N235" s="22">
        <f>SUM(G235:M235)</f>
        <v>4260.4</v>
      </c>
      <c r="Q235" s="2">
        <v>45583</v>
      </c>
      <c r="R235" s="55">
        <f>AA235</f>
        <v>4666</v>
      </c>
      <c r="S235" s="59">
        <v>2522</v>
      </c>
      <c r="T235" s="72">
        <v>396</v>
      </c>
      <c r="U235" s="72">
        <v>756</v>
      </c>
      <c r="V235" s="72">
        <v>992</v>
      </c>
      <c r="AA235" s="68">
        <f>SUM(S235:Z235)</f>
        <v>4666</v>
      </c>
      <c r="AC235" s="19">
        <v>45583</v>
      </c>
      <c r="AD235" s="4">
        <f>F235+R235</f>
        <v>8926.4</v>
      </c>
      <c r="AE235" s="1"/>
    </row>
    <row r="236" spans="1:73" hidden="true">
      <c r="D236" s="9" t="s">
        <v>11</v>
      </c>
      <c r="E236" s="2">
        <v>45584</v>
      </c>
      <c r="F236" s="55">
        <f>N236</f>
        <v>4268.5</v>
      </c>
      <c r="G236" s="69">
        <v>4268.5</v>
      </c>
      <c r="N236" s="22">
        <f>SUM(G236:M236)</f>
        <v>4268.5</v>
      </c>
      <c r="Q236" s="2">
        <v>45584</v>
      </c>
      <c r="R236" s="55">
        <f>AA236</f>
        <v>9081</v>
      </c>
      <c r="S236" s="59">
        <v>2247</v>
      </c>
      <c r="T236" s="72">
        <v>506</v>
      </c>
      <c r="U236" s="72">
        <v>4646</v>
      </c>
      <c r="V236" s="72">
        <v>1682</v>
      </c>
      <c r="AA236" s="68">
        <f>SUM(S236:Z236)</f>
        <v>9081</v>
      </c>
      <c r="AC236" s="19">
        <v>45584</v>
      </c>
      <c r="AD236" s="4">
        <f>F236+R236</f>
        <v>13349.5</v>
      </c>
      <c r="AE236" s="1"/>
    </row>
    <row r="237" spans="1:73" hidden="true">
      <c r="D237" s="9" t="s">
        <v>12</v>
      </c>
      <c r="E237" s="2">
        <v>45585</v>
      </c>
      <c r="F237" s="55">
        <f>N237</f>
        <v>6741.4</v>
      </c>
      <c r="G237" s="69">
        <v>6741.4</v>
      </c>
      <c r="N237" s="22">
        <f>SUM(G237:M237)</f>
        <v>6741.4</v>
      </c>
      <c r="Q237" s="2">
        <v>45585</v>
      </c>
      <c r="R237" s="55">
        <f>AA237</f>
        <v>7146.9</v>
      </c>
      <c r="S237" s="59">
        <v>2191</v>
      </c>
      <c r="T237" s="72">
        <v>533.9</v>
      </c>
      <c r="U237" s="72">
        <v>4028</v>
      </c>
      <c r="V237" s="72">
        <v>394</v>
      </c>
      <c r="AA237" s="68">
        <f>SUM(S237:Z237)</f>
        <v>7146.9</v>
      </c>
      <c r="AC237" s="19">
        <v>45585</v>
      </c>
      <c r="AD237" s="4">
        <f>F237+R237</f>
        <v>13888.3</v>
      </c>
      <c r="AE237" s="1"/>
    </row>
    <row r="238" spans="1:73" hidden="true">
      <c r="D238" s="9" t="s">
        <v>13</v>
      </c>
      <c r="E238" s="2">
        <v>45586</v>
      </c>
      <c r="F238" s="55">
        <f>N238</f>
        <v>3604.1</v>
      </c>
      <c r="G238" s="69">
        <v>3604.1</v>
      </c>
      <c r="N238" s="22">
        <f>SUM(G238:M238)</f>
        <v>3604.1</v>
      </c>
      <c r="Q238" s="2">
        <v>45586</v>
      </c>
      <c r="R238" s="55">
        <f>AA238</f>
        <v>1919</v>
      </c>
      <c r="S238" s="59">
        <v>1087</v>
      </c>
      <c r="T238" s="72">
        <v>138</v>
      </c>
      <c r="U238" s="72">
        <v>694</v>
      </c>
      <c r="V238" s="72">
        <v>0</v>
      </c>
      <c r="AA238" s="68">
        <f>SUM(S238:Z238)</f>
        <v>1919</v>
      </c>
      <c r="AC238" s="19">
        <v>45586</v>
      </c>
      <c r="AD238" s="4">
        <f>F238+R238</f>
        <v>5523.1</v>
      </c>
      <c r="AE238" s="1"/>
    </row>
    <row r="239" spans="1:73" hidden="true">
      <c r="D239" s="9" t="s">
        <v>14</v>
      </c>
      <c r="E239" s="2">
        <v>45587</v>
      </c>
      <c r="F239" s="55">
        <f>N239</f>
        <v>2888.65</v>
      </c>
      <c r="G239" s="69">
        <v>2888.65</v>
      </c>
      <c r="N239" s="22">
        <f>SUM(G239:M239)</f>
        <v>2888.65</v>
      </c>
      <c r="Q239" s="2">
        <v>45587</v>
      </c>
      <c r="R239" s="55">
        <f>AA239</f>
        <v>4354</v>
      </c>
      <c r="S239" s="59">
        <v>756</v>
      </c>
      <c r="T239" s="72">
        <v>0</v>
      </c>
      <c r="U239" s="72">
        <v>2874</v>
      </c>
      <c r="V239" s="72">
        <v>724</v>
      </c>
      <c r="AA239" s="68">
        <f>SUM(S239:Z239)</f>
        <v>4354</v>
      </c>
      <c r="AC239" s="19">
        <v>45587</v>
      </c>
      <c r="AD239" s="4">
        <f>F239+R239</f>
        <v>7242.65</v>
      </c>
      <c r="AE239" s="1"/>
    </row>
    <row r="240" spans="1:73" hidden="true">
      <c r="D240" s="9" t="s">
        <v>15</v>
      </c>
      <c r="E240" s="2">
        <v>45588</v>
      </c>
      <c r="F240" s="55">
        <f>N240</f>
        <v>3380</v>
      </c>
      <c r="G240" s="69">
        <v>3380</v>
      </c>
      <c r="N240" s="22">
        <f>SUM(G240:M240)</f>
        <v>3380</v>
      </c>
      <c r="Q240" s="2">
        <v>45588</v>
      </c>
      <c r="R240" s="55">
        <f>AA240</f>
        <v>2642</v>
      </c>
      <c r="S240" s="59">
        <v>740</v>
      </c>
      <c r="T240" s="72">
        <v>0</v>
      </c>
      <c r="U240" s="72">
        <v>1206</v>
      </c>
      <c r="V240" s="72">
        <v>696</v>
      </c>
      <c r="AA240" s="68">
        <f>SUM(S240:Z240)</f>
        <v>2642</v>
      </c>
      <c r="AC240" s="19">
        <v>45588</v>
      </c>
      <c r="AD240" s="4">
        <f>F240+R240</f>
        <v>6022</v>
      </c>
      <c r="AE240" s="1"/>
    </row>
    <row r="241" spans="1:73" hidden="true">
      <c r="D241" s="9" t="s">
        <v>16</v>
      </c>
      <c r="E241" s="2">
        <v>45589</v>
      </c>
      <c r="F241" s="55">
        <f>N241</f>
        <v>3285.95</v>
      </c>
      <c r="G241" s="69">
        <v>3285.95</v>
      </c>
      <c r="N241" s="22">
        <f>SUM(G241:M241)</f>
        <v>3285.95</v>
      </c>
      <c r="Q241" s="2">
        <v>45589</v>
      </c>
      <c r="R241" s="55">
        <f>AA241</f>
        <v>3455.8</v>
      </c>
      <c r="S241" s="59">
        <v>364</v>
      </c>
      <c r="T241" s="72">
        <v>981.8</v>
      </c>
      <c r="U241" s="72">
        <v>1722</v>
      </c>
      <c r="V241" s="72">
        <v>388</v>
      </c>
      <c r="AA241" s="68">
        <f>SUM(S241:Z241)</f>
        <v>3455.8</v>
      </c>
      <c r="AC241" s="19">
        <v>45589</v>
      </c>
      <c r="AD241" s="4">
        <f>F241+R241</f>
        <v>6741.75</v>
      </c>
      <c r="AE241" s="1"/>
    </row>
    <row r="242" spans="1:73" hidden="true">
      <c r="D242" s="9" t="s">
        <v>10</v>
      </c>
      <c r="E242" s="2">
        <v>45590</v>
      </c>
      <c r="F242" s="55">
        <f>N242</f>
        <v>4596.55</v>
      </c>
      <c r="G242" s="69">
        <v>4596.55</v>
      </c>
      <c r="N242" s="22">
        <f>SUM(G242:M242)</f>
        <v>4596.55</v>
      </c>
      <c r="Q242" s="2">
        <v>45590</v>
      </c>
      <c r="R242" s="55">
        <f>AA242</f>
        <v>5850.9</v>
      </c>
      <c r="S242" s="59">
        <v>2114</v>
      </c>
      <c r="T242" s="72">
        <v>1107.9</v>
      </c>
      <c r="U242" s="72">
        <v>2235</v>
      </c>
      <c r="V242" s="72">
        <v>394</v>
      </c>
      <c r="AA242" s="68">
        <f>SUM(S242:Z242)</f>
        <v>5850.9</v>
      </c>
      <c r="AC242" s="19">
        <v>45590</v>
      </c>
      <c r="AD242" s="4">
        <f>F242+R242</f>
        <v>10447.45</v>
      </c>
      <c r="AE242" s="1"/>
    </row>
    <row r="243" spans="1:73" hidden="true">
      <c r="D243" s="9" t="s">
        <v>11</v>
      </c>
      <c r="E243" s="2">
        <v>45591</v>
      </c>
      <c r="F243" s="55">
        <f>N243</f>
        <v>4412.05</v>
      </c>
      <c r="G243" s="69">
        <v>4412.05</v>
      </c>
      <c r="N243" s="22">
        <f>SUM(G243:M243)</f>
        <v>4412.05</v>
      </c>
      <c r="Q243" s="2">
        <v>45591</v>
      </c>
      <c r="R243" s="55">
        <f>AA243</f>
        <v>8673.7</v>
      </c>
      <c r="S243" s="59">
        <v>2005.8</v>
      </c>
      <c r="T243" s="72">
        <v>1585.9</v>
      </c>
      <c r="U243" s="72">
        <v>4292</v>
      </c>
      <c r="V243" s="72">
        <v>790</v>
      </c>
      <c r="AA243" s="68">
        <f>SUM(S243:Z243)</f>
        <v>8673.7</v>
      </c>
      <c r="AC243" s="19">
        <v>45591</v>
      </c>
      <c r="AD243" s="4">
        <f>F243+R243</f>
        <v>13085.75</v>
      </c>
      <c r="AE243" s="1"/>
    </row>
    <row r="244" spans="1:73" hidden="true">
      <c r="D244" s="9" t="s">
        <v>12</v>
      </c>
      <c r="E244" s="2">
        <v>45592</v>
      </c>
      <c r="F244" s="55">
        <f>N244</f>
        <v>4943.45</v>
      </c>
      <c r="G244" s="69">
        <v>4943.45</v>
      </c>
      <c r="N244" s="22">
        <f>SUM(G244:M244)</f>
        <v>4943.45</v>
      </c>
      <c r="Q244" s="2">
        <v>45592</v>
      </c>
      <c r="R244" s="55">
        <f>AA244</f>
        <v>8152.2</v>
      </c>
      <c r="S244" s="59">
        <v>3770.6</v>
      </c>
      <c r="T244" s="72">
        <v>959.6</v>
      </c>
      <c r="U244" s="72">
        <v>3226</v>
      </c>
      <c r="V244" s="72">
        <v>196</v>
      </c>
      <c r="AA244" s="68">
        <f>SUM(S244:Z244)</f>
        <v>8152.2</v>
      </c>
      <c r="AC244" s="19">
        <v>45592</v>
      </c>
      <c r="AD244" s="4">
        <f>F244+R244</f>
        <v>13095.65</v>
      </c>
      <c r="AE244" s="1"/>
    </row>
    <row r="245" spans="1:73" hidden="true">
      <c r="D245" s="9" t="s">
        <v>13</v>
      </c>
      <c r="E245" s="2">
        <v>45593</v>
      </c>
      <c r="F245" s="55">
        <f>N245</f>
        <v>2968.2</v>
      </c>
      <c r="G245" s="69">
        <v>2968.2</v>
      </c>
      <c r="N245" s="22">
        <f>SUM(G245:M245)</f>
        <v>2968.2</v>
      </c>
      <c r="Q245" s="2">
        <v>45593</v>
      </c>
      <c r="R245" s="55">
        <f>AA245</f>
        <v>6008.7</v>
      </c>
      <c r="S245" s="59">
        <v>481</v>
      </c>
      <c r="T245" s="72">
        <v>1705.7</v>
      </c>
      <c r="U245" s="72">
        <v>2442</v>
      </c>
      <c r="V245" s="72">
        <v>1380</v>
      </c>
      <c r="AA245" s="68">
        <f>SUM(S245:Z245)</f>
        <v>6008.7</v>
      </c>
      <c r="AC245" s="19">
        <v>45593</v>
      </c>
      <c r="AD245" s="4">
        <f>F245+R245</f>
        <v>8976.9</v>
      </c>
      <c r="AE245" s="1"/>
    </row>
    <row r="246" spans="1:73" hidden="true">
      <c r="D246" s="9" t="s">
        <v>14</v>
      </c>
      <c r="E246" s="2">
        <v>45594</v>
      </c>
      <c r="F246" s="55">
        <f>N246</f>
        <v>2683.2</v>
      </c>
      <c r="G246" s="69">
        <v>2683.2</v>
      </c>
      <c r="N246" s="22">
        <f>SUM(G246:M246)</f>
        <v>2683.2</v>
      </c>
      <c r="Q246" s="2">
        <v>45594</v>
      </c>
      <c r="R246" s="55">
        <f>AA246</f>
        <v>6194</v>
      </c>
      <c r="S246" s="59">
        <v>1796</v>
      </c>
      <c r="T246" s="72">
        <v>168</v>
      </c>
      <c r="U246" s="72">
        <v>3174</v>
      </c>
      <c r="V246" s="72">
        <v>1056</v>
      </c>
      <c r="AA246" s="68">
        <f>SUM(S246:Z246)</f>
        <v>6194</v>
      </c>
      <c r="AC246" s="19">
        <v>45594</v>
      </c>
      <c r="AD246" s="4">
        <f>F246+R246</f>
        <v>8877.2</v>
      </c>
      <c r="AE246" s="1"/>
    </row>
    <row r="247" spans="1:73" hidden="true">
      <c r="D247" s="9" t="s">
        <v>15</v>
      </c>
      <c r="E247" s="2">
        <v>45595</v>
      </c>
      <c r="F247" s="55">
        <f>N247</f>
        <v>3288.1</v>
      </c>
      <c r="G247" s="69">
        <v>3288.1</v>
      </c>
      <c r="N247" s="22">
        <f>SUM(G247:M247)</f>
        <v>3288.1</v>
      </c>
      <c r="Q247" s="2">
        <v>45595</v>
      </c>
      <c r="R247" s="55">
        <v>6500</v>
      </c>
      <c r="S247" s="59">
        <v>1275.6</v>
      </c>
      <c r="T247" s="72">
        <v>466</v>
      </c>
      <c r="U247" s="72">
        <v>2056</v>
      </c>
      <c r="V247" s="72">
        <v>1890</v>
      </c>
      <c r="AA247" s="68">
        <f>SUM(S247:Z247)</f>
        <v>5687.6</v>
      </c>
      <c r="AC247" s="19">
        <v>45595</v>
      </c>
      <c r="AD247" s="4">
        <f>F247+R247</f>
        <v>9788.1</v>
      </c>
      <c r="AE247" s="1"/>
    </row>
    <row r="248" spans="1:73" hidden="true" s="13" customFormat="1">
      <c r="D248" s="13" t="s">
        <v>16</v>
      </c>
      <c r="E248" s="10">
        <v>45596</v>
      </c>
      <c r="F248" s="55">
        <f>N248</f>
        <v>4588.7</v>
      </c>
      <c r="G248" s="63">
        <v>4588.7</v>
      </c>
      <c r="I248" s="119"/>
      <c r="N248" s="30">
        <f>SUM(G248:M248)</f>
        <v>4588.7</v>
      </c>
      <c r="Q248" s="10">
        <v>45596</v>
      </c>
      <c r="R248" s="57">
        <v>6500</v>
      </c>
      <c r="S248" s="63">
        <v>2072</v>
      </c>
      <c r="T248" s="74">
        <v>922</v>
      </c>
      <c r="U248" s="74">
        <v>2356</v>
      </c>
      <c r="V248" s="74">
        <v>5152</v>
      </c>
      <c r="Y248" s="16"/>
      <c r="Z248" s="16"/>
      <c r="AA248" s="75">
        <f>SUM(S248:Z248)</f>
        <v>10502</v>
      </c>
      <c r="AC248" s="20">
        <v>45596</v>
      </c>
      <c r="AD248" s="11">
        <f>F248+R248</f>
        <v>11088.7</v>
      </c>
      <c r="AE248" s="16"/>
      <c r="BJ248" s="16"/>
    </row>
    <row r="249" spans="1:73" hidden="true">
      <c r="D249" s="9" t="s">
        <v>10</v>
      </c>
      <c r="E249" s="2">
        <v>45597</v>
      </c>
      <c r="F249" s="55">
        <f>N249</f>
        <v>2531.6</v>
      </c>
      <c r="G249" s="59">
        <v>2531.6</v>
      </c>
      <c r="N249" s="22">
        <f>SUM(G249:M249)</f>
        <v>2531.6</v>
      </c>
      <c r="Q249" s="2">
        <v>45597</v>
      </c>
      <c r="R249" s="55">
        <f>AA249</f>
        <v>2249.9</v>
      </c>
      <c r="S249" s="59">
        <v>1563.9</v>
      </c>
      <c r="T249" s="59">
        <v>0</v>
      </c>
      <c r="U249" s="59">
        <v>288</v>
      </c>
      <c r="V249" s="59">
        <v>398</v>
      </c>
      <c r="AA249" s="68">
        <f>SUM(S249:Z249)</f>
        <v>2249.9</v>
      </c>
      <c r="AC249" s="19">
        <v>45597</v>
      </c>
      <c r="AD249" s="4">
        <f>F249+R249</f>
        <v>4781.5</v>
      </c>
      <c r="AE249" s="1"/>
    </row>
    <row r="250" spans="1:73" hidden="true">
      <c r="D250" s="9" t="s">
        <v>11</v>
      </c>
      <c r="E250" s="2">
        <v>45598</v>
      </c>
      <c r="F250" s="55">
        <f>N250</f>
        <v>4373.85</v>
      </c>
      <c r="G250" s="59">
        <v>4373.85</v>
      </c>
      <c r="N250" s="22">
        <f>SUM(G250:M250)</f>
        <v>4373.85</v>
      </c>
      <c r="Q250" s="2">
        <v>45598</v>
      </c>
      <c r="R250" s="55">
        <f>AA250</f>
        <v>11112</v>
      </c>
      <c r="S250" s="59">
        <v>3762</v>
      </c>
      <c r="T250" s="59">
        <v>592</v>
      </c>
      <c r="U250" s="59">
        <v>5032</v>
      </c>
      <c r="V250" s="59">
        <v>1726</v>
      </c>
      <c r="AA250" s="68">
        <f>SUM(S250:Z250)</f>
        <v>11112</v>
      </c>
      <c r="AC250" s="19">
        <v>45598</v>
      </c>
      <c r="AD250" s="4">
        <f>F250+R250</f>
        <v>15485.85</v>
      </c>
      <c r="AE250" s="1"/>
    </row>
    <row r="251" spans="1:73" hidden="true">
      <c r="D251" s="9" t="s">
        <v>12</v>
      </c>
      <c r="E251" s="2">
        <v>45599</v>
      </c>
      <c r="F251" s="55">
        <f>N251</f>
        <v>5001.7</v>
      </c>
      <c r="G251" s="59">
        <v>5001.7</v>
      </c>
      <c r="N251" s="22">
        <f>SUM(G251:M251)</f>
        <v>5001.7</v>
      </c>
      <c r="Q251" s="2">
        <v>45599</v>
      </c>
      <c r="R251" s="55">
        <f>AA251</f>
        <v>7916</v>
      </c>
      <c r="S251" s="59">
        <v>1872</v>
      </c>
      <c r="T251" s="59">
        <v>108</v>
      </c>
      <c r="U251" s="59">
        <v>3382</v>
      </c>
      <c r="V251" s="59">
        <v>2554</v>
      </c>
      <c r="AA251" s="68">
        <f>SUM(S251:Z251)</f>
        <v>7916</v>
      </c>
      <c r="AC251" s="19">
        <v>45599</v>
      </c>
      <c r="AD251" s="4">
        <f>F251+R251</f>
        <v>12917.7</v>
      </c>
      <c r="AE251" s="1"/>
    </row>
    <row r="252" spans="1:73" hidden="true">
      <c r="D252" s="9" t="s">
        <v>13</v>
      </c>
      <c r="E252" s="2">
        <v>45600</v>
      </c>
      <c r="F252" s="55">
        <f>N252</f>
        <v>4101.9</v>
      </c>
      <c r="G252" s="59">
        <v>4101.9</v>
      </c>
      <c r="N252" s="22">
        <f>SUM(G252:M252)</f>
        <v>4101.9</v>
      </c>
      <c r="Q252" s="2">
        <v>45600</v>
      </c>
      <c r="R252" s="55">
        <f>AA252</f>
        <v>7552</v>
      </c>
      <c r="S252" s="59">
        <v>1629</v>
      </c>
      <c r="T252" s="59">
        <v>662</v>
      </c>
      <c r="U252" s="59">
        <v>2426</v>
      </c>
      <c r="V252" s="59">
        <v>2835</v>
      </c>
      <c r="AA252" s="68">
        <f>SUM(S252:Z252)</f>
        <v>7552</v>
      </c>
      <c r="AC252" s="19">
        <v>45600</v>
      </c>
      <c r="AD252" s="4">
        <f>F252+R252</f>
        <v>11653.9</v>
      </c>
      <c r="AE252" s="1"/>
    </row>
    <row r="253" spans="1:73" hidden="true">
      <c r="D253" s="9" t="s">
        <v>14</v>
      </c>
      <c r="E253" s="2">
        <v>45601</v>
      </c>
      <c r="F253" s="55">
        <f>N253</f>
        <v>4744.2</v>
      </c>
      <c r="G253" s="59">
        <v>4744.2</v>
      </c>
      <c r="N253" s="22">
        <f>SUM(G253:M253)</f>
        <v>4744.2</v>
      </c>
      <c r="Q253" s="2">
        <v>45601</v>
      </c>
      <c r="R253" s="55">
        <f>AA253</f>
        <v>3747.9</v>
      </c>
      <c r="S253" s="59">
        <v>778</v>
      </c>
      <c r="T253" s="59">
        <v>395.9</v>
      </c>
      <c r="U253" s="59">
        <v>956</v>
      </c>
      <c r="V253" s="59">
        <v>1618</v>
      </c>
      <c r="AA253" s="68">
        <f>SUM(S253:Z253)</f>
        <v>3747.9</v>
      </c>
      <c r="AC253" s="19">
        <v>45601</v>
      </c>
      <c r="AD253" s="4">
        <f>F253+R253</f>
        <v>8492.1</v>
      </c>
      <c r="AE253" s="1"/>
    </row>
    <row r="254" spans="1:73" hidden="true">
      <c r="D254" s="9" t="s">
        <v>15</v>
      </c>
      <c r="E254" s="2">
        <v>45602</v>
      </c>
      <c r="F254" s="55">
        <f>N254</f>
        <v>4530.05</v>
      </c>
      <c r="G254" s="59">
        <v>4530.05</v>
      </c>
      <c r="N254" s="22">
        <f>SUM(G254:M254)</f>
        <v>4530.05</v>
      </c>
      <c r="Q254" s="2">
        <v>45602</v>
      </c>
      <c r="R254" s="55">
        <f>AA254</f>
        <v>1766</v>
      </c>
      <c r="S254" s="59">
        <v>786</v>
      </c>
      <c r="T254" s="59">
        <v>0</v>
      </c>
      <c r="U254" s="59">
        <v>606</v>
      </c>
      <c r="V254" s="59">
        <v>374</v>
      </c>
      <c r="AA254" s="68">
        <f>SUM(S254:Z254)</f>
        <v>1766</v>
      </c>
      <c r="AC254" s="19">
        <v>45602</v>
      </c>
      <c r="AD254" s="4">
        <f>F254+R254</f>
        <v>6296.05</v>
      </c>
      <c r="AE254" s="1"/>
    </row>
    <row r="255" spans="1:73" hidden="true">
      <c r="D255" s="9" t="s">
        <v>16</v>
      </c>
      <c r="E255" s="2">
        <v>45603</v>
      </c>
      <c r="F255" s="55">
        <f>N255</f>
        <v>5059.6</v>
      </c>
      <c r="G255" s="59">
        <v>5059.6</v>
      </c>
      <c r="N255" s="22">
        <f>SUM(G255:M255)</f>
        <v>5059.6</v>
      </c>
      <c r="Q255" s="2">
        <v>45603</v>
      </c>
      <c r="R255" s="55">
        <f>AA255</f>
        <v>2905.7</v>
      </c>
      <c r="S255" s="59">
        <v>910</v>
      </c>
      <c r="T255" s="59">
        <v>89.7</v>
      </c>
      <c r="U255" s="59">
        <v>1710</v>
      </c>
      <c r="V255" s="59">
        <v>196</v>
      </c>
      <c r="AA255" s="68">
        <f>SUM(S255:Z255)</f>
        <v>2905.7</v>
      </c>
      <c r="AC255" s="19">
        <v>45603</v>
      </c>
      <c r="AD255" s="4">
        <f>F255+R255</f>
        <v>7965.3</v>
      </c>
      <c r="AE255" s="1"/>
    </row>
    <row r="256" spans="1:73" hidden="true">
      <c r="D256" s="9" t="s">
        <v>10</v>
      </c>
      <c r="E256" s="2">
        <v>45604</v>
      </c>
      <c r="F256" s="55">
        <f>N256</f>
        <v>5217.14</v>
      </c>
      <c r="G256" s="59">
        <v>5217.14</v>
      </c>
      <c r="N256" s="22">
        <f>SUM(G256:M256)</f>
        <v>5217.14</v>
      </c>
      <c r="Q256" s="2">
        <v>45604</v>
      </c>
      <c r="R256" s="55">
        <f>AA256</f>
        <v>6697</v>
      </c>
      <c r="S256" s="59">
        <v>2198</v>
      </c>
      <c r="T256" s="59">
        <v>0</v>
      </c>
      <c r="U256" s="59">
        <v>2373</v>
      </c>
      <c r="V256" s="59">
        <v>2126</v>
      </c>
      <c r="AA256" s="68">
        <f>SUM(S256:Z256)</f>
        <v>6697</v>
      </c>
      <c r="AC256" s="19">
        <v>45604</v>
      </c>
      <c r="AD256" s="4">
        <f>F256+R256</f>
        <v>11914.14</v>
      </c>
      <c r="AE256" s="1"/>
    </row>
    <row r="257" spans="1:73" hidden="true">
      <c r="D257" s="9" t="s">
        <v>11</v>
      </c>
      <c r="E257" s="2">
        <v>45605</v>
      </c>
      <c r="F257" s="55">
        <f>N257</f>
        <v>3275.4</v>
      </c>
      <c r="G257" s="59">
        <v>3275.4</v>
      </c>
      <c r="N257" s="22">
        <f>SUM(G257:M257)</f>
        <v>3275.4</v>
      </c>
      <c r="Q257" s="2">
        <v>45605</v>
      </c>
      <c r="R257" s="55">
        <f>AA257</f>
        <v>7805.9</v>
      </c>
      <c r="S257" s="59">
        <v>3092</v>
      </c>
      <c r="T257" s="59">
        <v>463.9</v>
      </c>
      <c r="U257" s="59">
        <v>2476</v>
      </c>
      <c r="V257" s="59">
        <v>1774</v>
      </c>
      <c r="AA257" s="68">
        <f>SUM(S257:Z257)</f>
        <v>7805.9</v>
      </c>
      <c r="AC257" s="19">
        <v>45605</v>
      </c>
      <c r="AD257" s="4">
        <f>F257+R257</f>
        <v>11081.3</v>
      </c>
      <c r="AE257" s="1"/>
    </row>
    <row r="258" spans="1:73" hidden="true">
      <c r="D258" s="9" t="s">
        <v>12</v>
      </c>
      <c r="E258" s="2">
        <v>45606</v>
      </c>
      <c r="F258" s="55">
        <f>N258</f>
        <v>4008.35</v>
      </c>
      <c r="G258" s="59">
        <v>4008.35</v>
      </c>
      <c r="N258" s="22">
        <f>SUM(G258:M258)</f>
        <v>4008.35</v>
      </c>
      <c r="Q258" s="2">
        <v>45606</v>
      </c>
      <c r="R258" s="55">
        <f>AA258</f>
        <v>5353.5</v>
      </c>
      <c r="S258" s="59">
        <v>1176</v>
      </c>
      <c r="T258" s="59">
        <v>1335.5</v>
      </c>
      <c r="U258" s="59">
        <v>2298</v>
      </c>
      <c r="V258" s="59">
        <v>544</v>
      </c>
      <c r="AA258" s="68">
        <f>SUM(S258:Z258)</f>
        <v>5353.5</v>
      </c>
      <c r="AC258" s="19">
        <v>45606</v>
      </c>
      <c r="AD258" s="4">
        <f>F258+R258</f>
        <v>9361.85</v>
      </c>
      <c r="AE258" s="1"/>
    </row>
    <row r="259" spans="1:73" hidden="true">
      <c r="D259" s="9" t="s">
        <v>13</v>
      </c>
      <c r="E259" s="2">
        <v>45607</v>
      </c>
      <c r="F259" s="55">
        <f>N259</f>
        <v>4230.65</v>
      </c>
      <c r="G259" s="59">
        <v>4230.65</v>
      </c>
      <c r="N259" s="22">
        <f>SUM(G259:M259)</f>
        <v>4230.65</v>
      </c>
      <c r="Q259" s="2">
        <v>45607</v>
      </c>
      <c r="R259" s="55">
        <f>AA259</f>
        <v>12001.3</v>
      </c>
      <c r="S259" s="59">
        <v>4020</v>
      </c>
      <c r="T259" s="59">
        <v>875.3</v>
      </c>
      <c r="U259" s="59">
        <v>4672</v>
      </c>
      <c r="V259" s="59">
        <v>2434</v>
      </c>
      <c r="AA259" s="68">
        <f>SUM(S259:Z259)</f>
        <v>12001.3</v>
      </c>
      <c r="AC259" s="19">
        <v>45607</v>
      </c>
      <c r="AD259" s="4">
        <f>F259+R259</f>
        <v>16231.95</v>
      </c>
      <c r="AE259" s="1"/>
    </row>
    <row r="260" spans="1:73" hidden="true">
      <c r="D260" s="9" t="s">
        <v>14</v>
      </c>
      <c r="E260" s="2">
        <v>45608</v>
      </c>
      <c r="F260" s="55">
        <f>N260</f>
        <v>4607.1</v>
      </c>
      <c r="G260" s="59">
        <v>4607.1</v>
      </c>
      <c r="N260" s="22">
        <f>SUM(G260:M260)</f>
        <v>4607.1</v>
      </c>
      <c r="Q260" s="2">
        <v>45608</v>
      </c>
      <c r="R260" s="55">
        <f>AA260</f>
        <v>6507.7</v>
      </c>
      <c r="S260" s="59">
        <v>2572</v>
      </c>
      <c r="T260" s="59">
        <v>425.7</v>
      </c>
      <c r="U260" s="59">
        <v>854</v>
      </c>
      <c r="V260" s="59">
        <v>2656</v>
      </c>
      <c r="AA260" s="68">
        <f>SUM(S260:Z260)</f>
        <v>6507.7</v>
      </c>
      <c r="AC260" s="19">
        <v>45608</v>
      </c>
      <c r="AD260" s="4">
        <f>F260+R260</f>
        <v>11114.8</v>
      </c>
      <c r="AE260" s="1"/>
    </row>
    <row r="261" spans="1:73" hidden="true">
      <c r="D261" s="9" t="s">
        <v>15</v>
      </c>
      <c r="E261" s="2">
        <v>45609</v>
      </c>
      <c r="F261" s="55">
        <f>N261</f>
        <v>4985.4</v>
      </c>
      <c r="G261" s="59">
        <v>4985.4</v>
      </c>
      <c r="N261" s="22">
        <f>SUM(G261:M261)</f>
        <v>4985.4</v>
      </c>
      <c r="Q261" s="2">
        <v>45609</v>
      </c>
      <c r="R261" s="55">
        <f>AA261</f>
        <v>3981.6</v>
      </c>
      <c r="S261" s="59">
        <v>572</v>
      </c>
      <c r="T261" s="59">
        <v>119.6</v>
      </c>
      <c r="U261" s="59">
        <v>2018</v>
      </c>
      <c r="V261" s="59">
        <v>1272</v>
      </c>
      <c r="AA261" s="68">
        <f>SUM(S261:Z261)</f>
        <v>3981.6</v>
      </c>
      <c r="AC261" s="19">
        <v>45609</v>
      </c>
      <c r="AD261" s="4">
        <f>F261+R261</f>
        <v>8967</v>
      </c>
      <c r="AE261" s="1"/>
    </row>
    <row r="262" spans="1:73" hidden="true">
      <c r="D262" s="9" t="s">
        <v>16</v>
      </c>
      <c r="E262" s="2">
        <v>45610</v>
      </c>
      <c r="F262" s="55">
        <f>N262</f>
        <v>3861.75</v>
      </c>
      <c r="G262" s="59">
        <v>3861.75</v>
      </c>
      <c r="N262" s="22">
        <f>SUM(G262:M262)</f>
        <v>3861.75</v>
      </c>
      <c r="Q262" s="2">
        <v>45610</v>
      </c>
      <c r="R262" s="55">
        <f>AA262</f>
        <v>4441.9</v>
      </c>
      <c r="S262" s="59">
        <v>2806</v>
      </c>
      <c r="T262" s="59">
        <v>385.9</v>
      </c>
      <c r="U262" s="59">
        <v>28</v>
      </c>
      <c r="V262" s="59">
        <v>1222</v>
      </c>
      <c r="AA262" s="68">
        <f>SUM(S262:Z262)</f>
        <v>4441.9</v>
      </c>
      <c r="AC262" s="19">
        <v>45610</v>
      </c>
      <c r="AD262" s="4">
        <f>F262+R262</f>
        <v>8303.65</v>
      </c>
      <c r="AE262" s="1"/>
    </row>
    <row r="263" spans="1:73" hidden="true">
      <c r="D263" s="9" t="s">
        <v>10</v>
      </c>
      <c r="E263" s="2">
        <v>45611</v>
      </c>
      <c r="F263" s="55">
        <f>N263</f>
        <v>4539.55</v>
      </c>
      <c r="G263" s="59">
        <v>4539.55</v>
      </c>
      <c r="N263" s="22">
        <f>SUM(G263:M263)</f>
        <v>4539.55</v>
      </c>
      <c r="Q263" s="2">
        <v>45611</v>
      </c>
      <c r="R263" s="55">
        <f>AA263</f>
        <v>7684</v>
      </c>
      <c r="S263" s="59">
        <v>3430</v>
      </c>
      <c r="T263" s="59">
        <v>364</v>
      </c>
      <c r="U263" s="59">
        <v>3154</v>
      </c>
      <c r="V263" s="59">
        <v>736</v>
      </c>
      <c r="AA263" s="68">
        <f>SUM(S263:Z263)</f>
        <v>7684</v>
      </c>
      <c r="AC263" s="19">
        <v>45611</v>
      </c>
      <c r="AD263" s="4">
        <f>F263+R263</f>
        <v>12223.55</v>
      </c>
      <c r="AE263" s="1"/>
    </row>
    <row r="264" spans="1:73" hidden="true">
      <c r="D264" s="9" t="s">
        <v>11</v>
      </c>
      <c r="E264" s="2">
        <v>45612</v>
      </c>
      <c r="F264" s="55">
        <f>N264</f>
        <v>6294.8</v>
      </c>
      <c r="G264" s="59">
        <v>6294.8</v>
      </c>
      <c r="N264" s="22">
        <f>SUM(G264:M264)</f>
        <v>6294.8</v>
      </c>
      <c r="Q264" s="2">
        <v>45612</v>
      </c>
      <c r="R264" s="55">
        <f>AA264</f>
        <v>2947.9</v>
      </c>
      <c r="S264" s="59">
        <v>928</v>
      </c>
      <c r="T264" s="59">
        <v>413.9</v>
      </c>
      <c r="U264" s="59">
        <v>596</v>
      </c>
      <c r="V264" s="59">
        <v>1010</v>
      </c>
      <c r="AA264" s="68">
        <f>SUM(S264:Z264)</f>
        <v>2947.9</v>
      </c>
      <c r="AC264" s="19">
        <v>45612</v>
      </c>
      <c r="AD264" s="4">
        <f>F264+R264</f>
        <v>9242.7</v>
      </c>
      <c r="AE264" s="1"/>
    </row>
    <row r="265" spans="1:73" hidden="true">
      <c r="D265" s="9" t="s">
        <v>12</v>
      </c>
      <c r="E265" s="2">
        <v>45613</v>
      </c>
      <c r="F265" s="55">
        <f>N265</f>
        <v>6983.15</v>
      </c>
      <c r="G265" s="59">
        <v>6983.15</v>
      </c>
      <c r="N265" s="22">
        <f>SUM(G265:M265)</f>
        <v>6983.15</v>
      </c>
      <c r="Q265" s="2">
        <v>45613</v>
      </c>
      <c r="R265" s="55">
        <f>AA265</f>
        <v>8261</v>
      </c>
      <c r="S265" s="59">
        <v>3243</v>
      </c>
      <c r="T265" s="59">
        <v>196</v>
      </c>
      <c r="U265" s="59">
        <v>3740</v>
      </c>
      <c r="V265" s="59">
        <v>1082</v>
      </c>
      <c r="AA265" s="68">
        <f>SUM(S265:Z265)</f>
        <v>8261</v>
      </c>
      <c r="AC265" s="19">
        <v>45613</v>
      </c>
      <c r="AD265" s="4">
        <f>F265+R265</f>
        <v>15244.15</v>
      </c>
      <c r="AE265" s="1"/>
    </row>
    <row r="266" spans="1:73" hidden="true">
      <c r="D266" s="9" t="s">
        <v>13</v>
      </c>
      <c r="E266" s="2">
        <v>45614</v>
      </c>
      <c r="F266" s="55">
        <f>N266</f>
        <v>4367.45</v>
      </c>
      <c r="G266" s="59">
        <v>4367.45</v>
      </c>
      <c r="N266" s="22">
        <f>SUM(G266:M266)</f>
        <v>4367.45</v>
      </c>
      <c r="Q266" s="2">
        <v>45614</v>
      </c>
      <c r="R266" s="55">
        <f>AA266</f>
        <v>4006.9</v>
      </c>
      <c r="S266" s="59">
        <v>949</v>
      </c>
      <c r="T266" s="59">
        <v>441.9</v>
      </c>
      <c r="U266" s="59">
        <v>1990</v>
      </c>
      <c r="V266" s="59">
        <v>626</v>
      </c>
      <c r="AA266" s="68">
        <f>SUM(S266:Z266)</f>
        <v>4006.9</v>
      </c>
      <c r="AC266" s="19">
        <v>45614</v>
      </c>
      <c r="AD266" s="4">
        <f>F266+R266</f>
        <v>8374.35</v>
      </c>
      <c r="AE266" s="1"/>
    </row>
    <row r="267" spans="1:73" hidden="true">
      <c r="D267" s="9" t="s">
        <v>14</v>
      </c>
      <c r="E267" s="2">
        <v>45615</v>
      </c>
      <c r="F267" s="55">
        <f>N267</f>
        <v>3243.5</v>
      </c>
      <c r="G267" s="59">
        <v>3243.5</v>
      </c>
      <c r="N267" s="22">
        <f>SUM(G267:M267)</f>
        <v>3243.5</v>
      </c>
      <c r="Q267" s="2">
        <v>45615</v>
      </c>
      <c r="R267" s="55">
        <f>AA267</f>
        <v>4875.8</v>
      </c>
      <c r="S267" s="59">
        <v>1631.9</v>
      </c>
      <c r="T267" s="59">
        <v>49.9</v>
      </c>
      <c r="U267" s="59">
        <v>1930</v>
      </c>
      <c r="V267" s="59">
        <v>1264</v>
      </c>
      <c r="AA267" s="68">
        <f>SUM(S267:Z267)</f>
        <v>4875.8</v>
      </c>
      <c r="AC267" s="19">
        <v>45615</v>
      </c>
      <c r="AD267" s="4">
        <f>F267+R267</f>
        <v>8119.3</v>
      </c>
      <c r="AE267" s="1"/>
    </row>
    <row r="268" spans="1:73" hidden="true">
      <c r="D268" s="9" t="s">
        <v>15</v>
      </c>
      <c r="E268" s="2">
        <v>45616</v>
      </c>
      <c r="F268" s="55">
        <f>N268</f>
        <v>3747.35</v>
      </c>
      <c r="G268" s="59">
        <v>3747.35</v>
      </c>
      <c r="N268" s="22">
        <f>SUM(G268:M268)</f>
        <v>3747.35</v>
      </c>
      <c r="Q268" s="2">
        <v>45616</v>
      </c>
      <c r="R268" s="55">
        <f>AA268</f>
        <v>6374</v>
      </c>
      <c r="S268" s="59">
        <v>1058</v>
      </c>
      <c r="T268" s="59">
        <v>560</v>
      </c>
      <c r="U268" s="59">
        <v>2928</v>
      </c>
      <c r="V268" s="59">
        <v>1828</v>
      </c>
      <c r="AA268" s="68">
        <f>SUM(S268:Z268)</f>
        <v>6374</v>
      </c>
      <c r="AC268" s="19">
        <v>45616</v>
      </c>
      <c r="AD268" s="4">
        <f>F268+R268</f>
        <v>10121.35</v>
      </c>
      <c r="AE268" s="1"/>
    </row>
    <row r="269" spans="1:73" hidden="true">
      <c r="D269" s="9" t="s">
        <v>16</v>
      </c>
      <c r="E269" s="2">
        <v>45617</v>
      </c>
      <c r="F269" s="55">
        <f>N269</f>
        <v>4556</v>
      </c>
      <c r="G269" s="59">
        <v>4556</v>
      </c>
      <c r="N269" s="22">
        <f>SUM(G269:M269)</f>
        <v>4556</v>
      </c>
      <c r="Q269" s="2">
        <v>45617</v>
      </c>
      <c r="R269" s="55">
        <f>AA269</f>
        <v>4359</v>
      </c>
      <c r="S269" s="59">
        <v>1761</v>
      </c>
      <c r="T269" s="59">
        <v>364</v>
      </c>
      <c r="U269" s="59">
        <v>1916</v>
      </c>
      <c r="V269" s="59">
        <v>318</v>
      </c>
      <c r="AA269" s="68">
        <f>SUM(S269:Z269)</f>
        <v>4359</v>
      </c>
      <c r="AC269" s="19">
        <v>45617</v>
      </c>
      <c r="AD269" s="4">
        <f>F269+R269</f>
        <v>8915</v>
      </c>
      <c r="AE269" s="1"/>
    </row>
    <row r="270" spans="1:73" hidden="true">
      <c r="D270" s="9" t="s">
        <v>10</v>
      </c>
      <c r="E270" s="2">
        <v>45618</v>
      </c>
      <c r="F270" s="55">
        <f>N270</f>
        <v>4020.4</v>
      </c>
      <c r="G270" s="59">
        <v>4020.4</v>
      </c>
      <c r="N270" s="22">
        <f>SUM(G270:M270)</f>
        <v>4020.4</v>
      </c>
      <c r="Q270" s="2">
        <v>45618</v>
      </c>
      <c r="R270" s="55">
        <f>AA270</f>
        <v>4127.9</v>
      </c>
      <c r="S270" s="59">
        <v>1692</v>
      </c>
      <c r="T270" s="59">
        <v>49.9</v>
      </c>
      <c r="U270" s="59">
        <v>1252</v>
      </c>
      <c r="V270" s="59">
        <v>1134</v>
      </c>
      <c r="AA270" s="68">
        <f>SUM(S270:Z270)</f>
        <v>4127.9</v>
      </c>
      <c r="AC270" s="19">
        <v>45618</v>
      </c>
      <c r="AD270" s="4">
        <f>F270+R270</f>
        <v>8148.3</v>
      </c>
      <c r="AE270" s="1"/>
    </row>
    <row r="271" spans="1:73" hidden="true">
      <c r="D271" s="9" t="s">
        <v>11</v>
      </c>
      <c r="E271" s="2">
        <v>45619</v>
      </c>
      <c r="F271" s="55">
        <f>N271</f>
        <v>5530.75</v>
      </c>
      <c r="G271" s="59">
        <v>5530.75</v>
      </c>
      <c r="N271" s="22">
        <f>SUM(G271:M271)</f>
        <v>5530.75</v>
      </c>
      <c r="Q271" s="2">
        <v>45619</v>
      </c>
      <c r="R271" s="55">
        <f>AA271</f>
        <v>8694</v>
      </c>
      <c r="S271" s="59">
        <v>1038</v>
      </c>
      <c r="T271" s="59">
        <v>394</v>
      </c>
      <c r="U271" s="59">
        <v>4128</v>
      </c>
      <c r="V271" s="59">
        <v>3134</v>
      </c>
      <c r="AA271" s="68">
        <f>SUM(S271:Z271)</f>
        <v>8694</v>
      </c>
      <c r="AC271" s="19">
        <v>45619</v>
      </c>
      <c r="AD271" s="4">
        <f>F271+R271</f>
        <v>14224.75</v>
      </c>
      <c r="AE271" s="1"/>
    </row>
    <row r="272" spans="1:73" hidden="true">
      <c r="D272" s="9" t="s">
        <v>12</v>
      </c>
      <c r="E272" s="2">
        <v>45620</v>
      </c>
      <c r="F272" s="55">
        <f>N272</f>
        <v>4900.95</v>
      </c>
      <c r="G272" s="59">
        <v>4900.95</v>
      </c>
      <c r="N272" s="22">
        <f>SUM(G272:M272)</f>
        <v>4900.95</v>
      </c>
      <c r="Q272" s="2">
        <v>45620</v>
      </c>
      <c r="R272" s="55">
        <f>AA272</f>
        <v>8558.9</v>
      </c>
      <c r="S272" s="59">
        <v>973.9</v>
      </c>
      <c r="T272" s="59">
        <v>0</v>
      </c>
      <c r="U272" s="59">
        <v>2023</v>
      </c>
      <c r="V272" s="59">
        <v>5562</v>
      </c>
      <c r="AA272" s="68">
        <f>SUM(S272:Z272)</f>
        <v>8558.9</v>
      </c>
      <c r="AC272" s="19">
        <v>45620</v>
      </c>
      <c r="AD272" s="4">
        <f>F272+R272</f>
        <v>13459.85</v>
      </c>
      <c r="AE272" s="1"/>
    </row>
    <row r="273" spans="1:73" hidden="true">
      <c r="D273" s="9" t="s">
        <v>13</v>
      </c>
      <c r="E273" s="2">
        <v>45621</v>
      </c>
      <c r="F273" s="55">
        <f>N273</f>
        <v>6076.7</v>
      </c>
      <c r="G273" s="59">
        <v>6076.7</v>
      </c>
      <c r="N273" s="22">
        <f>SUM(G273:M273)</f>
        <v>6076.7</v>
      </c>
      <c r="Q273" s="2">
        <v>45621</v>
      </c>
      <c r="R273" s="55">
        <f>AA273</f>
        <v>7027</v>
      </c>
      <c r="S273" s="59">
        <v>3530</v>
      </c>
      <c r="T273" s="59">
        <v>196</v>
      </c>
      <c r="U273" s="59">
        <v>1665</v>
      </c>
      <c r="V273" s="59">
        <v>1636</v>
      </c>
      <c r="AA273" s="68">
        <f>SUM(S273:Z273)</f>
        <v>7027</v>
      </c>
      <c r="AC273" s="19">
        <v>45621</v>
      </c>
      <c r="AD273" s="4">
        <f>F273+R273</f>
        <v>13103.7</v>
      </c>
      <c r="AE273" s="1"/>
    </row>
    <row r="274" spans="1:73" hidden="true">
      <c r="D274" s="9" t="s">
        <v>14</v>
      </c>
      <c r="E274" s="2">
        <v>45622</v>
      </c>
      <c r="F274" s="55">
        <f>N274</f>
        <v>4602.6</v>
      </c>
      <c r="G274" s="59">
        <v>4602.6</v>
      </c>
      <c r="N274" s="22">
        <f>SUM(G274:M274)</f>
        <v>4602.6</v>
      </c>
      <c r="Q274" s="2">
        <v>45622</v>
      </c>
      <c r="R274" s="55">
        <f>AA274</f>
        <v>15986</v>
      </c>
      <c r="S274" s="59">
        <v>4314</v>
      </c>
      <c r="T274" s="59">
        <v>4954</v>
      </c>
      <c r="U274" s="59">
        <v>3910</v>
      </c>
      <c r="V274" s="59">
        <v>2808</v>
      </c>
      <c r="AA274" s="68">
        <f>SUM(S274:Z274)</f>
        <v>15986</v>
      </c>
      <c r="AC274" s="19">
        <v>45622</v>
      </c>
      <c r="AD274" s="4">
        <f>F274+R274</f>
        <v>20588.6</v>
      </c>
      <c r="AE274" s="1"/>
    </row>
    <row r="275" spans="1:73" hidden="true">
      <c r="D275" s="9" t="s">
        <v>15</v>
      </c>
      <c r="E275" s="2">
        <v>45623</v>
      </c>
      <c r="F275" s="55">
        <f>N275</f>
        <v>3853.2</v>
      </c>
      <c r="G275" s="59">
        <v>3853.2</v>
      </c>
      <c r="N275" s="22">
        <f>SUM(G275:M275)</f>
        <v>3853.2</v>
      </c>
      <c r="Q275" s="2">
        <v>45623</v>
      </c>
      <c r="R275" s="55">
        <f>AA275</f>
        <v>5604.8</v>
      </c>
      <c r="S275" s="59">
        <v>2871</v>
      </c>
      <c r="T275" s="59">
        <v>827.8</v>
      </c>
      <c r="U275" s="59">
        <v>1906</v>
      </c>
      <c r="V275" s="59">
        <v>0</v>
      </c>
      <c r="AA275" s="68">
        <f>SUM(S275:Z275)</f>
        <v>5604.8</v>
      </c>
      <c r="AC275" s="19">
        <v>45623</v>
      </c>
      <c r="AD275" s="4">
        <f>F275+R275</f>
        <v>9458</v>
      </c>
      <c r="AE275" s="1"/>
    </row>
    <row r="276" spans="1:73" hidden="true">
      <c r="D276" s="9" t="s">
        <v>16</v>
      </c>
      <c r="E276" s="2">
        <v>45624</v>
      </c>
      <c r="F276" s="55">
        <f>N276</f>
        <v>3841.65</v>
      </c>
      <c r="G276" s="59">
        <v>3841.65</v>
      </c>
      <c r="N276" s="22">
        <f>SUM(G276:M276)</f>
        <v>3841.65</v>
      </c>
      <c r="Q276" s="2">
        <v>45624</v>
      </c>
      <c r="R276" s="55">
        <f>AA276</f>
        <v>4297.9</v>
      </c>
      <c r="S276" s="59">
        <v>924</v>
      </c>
      <c r="T276" s="59">
        <v>217.9</v>
      </c>
      <c r="U276" s="59">
        <v>2662</v>
      </c>
      <c r="V276" s="59">
        <v>494</v>
      </c>
      <c r="AA276" s="68">
        <f>SUM(S276:Z276)</f>
        <v>4297.9</v>
      </c>
      <c r="AC276" s="19">
        <v>45624</v>
      </c>
      <c r="AD276" s="4">
        <f>F276+R276</f>
        <v>8139.55</v>
      </c>
      <c r="AE276" s="1"/>
    </row>
    <row r="277" spans="1:73" hidden="true">
      <c r="D277" s="9" t="s">
        <v>10</v>
      </c>
      <c r="E277" s="2">
        <v>45625</v>
      </c>
      <c r="F277" s="55">
        <f>N277</f>
        <v>4552.65</v>
      </c>
      <c r="G277" s="59">
        <v>4552.65</v>
      </c>
      <c r="N277" s="22">
        <f>SUM(G277:M277)</f>
        <v>4552.65</v>
      </c>
      <c r="Q277" s="2">
        <v>45625</v>
      </c>
      <c r="R277" s="55">
        <f>AA277</f>
        <v>5747.9</v>
      </c>
      <c r="S277" s="59">
        <v>1333.9</v>
      </c>
      <c r="T277" s="59">
        <v>1124</v>
      </c>
      <c r="U277" s="59">
        <v>1372</v>
      </c>
      <c r="V277" s="59">
        <v>1918</v>
      </c>
      <c r="AA277" s="68">
        <f>SUM(S277:Z277)</f>
        <v>5747.9</v>
      </c>
      <c r="AC277" s="19">
        <v>45625</v>
      </c>
      <c r="AD277" s="4">
        <f>F277+R277</f>
        <v>10300.55</v>
      </c>
      <c r="AE277" s="1"/>
    </row>
    <row r="278" spans="1:73" hidden="true" s="13" customFormat="1">
      <c r="D278" s="13" t="s">
        <v>11</v>
      </c>
      <c r="E278" s="10">
        <v>45626</v>
      </c>
      <c r="F278" s="55">
        <f>N278</f>
        <v>5527.05</v>
      </c>
      <c r="G278" s="63">
        <v>5527.05</v>
      </c>
      <c r="I278" s="119"/>
      <c r="N278" s="30">
        <f>SUM(G278:M278)</f>
        <v>5527.05</v>
      </c>
      <c r="Q278" s="10">
        <v>45626</v>
      </c>
      <c r="R278" s="55">
        <f>AA278</f>
        <v>10887</v>
      </c>
      <c r="S278" s="63">
        <v>1254</v>
      </c>
      <c r="T278" s="63">
        <v>694</v>
      </c>
      <c r="U278" s="63">
        <v>3869</v>
      </c>
      <c r="V278" s="63">
        <v>5070</v>
      </c>
      <c r="Y278" s="16"/>
      <c r="Z278" s="16"/>
      <c r="AA278" s="75">
        <f>SUM(S278:Z278)</f>
        <v>10887</v>
      </c>
      <c r="AC278" s="20">
        <v>45626</v>
      </c>
      <c r="AD278" s="11">
        <f>F278+R278</f>
        <v>16414.05</v>
      </c>
      <c r="AE278" s="16"/>
      <c r="BJ278" s="16"/>
    </row>
    <row r="279" spans="1:73" hidden="true">
      <c r="D279" s="9" t="s">
        <v>12</v>
      </c>
      <c r="E279" s="2">
        <v>45627</v>
      </c>
      <c r="F279" s="55">
        <f>N279</f>
        <v>5999.35</v>
      </c>
      <c r="G279" s="49">
        <v>5999.35</v>
      </c>
      <c r="N279" s="22">
        <f>SUM(G279:M279)</f>
        <v>5999.35</v>
      </c>
      <c r="Q279" s="2">
        <v>45627</v>
      </c>
      <c r="R279" s="55">
        <v>9650</v>
      </c>
      <c r="S279" s="49">
        <v>1686</v>
      </c>
      <c r="T279" s="89">
        <v>694</v>
      </c>
      <c r="U279" s="89">
        <v>4958</v>
      </c>
      <c r="V279" s="89">
        <v>2312</v>
      </c>
      <c r="AA279" s="68">
        <f>SUM(S279:Z279)</f>
        <v>9650</v>
      </c>
      <c r="AC279" s="19">
        <v>45627</v>
      </c>
      <c r="AD279" s="4">
        <f>F279+R279</f>
        <v>15649.35</v>
      </c>
      <c r="AE279" s="1"/>
    </row>
    <row r="280" spans="1:73" hidden="true">
      <c r="D280" s="9" t="s">
        <v>13</v>
      </c>
      <c r="E280" s="2">
        <v>45628</v>
      </c>
      <c r="F280" s="55">
        <v>5150.45</v>
      </c>
      <c r="G280" s="49">
        <v>5150.45</v>
      </c>
      <c r="N280" s="22">
        <f>SUM(G280:M280)</f>
        <v>5150.45</v>
      </c>
      <c r="Q280" s="2">
        <v>45628</v>
      </c>
      <c r="R280" s="3">
        <v>10524</v>
      </c>
      <c r="S280" s="90">
        <v>2846</v>
      </c>
      <c r="T280" s="89">
        <v>534</v>
      </c>
      <c r="U280" s="89">
        <v>5842</v>
      </c>
      <c r="V280" s="89">
        <v>1302</v>
      </c>
      <c r="AA280" s="68">
        <f>SUM(S280:Z280)</f>
        <v>10524</v>
      </c>
      <c r="AC280" s="19">
        <v>45628</v>
      </c>
      <c r="AD280" s="4">
        <f>F280+R280</f>
        <v>15674.45</v>
      </c>
      <c r="AE280" s="1"/>
    </row>
    <row r="281" spans="1:73" hidden="true">
      <c r="D281" s="9" t="s">
        <v>14</v>
      </c>
      <c r="E281" s="2">
        <v>45629</v>
      </c>
      <c r="F281" s="55">
        <v>2993.3</v>
      </c>
      <c r="G281" s="49">
        <v>2993.3</v>
      </c>
      <c r="N281" s="22">
        <f>SUM(G281:M281)</f>
        <v>2993.3</v>
      </c>
      <c r="Q281" s="2">
        <v>45629</v>
      </c>
      <c r="R281" s="3">
        <v>5329</v>
      </c>
      <c r="S281" s="90">
        <v>1027</v>
      </c>
      <c r="T281" s="89">
        <v>562</v>
      </c>
      <c r="U281" s="89">
        <v>1588</v>
      </c>
      <c r="V281" s="89">
        <v>2152</v>
      </c>
      <c r="AA281" s="68">
        <f>SUM(S281:Z281)</f>
        <v>5329</v>
      </c>
      <c r="AC281" s="19">
        <v>45629</v>
      </c>
      <c r="AD281" s="4">
        <f>F281+R281</f>
        <v>8322.3</v>
      </c>
      <c r="AE281" s="1"/>
    </row>
    <row r="282" spans="1:73" hidden="true">
      <c r="D282" s="9" t="s">
        <v>15</v>
      </c>
      <c r="E282" s="2">
        <v>45630</v>
      </c>
      <c r="F282" s="55">
        <v>4879.65</v>
      </c>
      <c r="G282" s="49">
        <v>4879.65</v>
      </c>
      <c r="N282" s="22">
        <f>SUM(G282:M282)</f>
        <v>4879.65</v>
      </c>
      <c r="Q282" s="2">
        <v>45630</v>
      </c>
      <c r="R282" s="3">
        <v>7033</v>
      </c>
      <c r="S282" s="90">
        <v>2905</v>
      </c>
      <c r="T282" s="89">
        <v>364</v>
      </c>
      <c r="U282" s="89">
        <v>2290</v>
      </c>
      <c r="V282" s="89">
        <v>1474</v>
      </c>
      <c r="AA282" s="68">
        <f>SUM(S282:Z282)</f>
        <v>7033</v>
      </c>
      <c r="AC282" s="19">
        <v>45630</v>
      </c>
      <c r="AD282" s="4">
        <f>F282+R282</f>
        <v>11912.65</v>
      </c>
      <c r="AE282" s="1"/>
    </row>
    <row r="283" spans="1:73" hidden="true">
      <c r="D283" s="9" t="s">
        <v>16</v>
      </c>
      <c r="E283" s="2">
        <v>45631</v>
      </c>
      <c r="F283" s="55">
        <v>3223.4</v>
      </c>
      <c r="G283" s="91">
        <v>3223.4</v>
      </c>
      <c r="N283" s="22">
        <f>SUM(G283:M283)</f>
        <v>3223.4</v>
      </c>
      <c r="Q283" s="2">
        <v>45631</v>
      </c>
      <c r="R283" s="3">
        <v>7642</v>
      </c>
      <c r="S283" s="90">
        <v>2815</v>
      </c>
      <c r="T283" s="89">
        <v>168</v>
      </c>
      <c r="U283" s="89">
        <v>2744</v>
      </c>
      <c r="V283" s="89">
        <v>1916</v>
      </c>
      <c r="AA283" s="68">
        <f>SUM(S283:Z283)</f>
        <v>7643</v>
      </c>
      <c r="AC283" s="19">
        <v>45631</v>
      </c>
      <c r="AD283" s="4">
        <f>F283+R283</f>
        <v>10865.4</v>
      </c>
      <c r="AE283" s="1"/>
    </row>
    <row r="284" spans="1:73" hidden="true">
      <c r="D284" s="9" t="s">
        <v>10</v>
      </c>
      <c r="E284" s="2">
        <v>45632</v>
      </c>
      <c r="F284" s="55">
        <v>5599.8</v>
      </c>
      <c r="G284" s="91">
        <v>5599.8</v>
      </c>
      <c r="N284" s="22">
        <f>SUM(G284:M284)</f>
        <v>5599.8</v>
      </c>
      <c r="Q284" s="2">
        <v>45632</v>
      </c>
      <c r="R284" s="3">
        <v>8904</v>
      </c>
      <c r="S284" s="49">
        <v>3297</v>
      </c>
      <c r="T284" s="89">
        <v>772</v>
      </c>
      <c r="U284" s="89">
        <v>2216</v>
      </c>
      <c r="V284" s="89">
        <v>2619</v>
      </c>
      <c r="AA284" s="68">
        <f>SUM(S284:Z284)</f>
        <v>8904</v>
      </c>
      <c r="AC284" s="19">
        <v>45632</v>
      </c>
      <c r="AD284" s="4">
        <f>F284+R284</f>
        <v>14503.8</v>
      </c>
      <c r="AE284" s="1"/>
    </row>
    <row r="285" spans="1:73" hidden="true">
      <c r="D285" s="9" t="s">
        <v>11</v>
      </c>
      <c r="E285" s="2">
        <v>45633</v>
      </c>
      <c r="F285" s="55">
        <v>4584</v>
      </c>
      <c r="G285" s="91">
        <v>4584</v>
      </c>
      <c r="N285" s="22">
        <f>SUM(G285:M285)</f>
        <v>4584</v>
      </c>
      <c r="Q285" s="2">
        <v>45633</v>
      </c>
      <c r="R285" s="3">
        <v>9941</v>
      </c>
      <c r="S285" s="49">
        <v>2928</v>
      </c>
      <c r="T285" s="89">
        <v>637</v>
      </c>
      <c r="U285" s="89">
        <v>1452</v>
      </c>
      <c r="V285" s="89">
        <v>4924</v>
      </c>
      <c r="AA285" s="68">
        <f>SUM(S285:Z285)</f>
        <v>9941</v>
      </c>
      <c r="AC285" s="19">
        <v>45633</v>
      </c>
      <c r="AD285" s="4">
        <f>F285+R285</f>
        <v>14525</v>
      </c>
      <c r="AE285" s="1"/>
    </row>
    <row r="286" spans="1:73" hidden="true">
      <c r="D286" s="9" t="s">
        <v>12</v>
      </c>
      <c r="E286" s="2">
        <v>45634</v>
      </c>
      <c r="F286" s="55">
        <v>3744.95</v>
      </c>
      <c r="G286" s="49">
        <v>3744.95</v>
      </c>
      <c r="N286" s="22">
        <f>SUM(G286:M286)</f>
        <v>3744.95</v>
      </c>
      <c r="Q286" s="2">
        <v>45634</v>
      </c>
      <c r="R286" s="3">
        <v>7879</v>
      </c>
      <c r="S286" s="49">
        <v>3151</v>
      </c>
      <c r="T286" s="89">
        <v>612</v>
      </c>
      <c r="U286" s="89">
        <v>2098</v>
      </c>
      <c r="V286" s="89">
        <v>2018</v>
      </c>
      <c r="AA286" s="68">
        <f>SUM(S286:Z286)</f>
        <v>7879</v>
      </c>
      <c r="AC286" s="19">
        <v>45634</v>
      </c>
      <c r="AD286" s="4">
        <f>F286+R286</f>
        <v>11623.95</v>
      </c>
      <c r="AE286" s="1"/>
    </row>
    <row r="287" spans="1:73" hidden="true">
      <c r="D287" s="9" t="s">
        <v>13</v>
      </c>
      <c r="E287" s="2">
        <v>45635</v>
      </c>
      <c r="F287" s="55">
        <v>4095.45</v>
      </c>
      <c r="G287" s="91">
        <v>4095.45</v>
      </c>
      <c r="N287" s="22">
        <f>SUM(G287:M287)</f>
        <v>4095.45</v>
      </c>
      <c r="Q287" s="2">
        <v>45635</v>
      </c>
      <c r="R287" s="3">
        <v>5639</v>
      </c>
      <c r="S287" s="90">
        <v>2546</v>
      </c>
      <c r="T287" s="89">
        <v>119</v>
      </c>
      <c r="U287" s="89">
        <v>2054</v>
      </c>
      <c r="V287" s="89">
        <v>920</v>
      </c>
      <c r="AA287" s="68">
        <f>SUM(S287:Z287)</f>
        <v>5639</v>
      </c>
      <c r="AC287" s="19">
        <v>45635</v>
      </c>
      <c r="AD287" s="4">
        <f>F287+R287</f>
        <v>9734.45</v>
      </c>
      <c r="AE287" s="1"/>
    </row>
    <row r="288" spans="1:73" hidden="true">
      <c r="D288" s="9" t="s">
        <v>14</v>
      </c>
      <c r="E288" s="2">
        <v>45636</v>
      </c>
      <c r="F288" s="55">
        <v>3391.4</v>
      </c>
      <c r="G288" s="91">
        <v>3391.4</v>
      </c>
      <c r="N288" s="22">
        <f>SUM(G288:M288)</f>
        <v>3391.4</v>
      </c>
      <c r="Q288" s="2">
        <v>45636</v>
      </c>
      <c r="R288" s="3">
        <v>6149</v>
      </c>
      <c r="S288" s="91">
        <v>2367.1</v>
      </c>
      <c r="T288" s="89">
        <v>196</v>
      </c>
      <c r="U288" s="89">
        <v>1660</v>
      </c>
      <c r="V288" s="89">
        <v>1926</v>
      </c>
      <c r="AA288" s="68">
        <f>SUM(S288:Z288)</f>
        <v>6149.1</v>
      </c>
      <c r="AC288" s="19">
        <v>45636</v>
      </c>
      <c r="AD288" s="4">
        <f>F288+R288</f>
        <v>9540.4</v>
      </c>
      <c r="AE288" s="1"/>
    </row>
    <row r="289" spans="1:73" hidden="true">
      <c r="D289" s="9" t="s">
        <v>15</v>
      </c>
      <c r="E289" s="2">
        <v>45637</v>
      </c>
      <c r="F289" s="55">
        <v>3908.8</v>
      </c>
      <c r="G289" s="91">
        <v>3908.8</v>
      </c>
      <c r="N289" s="22">
        <f>SUM(G289:M289)</f>
        <v>3908.8</v>
      </c>
      <c r="Q289" s="2">
        <v>45637</v>
      </c>
      <c r="R289" s="3">
        <v>6074</v>
      </c>
      <c r="S289" s="90">
        <v>2632</v>
      </c>
      <c r="T289" s="89">
        <v>196</v>
      </c>
      <c r="U289" s="90">
        <v>1182</v>
      </c>
      <c r="V289" s="90">
        <v>2064</v>
      </c>
      <c r="AA289" s="68">
        <f>SUM(S289:Z289)</f>
        <v>6074</v>
      </c>
      <c r="AC289" s="19">
        <v>45637</v>
      </c>
      <c r="AD289" s="4">
        <f>F289+R289</f>
        <v>9982.8</v>
      </c>
      <c r="AE289" s="1"/>
    </row>
    <row r="290" spans="1:73" hidden="true">
      <c r="D290" s="9" t="s">
        <v>16</v>
      </c>
      <c r="E290" s="2">
        <v>45638</v>
      </c>
      <c r="F290" s="55">
        <v>3273.2</v>
      </c>
      <c r="G290" s="91">
        <v>3273.2</v>
      </c>
      <c r="N290" s="22">
        <f>SUM(G290:M290)</f>
        <v>3273.2</v>
      </c>
      <c r="Q290" s="2">
        <v>45638</v>
      </c>
      <c r="R290" s="3">
        <v>4522</v>
      </c>
      <c r="S290" s="49">
        <v>1916</v>
      </c>
      <c r="T290" s="89">
        <v>385.9</v>
      </c>
      <c r="U290" s="111">
        <v>1362</v>
      </c>
      <c r="V290" s="49">
        <v>858</v>
      </c>
      <c r="AA290" s="68">
        <f>SUM(S290:Z290)</f>
        <v>4521.9</v>
      </c>
      <c r="AC290" s="19">
        <v>45638</v>
      </c>
      <c r="AD290" s="4">
        <f>F290+R290</f>
        <v>7795.2</v>
      </c>
      <c r="AE290" s="1"/>
    </row>
    <row r="291" spans="1:73" hidden="true">
      <c r="D291" s="9" t="s">
        <v>10</v>
      </c>
      <c r="E291" s="2">
        <v>45639</v>
      </c>
      <c r="F291" s="55">
        <v>4119.55</v>
      </c>
      <c r="G291" s="91">
        <v>4119.55</v>
      </c>
      <c r="N291" s="22">
        <f>SUM(G291:M291)</f>
        <v>4119.55</v>
      </c>
      <c r="Q291" s="2">
        <v>45639</v>
      </c>
      <c r="R291" s="3">
        <v>6276</v>
      </c>
      <c r="S291" s="49">
        <v>3222</v>
      </c>
      <c r="T291" s="89">
        <v>0</v>
      </c>
      <c r="U291" s="111">
        <v>3054</v>
      </c>
      <c r="V291" s="49">
        <v>0</v>
      </c>
      <c r="AA291" s="68">
        <f>SUM(S291:Z291)</f>
        <v>6276</v>
      </c>
      <c r="AC291" s="19">
        <v>45639</v>
      </c>
      <c r="AD291" s="4">
        <f>F291+R291</f>
        <v>10395.55</v>
      </c>
      <c r="AE291" s="1"/>
    </row>
    <row r="292" spans="1:73" hidden="true">
      <c r="D292" s="9" t="s">
        <v>11</v>
      </c>
      <c r="E292" s="2">
        <v>45640</v>
      </c>
      <c r="F292" s="55">
        <v>4097.2</v>
      </c>
      <c r="G292" s="49">
        <v>4097.2</v>
      </c>
      <c r="N292" s="22">
        <f>SUM(G292:M292)</f>
        <v>4097.2</v>
      </c>
      <c r="Q292" s="2">
        <v>45640</v>
      </c>
      <c r="R292" s="3">
        <v>5771</v>
      </c>
      <c r="S292" s="49">
        <v>2802.9</v>
      </c>
      <c r="T292" s="89">
        <v>49.9</v>
      </c>
      <c r="U292" s="111">
        <v>2526</v>
      </c>
      <c r="V292" s="49">
        <v>392</v>
      </c>
      <c r="AA292" s="68">
        <f>SUM(S292:Z292)</f>
        <v>5770.8</v>
      </c>
      <c r="AC292" s="19">
        <v>45640</v>
      </c>
      <c r="AD292" s="4">
        <f>F292+R292</f>
        <v>9868.2</v>
      </c>
      <c r="AE292" s="1"/>
    </row>
    <row r="293" spans="1:73" hidden="true">
      <c r="D293" s="9" t="s">
        <v>12</v>
      </c>
      <c r="E293" s="2">
        <v>45641</v>
      </c>
      <c r="F293" s="55">
        <v>4874</v>
      </c>
      <c r="G293" s="49">
        <v>4874</v>
      </c>
      <c r="N293" s="22">
        <f>SUM(G293:M293)</f>
        <v>4874</v>
      </c>
      <c r="Q293" s="2">
        <v>45641</v>
      </c>
      <c r="R293" s="3">
        <v>7275</v>
      </c>
      <c r="S293" s="49">
        <v>1581</v>
      </c>
      <c r="T293" s="89">
        <v>560</v>
      </c>
      <c r="U293" s="111">
        <v>2576</v>
      </c>
      <c r="V293" s="49">
        <v>2558</v>
      </c>
      <c r="AA293" s="68">
        <f>SUM(S293:Z293)</f>
        <v>7275</v>
      </c>
      <c r="AC293" s="19">
        <v>45641</v>
      </c>
      <c r="AD293" s="4">
        <f>F293+R293</f>
        <v>12149</v>
      </c>
      <c r="AE293" s="1"/>
    </row>
    <row r="294" spans="1:73" hidden="true">
      <c r="D294" s="9" t="s">
        <v>13</v>
      </c>
      <c r="E294" s="2">
        <v>45642</v>
      </c>
      <c r="F294" s="55">
        <v>5260.3</v>
      </c>
      <c r="G294" s="91">
        <v>5260.3</v>
      </c>
      <c r="N294" s="22">
        <f>SUM(G294:M294)</f>
        <v>5260.3</v>
      </c>
      <c r="Q294" s="2">
        <v>45642</v>
      </c>
      <c r="R294" s="3">
        <v>7986</v>
      </c>
      <c r="S294" s="91">
        <v>2230.2</v>
      </c>
      <c r="T294" s="35">
        <v>1686</v>
      </c>
      <c r="U294" s="35">
        <v>2450</v>
      </c>
      <c r="V294" s="35">
        <v>1620</v>
      </c>
      <c r="AA294" s="68">
        <f>SUM(S294:Z294)</f>
        <v>7986.2</v>
      </c>
      <c r="AC294" s="19">
        <v>45642</v>
      </c>
      <c r="AD294" s="4">
        <f>F294+R294</f>
        <v>13246.3</v>
      </c>
      <c r="AE294" s="1"/>
    </row>
    <row r="295" spans="1:73" hidden="true">
      <c r="D295" s="9" t="s">
        <v>14</v>
      </c>
      <c r="E295" s="2">
        <v>45643</v>
      </c>
      <c r="F295" s="55">
        <v>3261.9</v>
      </c>
      <c r="G295" s="91">
        <v>3261.9</v>
      </c>
      <c r="N295" s="22">
        <f>SUM(G295:M295)</f>
        <v>3261.9</v>
      </c>
      <c r="Q295" s="2">
        <v>45643</v>
      </c>
      <c r="R295" s="3">
        <v>4543</v>
      </c>
      <c r="S295" s="91">
        <v>3500</v>
      </c>
      <c r="T295">
        <v>218</v>
      </c>
      <c r="U295">
        <v>825</v>
      </c>
      <c r="V295" s="49">
        <v>0</v>
      </c>
      <c r="AA295" s="68">
        <f>SUM(S295:Z295)</f>
        <v>4543</v>
      </c>
      <c r="AC295" s="19">
        <v>45643</v>
      </c>
      <c r="AD295" s="4">
        <f>F295+R295</f>
        <v>7804.9</v>
      </c>
      <c r="AE295" s="1"/>
    </row>
    <row r="296" spans="1:73" hidden="true">
      <c r="D296" s="9" t="s">
        <v>15</v>
      </c>
      <c r="E296" s="2">
        <v>45644</v>
      </c>
      <c r="F296" s="55">
        <v>5891.45</v>
      </c>
      <c r="G296" s="91">
        <v>5891.45</v>
      </c>
      <c r="N296" s="22">
        <f>SUM(G296:M296)</f>
        <v>5891.45</v>
      </c>
      <c r="Q296" s="2">
        <v>45644</v>
      </c>
      <c r="R296" s="3">
        <v>4623</v>
      </c>
      <c r="S296" s="91">
        <v>2053</v>
      </c>
      <c r="T296">
        <v>168</v>
      </c>
      <c r="U296" s="35">
        <v>2402</v>
      </c>
      <c r="V296" s="49">
        <v>0</v>
      </c>
      <c r="AA296" s="68">
        <f>SUM(S296:Z296)</f>
        <v>4623</v>
      </c>
      <c r="AC296" s="19">
        <v>45644</v>
      </c>
      <c r="AD296" s="4">
        <f>F296+R296</f>
        <v>10514.45</v>
      </c>
      <c r="AE296" s="1"/>
    </row>
    <row r="297" spans="1:73" hidden="true">
      <c r="D297" s="9" t="s">
        <v>16</v>
      </c>
      <c r="E297" s="2">
        <v>45645</v>
      </c>
      <c r="F297" s="55">
        <v>3667.9</v>
      </c>
      <c r="G297" s="91">
        <v>3667.9</v>
      </c>
      <c r="N297" s="22">
        <f>SUM(G297:M297)</f>
        <v>3667.9</v>
      </c>
      <c r="Q297" s="2">
        <v>45645</v>
      </c>
      <c r="R297" s="3">
        <v>10412</v>
      </c>
      <c r="S297" s="91">
        <v>2272</v>
      </c>
      <c r="T297">
        <v>888</v>
      </c>
      <c r="U297" s="35">
        <v>4386</v>
      </c>
      <c r="V297" s="35">
        <v>2866</v>
      </c>
      <c r="AA297" s="68">
        <f>SUM(S297:Z297)</f>
        <v>10412</v>
      </c>
      <c r="AC297" s="19">
        <v>45645</v>
      </c>
      <c r="AD297" s="4">
        <f>F297+R297</f>
        <v>14079.9</v>
      </c>
      <c r="AE297" s="1"/>
    </row>
    <row r="298" spans="1:73" hidden="true">
      <c r="D298" s="9" t="s">
        <v>10</v>
      </c>
      <c r="E298" s="2">
        <v>45646</v>
      </c>
      <c r="F298" s="55">
        <v>3794.85</v>
      </c>
      <c r="G298" s="91">
        <v>3794.85</v>
      </c>
      <c r="N298" s="22">
        <f>SUM(G298:M298)</f>
        <v>3794.85</v>
      </c>
      <c r="Q298" s="2">
        <v>45646</v>
      </c>
      <c r="R298" s="3">
        <v>7181</v>
      </c>
      <c r="S298" s="91">
        <v>2571</v>
      </c>
      <c r="T298">
        <v>414</v>
      </c>
      <c r="U298" s="35">
        <v>2426</v>
      </c>
      <c r="V298" s="35">
        <v>1770</v>
      </c>
      <c r="AA298" s="68">
        <f>SUM(S298:Z298)</f>
        <v>7181</v>
      </c>
      <c r="AC298" s="19">
        <v>45646</v>
      </c>
      <c r="AD298" s="4">
        <f>F298+R298</f>
        <v>10975.85</v>
      </c>
      <c r="AE298" s="1"/>
    </row>
    <row r="299" spans="1:73" hidden="true">
      <c r="D299" s="9" t="s">
        <v>11</v>
      </c>
      <c r="E299" s="2">
        <v>45647</v>
      </c>
      <c r="F299" s="55">
        <v>5275.3</v>
      </c>
      <c r="G299" s="91">
        <v>5275.3</v>
      </c>
      <c r="N299" s="22">
        <f>SUM(G299:M299)</f>
        <v>5275.3</v>
      </c>
      <c r="Q299" s="2">
        <v>45647</v>
      </c>
      <c r="R299" s="3">
        <v>10052</v>
      </c>
      <c r="S299" s="91">
        <v>4234</v>
      </c>
      <c r="T299" s="35">
        <v>1001.9</v>
      </c>
      <c r="U299" s="35">
        <v>1052</v>
      </c>
      <c r="V299" s="35">
        <v>3764</v>
      </c>
      <c r="AA299" s="68">
        <f>SUM(S299:Z299)</f>
        <v>10051.9</v>
      </c>
      <c r="AC299" s="19">
        <v>45647</v>
      </c>
      <c r="AD299" s="4">
        <f>F299+R299</f>
        <v>15327.3</v>
      </c>
      <c r="AE299" s="1"/>
    </row>
    <row r="300" spans="1:73" hidden="true">
      <c r="D300" s="9" t="s">
        <v>12</v>
      </c>
      <c r="E300" s="2">
        <v>45648</v>
      </c>
      <c r="F300" s="55">
        <v>3180.2</v>
      </c>
      <c r="G300" s="91">
        <v>3180.2</v>
      </c>
      <c r="N300" s="22">
        <f>SUM(G300:M300)</f>
        <v>3180.2</v>
      </c>
      <c r="Q300" s="2">
        <v>45648</v>
      </c>
      <c r="R300" s="3">
        <v>6500</v>
      </c>
      <c r="S300" s="91">
        <v>2029</v>
      </c>
      <c r="T300">
        <v>364</v>
      </c>
      <c r="U300" s="35">
        <v>4159</v>
      </c>
      <c r="V300" s="35">
        <v>3079</v>
      </c>
      <c r="AA300" s="68">
        <f>SUM(S300:Z300)</f>
        <v>9631</v>
      </c>
      <c r="AC300" s="19">
        <v>45648</v>
      </c>
      <c r="AD300" s="4">
        <f>F300+R300</f>
        <v>9680.2</v>
      </c>
      <c r="AE300" s="1"/>
    </row>
    <row r="301" spans="1:73" hidden="true">
      <c r="D301" s="9" t="s">
        <v>13</v>
      </c>
      <c r="E301" s="2">
        <v>45649</v>
      </c>
      <c r="F301" s="55">
        <v>2879.15</v>
      </c>
      <c r="G301" s="91">
        <v>2879.15</v>
      </c>
      <c r="N301" s="22">
        <f>SUM(G301:M301)</f>
        <v>2879.15</v>
      </c>
      <c r="Q301" s="2">
        <v>45649</v>
      </c>
      <c r="R301" s="3">
        <v>6523</v>
      </c>
      <c r="S301" s="91">
        <v>2328</v>
      </c>
      <c r="T301">
        <v>935</v>
      </c>
      <c r="U301">
        <v>616</v>
      </c>
      <c r="V301" s="35">
        <v>2644</v>
      </c>
      <c r="AA301" s="68">
        <f>SUM(S301:Z301)</f>
        <v>6523</v>
      </c>
      <c r="AC301" s="19">
        <v>45649</v>
      </c>
      <c r="AD301" s="4">
        <f>F301+R301</f>
        <v>9402.15</v>
      </c>
      <c r="AE301" s="1"/>
    </row>
    <row r="302" spans="1:73" hidden="true">
      <c r="D302" s="9" t="s">
        <v>14</v>
      </c>
      <c r="E302" s="2">
        <v>45650</v>
      </c>
      <c r="F302" s="55">
        <v>3308.25</v>
      </c>
      <c r="G302" s="91">
        <v>3308.25</v>
      </c>
      <c r="N302" s="22">
        <f>SUM(G302:M302)</f>
        <v>3308.25</v>
      </c>
      <c r="Q302" s="2">
        <v>45650</v>
      </c>
      <c r="R302" s="3">
        <v>10045</v>
      </c>
      <c r="S302" s="91">
        <v>2618</v>
      </c>
      <c r="T302" s="35">
        <v>1273.7</v>
      </c>
      <c r="U302" s="35">
        <v>2344</v>
      </c>
      <c r="V302" s="35">
        <v>3809</v>
      </c>
      <c r="AA302" s="68">
        <f>SUM(S302:Z302)</f>
        <v>10044.7</v>
      </c>
      <c r="AC302" s="19">
        <v>45650</v>
      </c>
      <c r="AD302" s="4">
        <f>F302+R302</f>
        <v>13353.25</v>
      </c>
      <c r="AE302" s="1"/>
    </row>
    <row r="303" spans="1:73" hidden="true">
      <c r="D303" s="9" t="s">
        <v>15</v>
      </c>
      <c r="E303" s="2">
        <v>45651</v>
      </c>
      <c r="F303" s="55">
        <v>4470.15</v>
      </c>
      <c r="G303" s="91">
        <v>4470.15</v>
      </c>
      <c r="N303" s="22">
        <f>SUM(G303:M303)</f>
        <v>4470.15</v>
      </c>
      <c r="Q303" s="2">
        <v>45651</v>
      </c>
      <c r="R303" s="3">
        <v>10130</v>
      </c>
      <c r="S303" s="91">
        <v>3592</v>
      </c>
      <c r="T303" s="35">
        <v>1204</v>
      </c>
      <c r="U303">
        <v>994</v>
      </c>
      <c r="V303" s="35">
        <v>4340</v>
      </c>
      <c r="AA303" s="68">
        <f>SUM(S303:Z303)</f>
        <v>10130</v>
      </c>
      <c r="AC303" s="19">
        <v>45651</v>
      </c>
      <c r="AD303" s="4">
        <f>F303+R303</f>
        <v>14600.15</v>
      </c>
      <c r="AE303" s="1"/>
    </row>
    <row r="304" spans="1:73" hidden="true">
      <c r="D304" s="9" t="s">
        <v>16</v>
      </c>
      <c r="E304" s="2">
        <v>45652</v>
      </c>
      <c r="F304" s="55">
        <v>3840.8</v>
      </c>
      <c r="G304" s="91">
        <v>3840.8</v>
      </c>
      <c r="N304" s="22">
        <f>SUM(G304:M304)</f>
        <v>3840.8</v>
      </c>
      <c r="Q304" s="2">
        <v>45652</v>
      </c>
      <c r="R304" s="3">
        <v>7823</v>
      </c>
      <c r="S304" s="91">
        <v>2451</v>
      </c>
      <c r="T304">
        <v>560</v>
      </c>
      <c r="U304" s="35">
        <v>1086</v>
      </c>
      <c r="V304" s="35">
        <v>3726</v>
      </c>
      <c r="AA304" s="68">
        <f>SUM(S304:Z304)</f>
        <v>7823</v>
      </c>
      <c r="AC304" s="19">
        <v>45652</v>
      </c>
      <c r="AD304" s="4">
        <f>F304+R304</f>
        <v>11663.8</v>
      </c>
      <c r="AE304" s="1"/>
    </row>
    <row r="305" spans="1:73" hidden="true">
      <c r="D305" s="9" t="s">
        <v>10</v>
      </c>
      <c r="E305" s="2">
        <v>45653</v>
      </c>
      <c r="F305" s="55">
        <v>4207.8</v>
      </c>
      <c r="G305" s="91">
        <v>4207.8</v>
      </c>
      <c r="N305" s="22">
        <f>SUM(G305:M305)</f>
        <v>4207.8</v>
      </c>
      <c r="Q305" s="2">
        <v>45653</v>
      </c>
      <c r="R305" s="3">
        <v>9139</v>
      </c>
      <c r="S305" s="91">
        <v>3061</v>
      </c>
      <c r="T305">
        <v>228</v>
      </c>
      <c r="U305" s="35">
        <v>4866</v>
      </c>
      <c r="V305">
        <v>984</v>
      </c>
      <c r="AA305" s="68">
        <f>SUM(S305:Z305)</f>
        <v>9139</v>
      </c>
      <c r="AC305" s="19">
        <v>45653</v>
      </c>
      <c r="AD305" s="4">
        <f>F305+R305</f>
        <v>13346.8</v>
      </c>
      <c r="AE305" s="1"/>
    </row>
    <row r="306" spans="1:73" hidden="true">
      <c r="D306" s="9" t="s">
        <v>11</v>
      </c>
      <c r="E306" s="2">
        <v>45654</v>
      </c>
      <c r="F306" s="55">
        <v>4001.2</v>
      </c>
      <c r="G306" s="91">
        <v>4001.2</v>
      </c>
      <c r="N306" s="22">
        <f>SUM(G306:M306)</f>
        <v>4001.2</v>
      </c>
      <c r="Q306" s="2">
        <v>45654</v>
      </c>
      <c r="R306" s="3">
        <v>11880</v>
      </c>
      <c r="S306" s="91">
        <v>4042</v>
      </c>
      <c r="T306">
        <v>228</v>
      </c>
      <c r="U306" s="35">
        <v>4772</v>
      </c>
      <c r="V306" s="35">
        <v>2838</v>
      </c>
      <c r="AA306" s="68">
        <f>SUM(S306:Z306)</f>
        <v>11880</v>
      </c>
      <c r="AC306" s="19">
        <v>45654</v>
      </c>
      <c r="AD306" s="4">
        <f>F306+R306</f>
        <v>15881.2</v>
      </c>
      <c r="AE306" s="1"/>
    </row>
    <row r="307" spans="1:73" hidden="true">
      <c r="D307" s="92" t="s">
        <v>12</v>
      </c>
      <c r="E307" s="94">
        <v>45655</v>
      </c>
      <c r="F307" s="95">
        <v>3720.25</v>
      </c>
      <c r="G307" s="91">
        <v>3720.25</v>
      </c>
      <c r="N307" s="22">
        <f>SUM(G307:M307)</f>
        <v>3720.25</v>
      </c>
      <c r="Q307" s="2">
        <v>45655</v>
      </c>
      <c r="R307" s="3">
        <v>12143</v>
      </c>
      <c r="S307" s="91">
        <v>4134</v>
      </c>
      <c r="T307">
        <v>392</v>
      </c>
      <c r="U307" s="35">
        <v>2109</v>
      </c>
      <c r="V307" s="35">
        <v>5508</v>
      </c>
      <c r="AA307" s="68">
        <f>SUM(S307:Z307)</f>
        <v>12143</v>
      </c>
      <c r="AC307" s="19">
        <v>45655</v>
      </c>
      <c r="AD307" s="4">
        <f>F307+R307</f>
        <v>15863.25</v>
      </c>
      <c r="AE307" s="1"/>
    </row>
    <row r="308" spans="1:73" hidden="true">
      <c r="D308" s="92" t="s">
        <v>13</v>
      </c>
      <c r="E308" s="98">
        <v>45656</v>
      </c>
      <c r="F308" s="99">
        <v>3711.65</v>
      </c>
      <c r="G308" s="91">
        <v>3711.65</v>
      </c>
      <c r="N308" s="22">
        <f>SUM(G308:M308)</f>
        <v>3711.65</v>
      </c>
      <c r="Q308" s="2">
        <v>45656</v>
      </c>
      <c r="R308" s="3">
        <v>17542</v>
      </c>
      <c r="S308" s="91">
        <v>5708</v>
      </c>
      <c r="T308" s="35">
        <v>2438</v>
      </c>
      <c r="U308" s="35">
        <v>3570</v>
      </c>
      <c r="V308" s="35">
        <v>5826</v>
      </c>
      <c r="AA308" s="68">
        <f>SUM(S308:Z308)</f>
        <v>17542</v>
      </c>
      <c r="AC308" s="19">
        <v>45656</v>
      </c>
      <c r="AD308" s="4">
        <f>F308+R308</f>
        <v>21253.65</v>
      </c>
      <c r="AE308" s="1"/>
    </row>
    <row r="309" spans="1:73" hidden="true" s="13" customFormat="1">
      <c r="D309" s="93" t="s">
        <v>14</v>
      </c>
      <c r="E309" s="98">
        <v>45657</v>
      </c>
      <c r="F309" s="112">
        <v>2725.25</v>
      </c>
      <c r="G309" s="115">
        <v>2725.25</v>
      </c>
      <c r="I309" s="119"/>
      <c r="N309" s="30">
        <f>SUM(G309:M309)</f>
        <v>2725.25</v>
      </c>
      <c r="Q309" s="2">
        <v>45657</v>
      </c>
      <c r="R309" s="3">
        <v>9765</v>
      </c>
      <c r="S309" s="115">
        <v>4742</v>
      </c>
      <c r="T309" s="13">
        <v>788</v>
      </c>
      <c r="U309" s="116">
        <v>1410</v>
      </c>
      <c r="V309" s="116">
        <v>2825</v>
      </c>
      <c r="Y309" s="16"/>
      <c r="Z309" s="16"/>
      <c r="AA309" s="75">
        <f>SUM(S309:Z309)</f>
        <v>9765</v>
      </c>
      <c r="AC309" s="19">
        <v>45657</v>
      </c>
      <c r="AD309" s="4">
        <f>F309+R309</f>
        <v>12490.25</v>
      </c>
      <c r="AE309" s="16"/>
      <c r="BJ309" s="16"/>
    </row>
    <row r="310" spans="1:73" hidden="true">
      <c r="D310" s="92" t="s">
        <v>15</v>
      </c>
      <c r="E310" s="96">
        <v>45658</v>
      </c>
      <c r="F310" s="97">
        <v>3129.05</v>
      </c>
      <c r="G310" s="91">
        <v>3129.05</v>
      </c>
      <c r="N310" s="30">
        <f>SUM(G310:M310)</f>
        <v>3129.05</v>
      </c>
      <c r="Q310" s="2">
        <v>45658</v>
      </c>
      <c r="R310" s="3">
        <v>16407.6</v>
      </c>
      <c r="S310" s="91">
        <v>6418.9</v>
      </c>
      <c r="T310" s="35">
        <v>1859.7</v>
      </c>
      <c r="U310" s="35">
        <v>5315</v>
      </c>
      <c r="V310" s="35">
        <v>2814</v>
      </c>
      <c r="AA310" s="68">
        <f>SUM(S310:Z310)</f>
        <v>16407.6</v>
      </c>
      <c r="AC310" s="19">
        <v>45658</v>
      </c>
      <c r="AD310" s="4">
        <f>F310+R310</f>
        <v>19536.65</v>
      </c>
    </row>
    <row r="311" spans="1:73" hidden="true">
      <c r="D311" s="92" t="s">
        <v>16</v>
      </c>
      <c r="E311" s="2">
        <v>45659</v>
      </c>
      <c r="F311" s="55">
        <v>2955.2</v>
      </c>
      <c r="G311" s="91">
        <v>2955.2</v>
      </c>
      <c r="N311" s="30">
        <f>SUM(G311:M311)</f>
        <v>2955.2</v>
      </c>
      <c r="Q311" s="2">
        <v>45659</v>
      </c>
      <c r="R311" s="3">
        <v>8887</v>
      </c>
      <c r="S311" s="91">
        <v>4682</v>
      </c>
      <c r="T311">
        <v>588</v>
      </c>
      <c r="U311" s="35">
        <v>1493</v>
      </c>
      <c r="V311" s="35">
        <v>2124</v>
      </c>
      <c r="AA311" s="68">
        <f>SUM(S311:Z311)</f>
        <v>8887</v>
      </c>
      <c r="AC311" s="19">
        <v>45659</v>
      </c>
      <c r="AD311" s="4">
        <f>F311+R311</f>
        <v>11842.2</v>
      </c>
    </row>
    <row r="312" spans="1:73" hidden="true">
      <c r="D312" s="9" t="s">
        <v>10</v>
      </c>
      <c r="E312" s="2">
        <v>45660</v>
      </c>
      <c r="F312" s="55">
        <v>3524.45</v>
      </c>
      <c r="G312" s="91">
        <v>3524.45</v>
      </c>
      <c r="N312" s="30">
        <f>SUM(G312:M312)</f>
        <v>3524.45</v>
      </c>
      <c r="Q312" s="2">
        <v>45660</v>
      </c>
      <c r="R312" s="3">
        <v>10031</v>
      </c>
      <c r="S312" s="91">
        <v>2581</v>
      </c>
      <c r="T312">
        <v>862</v>
      </c>
      <c r="U312" s="35">
        <v>5254</v>
      </c>
      <c r="V312" s="35">
        <v>1334</v>
      </c>
      <c r="AA312" s="68">
        <f>SUM(S312:Z312)</f>
        <v>10031</v>
      </c>
      <c r="AC312" s="19">
        <v>45660</v>
      </c>
      <c r="AD312" s="4">
        <f>F312+R312</f>
        <v>13555.45</v>
      </c>
    </row>
    <row r="313" spans="1:73" hidden="true">
      <c r="D313" s="9" t="s">
        <v>11</v>
      </c>
      <c r="E313" s="2">
        <v>45661</v>
      </c>
      <c r="F313" s="55">
        <v>3689.75</v>
      </c>
      <c r="G313" s="91">
        <v>3689.75</v>
      </c>
      <c r="N313" s="30">
        <f>SUM(G313:M313)</f>
        <v>3689.75</v>
      </c>
      <c r="Q313" s="2">
        <v>45661</v>
      </c>
      <c r="R313" s="3">
        <v>8894</v>
      </c>
      <c r="S313" s="91">
        <v>4276</v>
      </c>
      <c r="T313">
        <v>392</v>
      </c>
      <c r="U313" s="35">
        <v>2078</v>
      </c>
      <c r="V313" s="35">
        <v>2148</v>
      </c>
      <c r="AA313" s="68">
        <f>SUM(S313:Z313)</f>
        <v>8894</v>
      </c>
      <c r="AC313" s="19">
        <v>45661</v>
      </c>
      <c r="AD313" s="4">
        <f>F313+R313</f>
        <v>12583.75</v>
      </c>
    </row>
    <row r="314" spans="1:73" hidden="true">
      <c r="D314" s="9" t="s">
        <v>12</v>
      </c>
      <c r="E314" s="2">
        <v>45662</v>
      </c>
      <c r="F314" s="55">
        <v>4451.35</v>
      </c>
      <c r="G314" s="91">
        <v>4451.35</v>
      </c>
      <c r="N314" s="30">
        <f>SUM(G314:M314)</f>
        <v>4451.35</v>
      </c>
      <c r="Q314" s="2">
        <v>45662</v>
      </c>
      <c r="R314" s="3">
        <v>6571.6</v>
      </c>
      <c r="S314" s="91">
        <v>2241.9</v>
      </c>
      <c r="T314" s="35">
        <v>1547.7</v>
      </c>
      <c r="U314">
        <v>874</v>
      </c>
      <c r="V314" s="35">
        <v>1908</v>
      </c>
      <c r="AA314" s="68">
        <f>SUM(S314:Z314)</f>
        <v>6571.6</v>
      </c>
      <c r="AC314" s="19">
        <v>45662</v>
      </c>
      <c r="AD314" s="4">
        <f>F314+R314</f>
        <v>11022.95</v>
      </c>
    </row>
    <row r="315" spans="1:73" hidden="true">
      <c r="D315" s="9" t="s">
        <v>13</v>
      </c>
      <c r="E315" s="2">
        <v>45663</v>
      </c>
      <c r="F315" s="55">
        <v>2976.95</v>
      </c>
      <c r="G315" s="91">
        <v>2976.95</v>
      </c>
      <c r="N315" s="30">
        <f>SUM(G315:M315)</f>
        <v>2976.95</v>
      </c>
      <c r="Q315" s="2">
        <v>45663</v>
      </c>
      <c r="R315" s="3">
        <v>8210</v>
      </c>
      <c r="S315" s="91">
        <v>3450</v>
      </c>
      <c r="T315" s="35">
        <v>1240</v>
      </c>
      <c r="U315" s="35">
        <v>2258</v>
      </c>
      <c r="V315" s="35">
        <v>1262</v>
      </c>
      <c r="AA315" s="68">
        <f>SUM(S315:Z315)</f>
        <v>8210</v>
      </c>
      <c r="AC315" s="19">
        <v>45663</v>
      </c>
      <c r="AD315" s="4">
        <f>F315+R315</f>
        <v>11186.95</v>
      </c>
    </row>
    <row r="316" spans="1:73" hidden="true">
      <c r="D316" s="9" t="s">
        <v>14</v>
      </c>
      <c r="E316" s="2">
        <v>45664</v>
      </c>
      <c r="F316" s="55">
        <v>2385.7</v>
      </c>
      <c r="G316" s="91">
        <v>2385.7</v>
      </c>
      <c r="N316" s="30">
        <f>SUM(G316:M316)</f>
        <v>2385.7</v>
      </c>
      <c r="Q316" s="2">
        <v>45664</v>
      </c>
      <c r="R316" s="3">
        <v>5890</v>
      </c>
      <c r="S316" s="91">
        <v>2416</v>
      </c>
      <c r="T316">
        <v>940</v>
      </c>
      <c r="U316" s="35">
        <v>2118</v>
      </c>
      <c r="V316">
        <v>416</v>
      </c>
      <c r="AA316" s="68">
        <f>SUM(S316:Z316)</f>
        <v>5890</v>
      </c>
      <c r="AC316" s="19">
        <v>45664</v>
      </c>
      <c r="AD316" s="4">
        <f>F316+R316</f>
        <v>8275.7</v>
      </c>
    </row>
    <row r="317" spans="1:73" hidden="true">
      <c r="D317" s="9" t="s">
        <v>15</v>
      </c>
      <c r="E317" s="2">
        <v>45665</v>
      </c>
      <c r="F317" s="55">
        <v>3011.35</v>
      </c>
      <c r="G317" s="91">
        <v>3011.35</v>
      </c>
      <c r="N317" s="30">
        <f>SUM(G317:M317)</f>
        <v>3011.35</v>
      </c>
      <c r="Q317" s="2">
        <v>45665</v>
      </c>
      <c r="R317" s="3">
        <v>3165.9</v>
      </c>
      <c r="S317" s="49">
        <v>662</v>
      </c>
      <c r="T317">
        <v>777.9</v>
      </c>
      <c r="U317">
        <v>526</v>
      </c>
      <c r="V317" s="35">
        <v>1200</v>
      </c>
      <c r="AA317" s="68">
        <f>SUM(S317:Z317)</f>
        <v>3165.9</v>
      </c>
      <c r="AC317" s="19">
        <v>45665</v>
      </c>
      <c r="AD317" s="4">
        <f>F317+R317</f>
        <v>6177.25</v>
      </c>
    </row>
    <row r="318" spans="1:73" hidden="true">
      <c r="D318" s="9" t="s">
        <v>16</v>
      </c>
      <c r="E318" s="2">
        <v>45666</v>
      </c>
      <c r="F318" s="55">
        <v>3564.6</v>
      </c>
      <c r="G318" s="91">
        <v>3564.6</v>
      </c>
      <c r="N318" s="30">
        <f>SUM(G318:M318)</f>
        <v>3564.6</v>
      </c>
      <c r="Q318" s="2">
        <v>45666</v>
      </c>
      <c r="R318" s="3">
        <v>8503.6</v>
      </c>
      <c r="S318" s="91">
        <v>4195</v>
      </c>
      <c r="T318">
        <v>367.6</v>
      </c>
      <c r="U318" s="35">
        <v>2206</v>
      </c>
      <c r="V318" s="35">
        <v>1735</v>
      </c>
      <c r="AA318" s="68">
        <f>SUM(S318:Z318)</f>
        <v>8503.6</v>
      </c>
      <c r="AC318" s="19">
        <v>45666</v>
      </c>
      <c r="AD318" s="4">
        <f>F318+R318</f>
        <v>12068.2</v>
      </c>
    </row>
    <row r="319" spans="1:73" hidden="true">
      <c r="D319" s="9" t="s">
        <v>10</v>
      </c>
      <c r="E319" s="2">
        <v>45667</v>
      </c>
      <c r="F319" s="55">
        <v>3826.4</v>
      </c>
      <c r="G319" s="91">
        <v>3826.4</v>
      </c>
      <c r="N319" s="30">
        <f>SUM(G319:M319)</f>
        <v>3826.4</v>
      </c>
      <c r="Q319" s="2">
        <v>45667</v>
      </c>
      <c r="R319" s="3">
        <v>4060</v>
      </c>
      <c r="S319" s="91">
        <v>1816</v>
      </c>
      <c r="T319">
        <v>0</v>
      </c>
      <c r="U319" s="35">
        <v>1480</v>
      </c>
      <c r="V319">
        <v>764</v>
      </c>
      <c r="AA319" s="68">
        <f>SUM(S319:Z319)</f>
        <v>4060</v>
      </c>
      <c r="AC319" s="19">
        <v>45667</v>
      </c>
      <c r="AD319" s="4">
        <f>F319+R319</f>
        <v>7886.4</v>
      </c>
    </row>
    <row r="320" spans="1:73" hidden="true">
      <c r="D320" s="9" t="s">
        <v>11</v>
      </c>
      <c r="E320" s="2">
        <v>45668</v>
      </c>
      <c r="F320" s="55">
        <v>4270.6</v>
      </c>
      <c r="G320" s="91">
        <v>4270.6</v>
      </c>
      <c r="N320" s="30">
        <f>SUM(G320:M320)</f>
        <v>4270.6</v>
      </c>
      <c r="Q320" s="2">
        <v>45668</v>
      </c>
      <c r="R320" s="3">
        <v>4770</v>
      </c>
      <c r="S320" s="91">
        <v>1956</v>
      </c>
      <c r="T320">
        <v>954</v>
      </c>
      <c r="U320">
        <v>586</v>
      </c>
      <c r="V320" s="35">
        <v>1274</v>
      </c>
      <c r="AA320" s="68">
        <f>SUM(S320:Z320)</f>
        <v>4770</v>
      </c>
      <c r="AC320" s="19">
        <v>45668</v>
      </c>
      <c r="AD320" s="4">
        <f>F320+R320</f>
        <v>9040.6</v>
      </c>
    </row>
    <row r="321" spans="1:73" hidden="true">
      <c r="D321" s="9" t="s">
        <v>12</v>
      </c>
      <c r="E321" s="2">
        <v>45669</v>
      </c>
      <c r="F321" s="55">
        <v>4129.15</v>
      </c>
      <c r="G321" s="91">
        <v>4129.15</v>
      </c>
      <c r="N321" s="30">
        <f>SUM(G321:M321)</f>
        <v>4129.15</v>
      </c>
      <c r="Q321" s="2">
        <v>45669</v>
      </c>
      <c r="R321" s="3">
        <v>9291.7</v>
      </c>
      <c r="S321" s="91">
        <v>6223.8</v>
      </c>
      <c r="T321">
        <v>637.9</v>
      </c>
      <c r="U321" s="35">
        <v>1782</v>
      </c>
      <c r="V321">
        <v>648</v>
      </c>
      <c r="AA321" s="68">
        <f>SUM(S321:Z321)</f>
        <v>9291.7</v>
      </c>
      <c r="AC321" s="19">
        <v>45669</v>
      </c>
      <c r="AD321" s="4">
        <f>F321+R321</f>
        <v>13420.85</v>
      </c>
    </row>
    <row r="322" spans="1:73" hidden="true">
      <c r="D322" s="9" t="s">
        <v>13</v>
      </c>
      <c r="E322" s="2">
        <v>45670</v>
      </c>
      <c r="F322" s="55">
        <v>4112.8</v>
      </c>
      <c r="G322" s="91">
        <v>4112.8</v>
      </c>
      <c r="N322" s="30">
        <f>SUM(G322:M322)</f>
        <v>4112.8</v>
      </c>
      <c r="Q322" s="2">
        <v>45670</v>
      </c>
      <c r="R322" s="3">
        <v>5541</v>
      </c>
      <c r="S322" s="91">
        <v>2821</v>
      </c>
      <c r="T322">
        <v>394</v>
      </c>
      <c r="U322" s="35">
        <v>1460</v>
      </c>
      <c r="V322">
        <v>866</v>
      </c>
      <c r="AA322" s="68">
        <f>SUM(S322:Z322)</f>
        <v>5541</v>
      </c>
      <c r="AC322" s="19">
        <v>45670</v>
      </c>
      <c r="AD322" s="4">
        <f>F322+R322</f>
        <v>9653.8</v>
      </c>
    </row>
    <row r="323" spans="1:73" hidden="true">
      <c r="D323" s="9" t="s">
        <v>14</v>
      </c>
      <c r="E323" s="2">
        <v>45671</v>
      </c>
      <c r="F323" s="55">
        <v>4697.4</v>
      </c>
      <c r="G323" s="91">
        <v>4697.4</v>
      </c>
      <c r="N323" s="30">
        <f>SUM(G323:M323)</f>
        <v>4697.4</v>
      </c>
      <c r="Q323" s="2">
        <v>45671</v>
      </c>
      <c r="R323" s="3">
        <v>6826</v>
      </c>
      <c r="S323" s="91">
        <v>2298</v>
      </c>
      <c r="T323">
        <v>0</v>
      </c>
      <c r="U323" s="35">
        <v>2736</v>
      </c>
      <c r="V323" s="35">
        <v>1792</v>
      </c>
      <c r="AA323" s="68">
        <f>SUM(S323:Z323)</f>
        <v>6826</v>
      </c>
      <c r="AC323" s="19">
        <v>45671</v>
      </c>
      <c r="AD323" s="4">
        <f>F323+R323</f>
        <v>11523.4</v>
      </c>
    </row>
    <row r="324" spans="1:73" hidden="true">
      <c r="D324" s="9" t="s">
        <v>15</v>
      </c>
      <c r="E324" s="2">
        <v>45672</v>
      </c>
      <c r="F324" s="55">
        <v>2803.35</v>
      </c>
      <c r="G324" s="91">
        <v>2803.35</v>
      </c>
      <c r="N324" s="30">
        <f>SUM(G324:M324)</f>
        <v>2803.35</v>
      </c>
      <c r="Q324" s="2">
        <v>45672</v>
      </c>
      <c r="R324" s="3">
        <v>6202</v>
      </c>
      <c r="S324" s="91">
        <v>3392</v>
      </c>
      <c r="T324">
        <v>392</v>
      </c>
      <c r="U324">
        <v>916</v>
      </c>
      <c r="V324" s="35">
        <v>1502</v>
      </c>
      <c r="AA324" s="68">
        <f>SUM(S324:Z324)</f>
        <v>6202</v>
      </c>
      <c r="AC324" s="19">
        <v>45672</v>
      </c>
      <c r="AD324" s="4">
        <f>F324+R324</f>
        <v>9005.35</v>
      </c>
    </row>
    <row r="325" spans="1:73" hidden="true">
      <c r="D325" s="9" t="s">
        <v>16</v>
      </c>
      <c r="E325" s="2">
        <v>45673</v>
      </c>
      <c r="F325" s="55">
        <v>3203.65</v>
      </c>
      <c r="G325" s="91">
        <v>3203.65</v>
      </c>
      <c r="N325" s="30">
        <f>SUM(G325:M325)</f>
        <v>3203.65</v>
      </c>
      <c r="Q325" s="2">
        <v>45673</v>
      </c>
      <c r="R325" s="3">
        <v>4680</v>
      </c>
      <c r="S325" s="91">
        <v>1214</v>
      </c>
      <c r="T325">
        <v>392</v>
      </c>
      <c r="U325">
        <v>526</v>
      </c>
      <c r="V325" s="35">
        <v>2548</v>
      </c>
      <c r="AA325" s="68">
        <f>SUM(S325:Z325)</f>
        <v>4680</v>
      </c>
      <c r="AC325" s="19">
        <v>45673</v>
      </c>
      <c r="AD325" s="4">
        <f>F325+R325</f>
        <v>7883.65</v>
      </c>
    </row>
    <row r="326" spans="1:73" hidden="true">
      <c r="D326" s="9" t="s">
        <v>10</v>
      </c>
      <c r="E326" s="2">
        <v>45674</v>
      </c>
      <c r="F326" s="55">
        <v>4642.7</v>
      </c>
      <c r="G326" s="91">
        <v>4642.7</v>
      </c>
      <c r="N326" s="30">
        <f>SUM(G326:M326)</f>
        <v>4642.7</v>
      </c>
      <c r="Q326" s="2">
        <v>45674</v>
      </c>
      <c r="R326" s="3">
        <v>4683.9</v>
      </c>
      <c r="S326" s="91">
        <v>2518</v>
      </c>
      <c r="T326">
        <v>481.9</v>
      </c>
      <c r="U326">
        <v>806</v>
      </c>
      <c r="V326">
        <v>878</v>
      </c>
      <c r="AA326" s="68">
        <f>SUM(S326:Z326)</f>
        <v>4683.9</v>
      </c>
      <c r="AC326" s="19">
        <v>45674</v>
      </c>
      <c r="AD326" s="4">
        <f>F326+R326</f>
        <v>9326.6</v>
      </c>
    </row>
    <row r="327" spans="1:73" hidden="true">
      <c r="D327" s="9" t="s">
        <v>11</v>
      </c>
      <c r="E327" s="2">
        <v>45675</v>
      </c>
      <c r="F327" s="55">
        <v>4304.25</v>
      </c>
      <c r="G327" s="91">
        <v>4304.25</v>
      </c>
      <c r="N327" s="30">
        <f>SUM(G327:M327)</f>
        <v>4304.25</v>
      </c>
      <c r="Q327" s="2">
        <v>45675</v>
      </c>
      <c r="R327" s="3">
        <v>8662</v>
      </c>
      <c r="S327" s="91">
        <v>2450</v>
      </c>
      <c r="T327">
        <v>436</v>
      </c>
      <c r="U327" s="35">
        <v>4268</v>
      </c>
      <c r="V327" s="35">
        <v>1508</v>
      </c>
      <c r="AA327" s="68">
        <f>SUM(S327:Z327)</f>
        <v>8662</v>
      </c>
      <c r="AC327" s="19">
        <v>45675</v>
      </c>
      <c r="AD327" s="4">
        <f>F327+R327</f>
        <v>12966.25</v>
      </c>
    </row>
    <row r="328" spans="1:73" hidden="true">
      <c r="D328" s="9" t="s">
        <v>12</v>
      </c>
      <c r="E328" s="2">
        <v>45676</v>
      </c>
      <c r="F328" s="55">
        <v>4250.3</v>
      </c>
      <c r="G328" s="91">
        <v>4250.3</v>
      </c>
      <c r="N328" s="30">
        <f>SUM(G328:M328)</f>
        <v>4250.3</v>
      </c>
      <c r="Q328" s="2">
        <v>45676</v>
      </c>
      <c r="R328" s="3">
        <v>8339</v>
      </c>
      <c r="S328" s="91">
        <v>4007</v>
      </c>
      <c r="T328">
        <v>392</v>
      </c>
      <c r="U328" s="35">
        <v>3348</v>
      </c>
      <c r="V328">
        <v>592</v>
      </c>
      <c r="AA328" s="68">
        <f>SUM(S328:Z328)</f>
        <v>8339</v>
      </c>
      <c r="AC328" s="19">
        <v>45676</v>
      </c>
      <c r="AD328" s="4">
        <f>F328+R328</f>
        <v>12589.3</v>
      </c>
    </row>
    <row r="329" spans="1:73" hidden="true">
      <c r="D329" s="9" t="s">
        <v>13</v>
      </c>
      <c r="E329" s="2">
        <v>45677</v>
      </c>
      <c r="F329" s="55">
        <v>3095.6</v>
      </c>
      <c r="G329" s="91">
        <v>3095.6</v>
      </c>
      <c r="N329" s="30">
        <f>SUM(G329:M329)</f>
        <v>3095.6</v>
      </c>
      <c r="Q329" s="2">
        <v>45677</v>
      </c>
      <c r="R329" s="3">
        <v>6121</v>
      </c>
      <c r="S329" s="91">
        <v>3959</v>
      </c>
      <c r="T329">
        <v>196</v>
      </c>
      <c r="U329" s="35">
        <v>1572</v>
      </c>
      <c r="V329">
        <v>394</v>
      </c>
      <c r="AA329" s="68">
        <f>SUM(S329:Z329)</f>
        <v>6121</v>
      </c>
      <c r="AC329" s="19">
        <v>45677</v>
      </c>
      <c r="AD329" s="4">
        <f>F329+R329</f>
        <v>9216.6</v>
      </c>
    </row>
    <row r="330" spans="1:73" hidden="true">
      <c r="D330" s="9" t="s">
        <v>14</v>
      </c>
      <c r="E330" s="2">
        <v>45678</v>
      </c>
      <c r="F330" s="55">
        <v>2608.05</v>
      </c>
      <c r="G330" s="91">
        <v>2608.05</v>
      </c>
      <c r="N330" s="30">
        <f>SUM(G330:M330)</f>
        <v>2608.05</v>
      </c>
      <c r="Q330" s="2">
        <v>45678</v>
      </c>
      <c r="R330" s="3">
        <v>4250.9</v>
      </c>
      <c r="S330" s="91">
        <v>2445</v>
      </c>
      <c r="T330">
        <v>285.9</v>
      </c>
      <c r="U330" s="35">
        <v>1322</v>
      </c>
      <c r="V330">
        <v>198</v>
      </c>
      <c r="AA330" s="68">
        <f>SUM(S330:Z330)</f>
        <v>4250.9</v>
      </c>
      <c r="AC330" s="19">
        <v>45678</v>
      </c>
      <c r="AD330" s="4">
        <f>F330+R330</f>
        <v>6858.95</v>
      </c>
    </row>
    <row r="331" spans="1:73" hidden="true">
      <c r="D331" s="9" t="s">
        <v>15</v>
      </c>
      <c r="E331" s="2">
        <v>45679</v>
      </c>
      <c r="F331" s="55">
        <v>4073.55</v>
      </c>
      <c r="G331" s="91">
        <v>4073.55</v>
      </c>
      <c r="N331" s="30">
        <f>SUM(G331:M331)</f>
        <v>4073.55</v>
      </c>
      <c r="Q331" s="2">
        <v>45679</v>
      </c>
      <c r="R331" s="3">
        <v>6452</v>
      </c>
      <c r="S331" s="91">
        <v>2760</v>
      </c>
      <c r="T331">
        <v>0</v>
      </c>
      <c r="U331" s="35">
        <v>2374</v>
      </c>
      <c r="V331" s="35">
        <v>1318</v>
      </c>
      <c r="AA331" s="68">
        <f>SUM(S331:Z331)</f>
        <v>6452</v>
      </c>
      <c r="AC331" s="19">
        <v>45679</v>
      </c>
      <c r="AD331" s="4">
        <f>F331+R331</f>
        <v>10525.55</v>
      </c>
    </row>
    <row r="332" spans="1:73" hidden="true">
      <c r="D332" s="9" t="s">
        <v>16</v>
      </c>
      <c r="E332" s="2">
        <v>45680</v>
      </c>
      <c r="F332" s="55">
        <v>3595.25</v>
      </c>
      <c r="G332" s="91">
        <v>3595.25</v>
      </c>
      <c r="N332" s="30">
        <f>SUM(G332:M332)</f>
        <v>3595.25</v>
      </c>
      <c r="Q332" s="2">
        <v>45680</v>
      </c>
      <c r="R332" s="3">
        <v>6666</v>
      </c>
      <c r="S332" s="49">
        <v>952</v>
      </c>
      <c r="T332">
        <v>858</v>
      </c>
      <c r="U332" s="35">
        <v>2458</v>
      </c>
      <c r="V332" s="35">
        <v>2398</v>
      </c>
      <c r="AA332" s="68">
        <f>SUM(S332:Z332)</f>
        <v>6666</v>
      </c>
      <c r="AC332" s="19">
        <v>45680</v>
      </c>
      <c r="AD332" s="4">
        <f>F332+R332</f>
        <v>10261.25</v>
      </c>
    </row>
    <row r="333" spans="1:73" hidden="true">
      <c r="D333" s="9" t="s">
        <v>10</v>
      </c>
      <c r="E333" s="2">
        <v>45681</v>
      </c>
      <c r="F333" s="55">
        <v>4683.45</v>
      </c>
      <c r="G333" s="91">
        <v>4683.45</v>
      </c>
      <c r="N333" s="30">
        <f>SUM(G333:M333)</f>
        <v>4683.45</v>
      </c>
      <c r="Q333" s="2">
        <v>45681</v>
      </c>
      <c r="R333" s="3">
        <v>5005.9</v>
      </c>
      <c r="S333" s="91">
        <v>2687.9</v>
      </c>
      <c r="T333">
        <v>0</v>
      </c>
      <c r="U333" s="35">
        <v>0</v>
      </c>
      <c r="V333" s="35">
        <v>2318</v>
      </c>
      <c r="AA333" s="68">
        <f>SUM(S333:Z333)</f>
        <v>5005.9</v>
      </c>
      <c r="AC333" s="19">
        <v>45681</v>
      </c>
      <c r="AD333" s="4">
        <f>F333+R333</f>
        <v>9689.35</v>
      </c>
    </row>
    <row r="334" spans="1:73" hidden="true">
      <c r="D334" s="9" t="s">
        <v>11</v>
      </c>
      <c r="E334" s="2">
        <v>45682</v>
      </c>
      <c r="F334" s="55">
        <v>3527.25</v>
      </c>
      <c r="G334" s="91">
        <v>3527.25</v>
      </c>
      <c r="N334" s="30">
        <f>SUM(G334:M334)</f>
        <v>3527.25</v>
      </c>
      <c r="Q334" s="2">
        <v>45682</v>
      </c>
      <c r="R334" s="3">
        <v>7850.8</v>
      </c>
      <c r="S334" s="91">
        <v>2780.9</v>
      </c>
      <c r="T334">
        <v>245.9</v>
      </c>
      <c r="U334" s="35">
        <v>4038</v>
      </c>
      <c r="V334">
        <v>786</v>
      </c>
      <c r="AA334" s="68">
        <f>SUM(S334:Z334)</f>
        <v>7850.8</v>
      </c>
      <c r="AC334" s="19">
        <v>45682</v>
      </c>
      <c r="AD334" s="4">
        <f>F334+R334</f>
        <v>11378.05</v>
      </c>
    </row>
    <row r="335" spans="1:73" hidden="true">
      <c r="D335" s="9" t="s">
        <v>12</v>
      </c>
      <c r="E335" s="2">
        <v>45683</v>
      </c>
      <c r="F335" s="55">
        <v>3911.75</v>
      </c>
      <c r="G335" s="91">
        <v>3911.75</v>
      </c>
      <c r="N335" s="30">
        <f>SUM(G335:M335)</f>
        <v>3911.75</v>
      </c>
      <c r="Q335" s="2">
        <v>45683</v>
      </c>
      <c r="R335" s="3">
        <v>7219.9</v>
      </c>
      <c r="S335" s="91">
        <v>2110</v>
      </c>
      <c r="T335">
        <v>641.9</v>
      </c>
      <c r="U335" s="35">
        <v>2906</v>
      </c>
      <c r="V335" s="35">
        <v>1562</v>
      </c>
      <c r="AA335" s="68">
        <f>SUM(S335:Z335)</f>
        <v>7219.9</v>
      </c>
      <c r="AC335" s="19">
        <v>45683</v>
      </c>
      <c r="AD335" s="4">
        <f>F335+R335</f>
        <v>11131.65</v>
      </c>
    </row>
    <row r="336" spans="1:73" hidden="true">
      <c r="D336" s="9" t="s">
        <v>13</v>
      </c>
      <c r="E336" s="2">
        <v>45684</v>
      </c>
      <c r="F336" s="55">
        <v>3950.55</v>
      </c>
      <c r="G336" s="91">
        <v>3950.55</v>
      </c>
      <c r="N336" s="30">
        <f>SUM(G336:M336)</f>
        <v>3950.55</v>
      </c>
      <c r="Q336" s="2">
        <v>45684</v>
      </c>
      <c r="R336" s="3">
        <v>6265.9</v>
      </c>
      <c r="S336" s="91">
        <v>1126</v>
      </c>
      <c r="T336">
        <v>881.9</v>
      </c>
      <c r="U336" s="35">
        <v>3344</v>
      </c>
      <c r="V336">
        <v>914</v>
      </c>
      <c r="AA336" s="68">
        <f>SUM(S336:Z336)</f>
        <v>6265.9</v>
      </c>
      <c r="AC336" s="19">
        <v>45684</v>
      </c>
      <c r="AD336" s="4">
        <f>F336+R336</f>
        <v>10216.45</v>
      </c>
    </row>
    <row r="337" spans="1:73" hidden="true">
      <c r="D337" s="9" t="s">
        <v>14</v>
      </c>
      <c r="E337" s="2">
        <v>45685</v>
      </c>
      <c r="F337" s="55">
        <v>2727.95</v>
      </c>
      <c r="G337" s="91">
        <v>2727.95</v>
      </c>
      <c r="N337" s="30">
        <f>SUM(G337:M337)</f>
        <v>2727.95</v>
      </c>
      <c r="Q337" s="2">
        <v>45685</v>
      </c>
      <c r="R337" s="3">
        <v>5929</v>
      </c>
      <c r="S337" s="91">
        <v>3130</v>
      </c>
      <c r="T337">
        <v>364</v>
      </c>
      <c r="U337">
        <v>825</v>
      </c>
      <c r="V337" s="35">
        <v>1610</v>
      </c>
      <c r="AA337" s="68">
        <f>SUM(S337:Z337)</f>
        <v>5929</v>
      </c>
      <c r="AC337" s="19">
        <v>45685</v>
      </c>
      <c r="AD337" s="4">
        <f>F337+R337</f>
        <v>8656.95</v>
      </c>
    </row>
    <row r="338" spans="1:73" hidden="true">
      <c r="D338" s="9" t="s">
        <v>15</v>
      </c>
      <c r="E338" s="2">
        <v>45686</v>
      </c>
      <c r="F338" s="55">
        <v>3943.35</v>
      </c>
      <c r="G338" s="91">
        <v>3943.35</v>
      </c>
      <c r="N338" s="30">
        <f>SUM(G338:M338)</f>
        <v>3943.35</v>
      </c>
      <c r="Q338" s="2">
        <v>45686</v>
      </c>
      <c r="R338" s="3">
        <v>5708</v>
      </c>
      <c r="S338" s="91">
        <v>3438</v>
      </c>
      <c r="T338">
        <v>196</v>
      </c>
      <c r="U338" s="35">
        <v>1242</v>
      </c>
      <c r="V338">
        <v>832</v>
      </c>
      <c r="AA338" s="68">
        <f>SUM(S338:Z338)</f>
        <v>5708</v>
      </c>
      <c r="AC338" s="19">
        <v>45686</v>
      </c>
      <c r="AD338" s="4">
        <f>F338+R338</f>
        <v>9651.35</v>
      </c>
    </row>
    <row r="339" spans="1:73" hidden="true">
      <c r="D339" s="9" t="s">
        <v>16</v>
      </c>
      <c r="E339" s="2">
        <v>45687</v>
      </c>
      <c r="F339" s="55">
        <v>1557.3</v>
      </c>
      <c r="G339" s="91">
        <v>1557.3</v>
      </c>
      <c r="N339" s="30">
        <f>SUM(G339:M339)</f>
        <v>1557.3</v>
      </c>
      <c r="Q339" s="2">
        <v>45687</v>
      </c>
      <c r="R339" s="3">
        <v>4664</v>
      </c>
      <c r="S339" s="91">
        <v>3130</v>
      </c>
      <c r="T339">
        <v>620</v>
      </c>
      <c r="U339" s="35">
        <v>0</v>
      </c>
      <c r="V339">
        <v>914</v>
      </c>
      <c r="AA339" s="68">
        <f>SUM(S339:Z339)</f>
        <v>4664</v>
      </c>
      <c r="AC339" s="19">
        <v>45687</v>
      </c>
      <c r="AD339" s="4">
        <f>F339+R339</f>
        <v>6221.3</v>
      </c>
    </row>
    <row r="340" spans="1:73" hidden="true">
      <c r="D340" s="9" t="s">
        <v>10</v>
      </c>
      <c r="E340" s="2">
        <v>45688</v>
      </c>
      <c r="F340" s="55">
        <v>3193.1</v>
      </c>
      <c r="G340" s="91">
        <v>3193.1</v>
      </c>
      <c r="N340" s="30">
        <f>SUM(G340:M340)</f>
        <v>3193.1</v>
      </c>
      <c r="Q340" s="2">
        <v>45688</v>
      </c>
      <c r="R340" s="3">
        <v>10474</v>
      </c>
      <c r="S340" s="91">
        <v>3216</v>
      </c>
      <c r="T340" s="35">
        <v>2218</v>
      </c>
      <c r="U340" s="35">
        <v>3642</v>
      </c>
      <c r="V340" s="35">
        <v>1398</v>
      </c>
      <c r="AA340" s="68">
        <f>SUM(S340:Z340)</f>
        <v>10474</v>
      </c>
      <c r="AC340" s="19">
        <v>45688</v>
      </c>
      <c r="AD340" s="4">
        <f>F340+R340</f>
        <v>13667.1</v>
      </c>
    </row>
    <row r="341" spans="1:73" hidden="true">
      <c r="D341" s="9" t="s">
        <v>11</v>
      </c>
      <c r="E341" s="2">
        <v>45689</v>
      </c>
      <c r="F341" s="55">
        <v>3309.2</v>
      </c>
      <c r="G341" s="91">
        <v>3309.2</v>
      </c>
      <c r="N341" s="30">
        <f>SUM(G341:M341)</f>
        <v>3309.2</v>
      </c>
      <c r="Q341" s="2">
        <v>45689</v>
      </c>
      <c r="R341" s="3">
        <v>7346</v>
      </c>
      <c r="S341" s="91">
        <v>3840</v>
      </c>
      <c r="T341" s="35">
        <v>1112</v>
      </c>
      <c r="U341" s="35">
        <v>1062</v>
      </c>
      <c r="V341" s="35">
        <v>1332</v>
      </c>
      <c r="AA341" s="68">
        <f>SUM(S341:Z341)</f>
        <v>7346</v>
      </c>
      <c r="AC341" s="19">
        <v>45689</v>
      </c>
      <c r="AD341" s="4">
        <f>F341+R341</f>
        <v>10655.2</v>
      </c>
    </row>
    <row r="342" spans="1:73" hidden="true">
      <c r="D342" s="9" t="s">
        <v>12</v>
      </c>
      <c r="E342" s="2">
        <v>45690</v>
      </c>
      <c r="F342" s="55">
        <v>3090.45</v>
      </c>
      <c r="G342" s="91">
        <v>3090.45</v>
      </c>
      <c r="N342" s="30">
        <f>SUM(G342:M342)</f>
        <v>3090.45</v>
      </c>
      <c r="Q342" s="2">
        <v>45690</v>
      </c>
      <c r="R342" s="3">
        <v>7609</v>
      </c>
      <c r="S342" s="91">
        <v>1558</v>
      </c>
      <c r="T342">
        <v>196</v>
      </c>
      <c r="U342" s="35">
        <v>5129</v>
      </c>
      <c r="V342">
        <v>726</v>
      </c>
      <c r="AA342" s="68">
        <f>SUM(S342:Z342)</f>
        <v>7609</v>
      </c>
      <c r="AC342" s="19">
        <v>45690</v>
      </c>
      <c r="AD342" s="4">
        <f>F342+R342</f>
        <v>10699.45</v>
      </c>
    </row>
    <row r="343" spans="1:73" hidden="true">
      <c r="D343" s="9" t="s">
        <v>13</v>
      </c>
      <c r="E343" s="2">
        <v>45691</v>
      </c>
      <c r="F343" s="55">
        <v>3212.5</v>
      </c>
      <c r="G343" s="91">
        <v>3212.5</v>
      </c>
      <c r="N343" s="30">
        <f>SUM(G343:M343)</f>
        <v>3212.5</v>
      </c>
      <c r="Q343" s="2">
        <v>45691</v>
      </c>
      <c r="R343" s="3">
        <v>1550</v>
      </c>
      <c r="S343" s="49">
        <v>0</v>
      </c>
      <c r="T343">
        <v>228</v>
      </c>
      <c r="U343">
        <v>776</v>
      </c>
      <c r="V343">
        <v>546</v>
      </c>
      <c r="AA343" s="68">
        <f>SUM(S343:Z343)</f>
        <v>1550</v>
      </c>
      <c r="AC343" s="19">
        <v>45691</v>
      </c>
      <c r="AD343" s="4">
        <f>F343+R343</f>
        <v>4762.5</v>
      </c>
    </row>
    <row r="344" spans="1:73" hidden="true">
      <c r="D344" s="9" t="s">
        <v>14</v>
      </c>
      <c r="E344" s="2">
        <v>45692</v>
      </c>
      <c r="F344" s="55">
        <v>2492.75</v>
      </c>
      <c r="G344" s="91">
        <v>2492.75</v>
      </c>
      <c r="N344" s="30">
        <f>SUM(G344:M344)</f>
        <v>2492.75</v>
      </c>
      <c r="Q344" s="2">
        <v>45692</v>
      </c>
      <c r="R344" s="3">
        <v>4904</v>
      </c>
      <c r="S344" s="49">
        <v>0</v>
      </c>
      <c r="T344">
        <v>652</v>
      </c>
      <c r="U344" s="35">
        <v>1192</v>
      </c>
      <c r="V344" s="35">
        <v>3060</v>
      </c>
      <c r="AA344" s="68">
        <f>SUM(S344:Z344)</f>
        <v>4904</v>
      </c>
      <c r="AC344" s="19">
        <v>45692</v>
      </c>
      <c r="AD344" s="4">
        <f>F344+R344</f>
        <v>7396.75</v>
      </c>
    </row>
    <row r="345" spans="1:73" hidden="true">
      <c r="D345" s="9" t="s">
        <v>15</v>
      </c>
      <c r="E345" s="2">
        <v>45693</v>
      </c>
      <c r="F345" s="55">
        <v>2246.4</v>
      </c>
      <c r="G345" s="91">
        <v>2246.4</v>
      </c>
      <c r="N345" s="30">
        <f>SUM(G345:M345)</f>
        <v>2246.4</v>
      </c>
      <c r="Q345" s="2">
        <v>45693</v>
      </c>
      <c r="R345" s="3">
        <v>4332.4</v>
      </c>
      <c r="S345" s="49">
        <v>756</v>
      </c>
      <c r="T345">
        <v>196</v>
      </c>
      <c r="U345" s="35">
        <v>2888.4</v>
      </c>
      <c r="V345">
        <v>492</v>
      </c>
      <c r="AA345" s="68">
        <f>SUM(S345:Z345)</f>
        <v>4332.4</v>
      </c>
      <c r="AC345" s="19">
        <v>45693</v>
      </c>
      <c r="AD345" s="4">
        <f>F345+R345</f>
        <v>6578.8</v>
      </c>
    </row>
    <row r="346" spans="1:73" hidden="true">
      <c r="D346" s="9" t="s">
        <v>16</v>
      </c>
      <c r="E346" s="2">
        <v>45694</v>
      </c>
      <c r="F346" s="55">
        <v>2491.55</v>
      </c>
      <c r="G346" s="91">
        <v>2491.55</v>
      </c>
      <c r="N346" s="30">
        <f>SUM(G346:M346)</f>
        <v>2491.55</v>
      </c>
      <c r="Q346" s="2">
        <v>45694</v>
      </c>
      <c r="R346" s="3">
        <v>5785.8</v>
      </c>
      <c r="S346" s="49">
        <v>780</v>
      </c>
      <c r="T346">
        <v>661.8</v>
      </c>
      <c r="U346" s="35">
        <v>3682</v>
      </c>
      <c r="V346">
        <v>662</v>
      </c>
      <c r="AA346" s="68">
        <f>SUM(S346:Z346)</f>
        <v>5785.8</v>
      </c>
      <c r="AC346" s="19">
        <v>45694</v>
      </c>
      <c r="AD346" s="4">
        <f>F346+R346</f>
        <v>8277.35</v>
      </c>
    </row>
    <row r="347" spans="1:73" hidden="true">
      <c r="D347" s="9" t="s">
        <v>10</v>
      </c>
      <c r="E347" s="2">
        <v>45695</v>
      </c>
      <c r="F347" s="55">
        <v>2871.5</v>
      </c>
      <c r="G347" s="91">
        <v>2871.5</v>
      </c>
      <c r="N347" s="30">
        <f>SUM(G347:M347)</f>
        <v>2871.5</v>
      </c>
      <c r="Q347" s="2">
        <v>45695</v>
      </c>
      <c r="R347" s="3">
        <v>5592.8</v>
      </c>
      <c r="S347" s="91">
        <v>2476.8</v>
      </c>
      <c r="T347">
        <v>228</v>
      </c>
      <c r="U347" s="35">
        <v>2096</v>
      </c>
      <c r="V347">
        <v>792</v>
      </c>
      <c r="AA347" s="68">
        <f>SUM(S347:Z347)</f>
        <v>5592.8</v>
      </c>
      <c r="AC347" s="19">
        <v>45695</v>
      </c>
      <c r="AD347" s="4">
        <f>F347+R347</f>
        <v>8464.3</v>
      </c>
    </row>
    <row r="348" spans="1:73" hidden="true">
      <c r="D348" s="9" t="s">
        <v>11</v>
      </c>
      <c r="E348" s="2">
        <v>45696</v>
      </c>
      <c r="F348" s="55">
        <v>3703.6</v>
      </c>
      <c r="G348" s="91">
        <v>3703.6</v>
      </c>
      <c r="N348" s="30">
        <f>SUM(G348:M348)</f>
        <v>3703.6</v>
      </c>
      <c r="Q348" s="2">
        <v>45696</v>
      </c>
      <c r="R348" s="3">
        <v>4158</v>
      </c>
      <c r="S348" s="91">
        <v>2010</v>
      </c>
      <c r="T348">
        <v>0</v>
      </c>
      <c r="U348" s="35">
        <v>1034</v>
      </c>
      <c r="V348" s="35">
        <v>1114</v>
      </c>
      <c r="AA348" s="68">
        <f>SUM(S348:Z348)</f>
        <v>4158</v>
      </c>
      <c r="AC348" s="19">
        <v>45696</v>
      </c>
      <c r="AD348" s="4">
        <f>F348+R348</f>
        <v>7861.6</v>
      </c>
    </row>
    <row r="349" spans="1:73" hidden="true">
      <c r="D349" s="9" t="s">
        <v>12</v>
      </c>
      <c r="E349" s="2">
        <v>45697</v>
      </c>
      <c r="F349" s="55">
        <v>4004.55</v>
      </c>
      <c r="G349" s="91">
        <v>4004.55</v>
      </c>
      <c r="N349" s="30">
        <f>SUM(G349:M349)</f>
        <v>4004.55</v>
      </c>
      <c r="Q349" s="2">
        <v>45697</v>
      </c>
      <c r="R349" s="3">
        <v>7037</v>
      </c>
      <c r="S349" s="91">
        <v>3526</v>
      </c>
      <c r="T349">
        <v>0</v>
      </c>
      <c r="U349" s="35">
        <v>2703</v>
      </c>
      <c r="V349">
        <v>808</v>
      </c>
      <c r="AA349" s="68">
        <f>SUM(S349:Z349)</f>
        <v>7037</v>
      </c>
      <c r="AC349" s="19">
        <v>45697</v>
      </c>
      <c r="AD349" s="4">
        <f>F349+R349</f>
        <v>11041.55</v>
      </c>
    </row>
    <row r="350" spans="1:73" hidden="true">
      <c r="D350" s="9" t="s">
        <v>13</v>
      </c>
      <c r="E350" s="2">
        <v>45698</v>
      </c>
      <c r="F350" s="55">
        <v>3034.15</v>
      </c>
      <c r="G350" s="91">
        <v>3034.15</v>
      </c>
      <c r="N350" s="30">
        <f>SUM(G350:M350)</f>
        <v>3034.15</v>
      </c>
      <c r="Q350" s="2">
        <v>45698</v>
      </c>
      <c r="R350" s="3">
        <v>5336.9</v>
      </c>
      <c r="S350" s="91">
        <v>1567</v>
      </c>
      <c r="T350">
        <v>637.9</v>
      </c>
      <c r="U350" s="35">
        <v>1674</v>
      </c>
      <c r="V350" s="35">
        <v>1458</v>
      </c>
      <c r="AA350" s="68">
        <f>SUM(S350:Z350)</f>
        <v>5336.9</v>
      </c>
      <c r="AC350" s="19">
        <v>45698</v>
      </c>
      <c r="AD350" s="4">
        <f>F350+R350</f>
        <v>8371.05</v>
      </c>
    </row>
    <row r="351" spans="1:73" hidden="true">
      <c r="D351" s="9" t="s">
        <v>14</v>
      </c>
      <c r="E351" s="2">
        <v>45699</v>
      </c>
      <c r="F351" s="55">
        <v>2651.25</v>
      </c>
      <c r="G351" s="91">
        <v>2651.25</v>
      </c>
      <c r="N351" s="30">
        <f>SUM(G351:M351)</f>
        <v>2651.25</v>
      </c>
      <c r="Q351" s="2">
        <v>45699</v>
      </c>
      <c r="R351" s="3">
        <v>7727</v>
      </c>
      <c r="S351" s="91">
        <v>3937</v>
      </c>
      <c r="T351">
        <v>0</v>
      </c>
      <c r="U351" s="35">
        <v>2778</v>
      </c>
      <c r="V351" s="35">
        <v>1012</v>
      </c>
      <c r="AA351" s="68">
        <f>SUM(S351:Z351)</f>
        <v>7727</v>
      </c>
      <c r="AC351" s="19">
        <v>45699</v>
      </c>
      <c r="AD351" s="4">
        <f>F351+R351</f>
        <v>10378.25</v>
      </c>
    </row>
    <row r="352" spans="1:73" hidden="true">
      <c r="D352" s="9" t="s">
        <v>15</v>
      </c>
      <c r="E352" s="2">
        <v>45700</v>
      </c>
      <c r="F352" s="55">
        <v>3833.95</v>
      </c>
      <c r="G352" s="91">
        <v>3833.95</v>
      </c>
      <c r="N352" s="30">
        <f>SUM(G352:M352)</f>
        <v>3833.95</v>
      </c>
      <c r="Q352" s="2">
        <v>45700</v>
      </c>
      <c r="R352" s="3">
        <v>3801</v>
      </c>
      <c r="S352" s="91">
        <v>2191</v>
      </c>
      <c r="T352">
        <v>0</v>
      </c>
      <c r="U352" s="35">
        <v>1136</v>
      </c>
      <c r="V352">
        <v>474</v>
      </c>
      <c r="AA352" s="68">
        <f>SUM(S352:Z352)</f>
        <v>3801</v>
      </c>
      <c r="AC352" s="19">
        <v>45700</v>
      </c>
      <c r="AD352" s="4">
        <f>F352+R352</f>
        <v>7634.95</v>
      </c>
    </row>
    <row r="353" spans="1:73" hidden="true">
      <c r="D353" s="9" t="s">
        <v>16</v>
      </c>
      <c r="E353" s="2">
        <v>45701</v>
      </c>
      <c r="F353" s="55">
        <v>2768.1</v>
      </c>
      <c r="G353" s="91">
        <v>2768.1</v>
      </c>
      <c r="N353" s="30">
        <f>SUM(G353:M353)</f>
        <v>2768.1</v>
      </c>
      <c r="Q353" s="2">
        <v>45701</v>
      </c>
      <c r="R353" s="3">
        <v>8039</v>
      </c>
      <c r="S353" s="91">
        <v>2945</v>
      </c>
      <c r="T353">
        <v>176</v>
      </c>
      <c r="U353" s="35">
        <v>2846</v>
      </c>
      <c r="V353" s="35">
        <v>2072</v>
      </c>
      <c r="AA353" s="68">
        <f>SUM(S353:Z353)</f>
        <v>8039</v>
      </c>
      <c r="AC353" s="19">
        <v>45701</v>
      </c>
      <c r="AD353" s="4">
        <f>F353+R353</f>
        <v>10807.1</v>
      </c>
    </row>
    <row r="354" spans="1:73" hidden="true">
      <c r="D354" s="9" t="s">
        <v>10</v>
      </c>
      <c r="E354" s="2">
        <v>45702</v>
      </c>
      <c r="F354" s="55">
        <v>2748.75</v>
      </c>
      <c r="G354" s="91">
        <v>2748.75</v>
      </c>
      <c r="N354" s="30">
        <f>SUM(G354:M354)</f>
        <v>2748.75</v>
      </c>
      <c r="Q354" s="2">
        <v>45702</v>
      </c>
      <c r="R354" s="3">
        <v>5630</v>
      </c>
      <c r="S354" s="91">
        <v>2320</v>
      </c>
      <c r="T354">
        <v>440</v>
      </c>
      <c r="U354" s="35">
        <v>1886</v>
      </c>
      <c r="V354">
        <v>984</v>
      </c>
      <c r="AA354" s="68">
        <f>SUM(S354:Z354)</f>
        <v>5630</v>
      </c>
      <c r="AC354" s="19">
        <v>45702</v>
      </c>
      <c r="AD354" s="4">
        <f>F354+R354</f>
        <v>8378.75</v>
      </c>
    </row>
    <row r="355" spans="1:73" hidden="true">
      <c r="D355" s="9" t="s">
        <v>11</v>
      </c>
      <c r="E355" s="2">
        <v>45703</v>
      </c>
      <c r="F355" s="55">
        <v>2858.7</v>
      </c>
      <c r="G355" s="91">
        <v>2858.7</v>
      </c>
      <c r="N355" s="30">
        <f>SUM(G355:M355)</f>
        <v>2858.7</v>
      </c>
      <c r="Q355" s="2">
        <v>45703</v>
      </c>
      <c r="R355" s="3">
        <v>6491</v>
      </c>
      <c r="S355" s="49">
        <v>168</v>
      </c>
      <c r="T355">
        <v>704</v>
      </c>
      <c r="U355" s="35">
        <v>3530</v>
      </c>
      <c r="V355" s="35">
        <v>2089</v>
      </c>
      <c r="AA355" s="68">
        <f>SUM(S355:Z355)</f>
        <v>6491</v>
      </c>
      <c r="AC355" s="19">
        <v>45703</v>
      </c>
      <c r="AD355" s="4">
        <f>F355+R355</f>
        <v>9349.7</v>
      </c>
    </row>
    <row r="356" spans="1:73" hidden="true">
      <c r="D356" s="9" t="s">
        <v>12</v>
      </c>
      <c r="E356" s="2">
        <v>45704</v>
      </c>
      <c r="F356" s="55">
        <v>3860.85</v>
      </c>
      <c r="G356" s="91">
        <v>3860.85</v>
      </c>
      <c r="N356" s="30">
        <f>SUM(G356:M356)</f>
        <v>3860.85</v>
      </c>
      <c r="Q356" s="2">
        <v>45704</v>
      </c>
      <c r="R356" s="3">
        <v>2818</v>
      </c>
      <c r="S356" s="49">
        <v>0</v>
      </c>
      <c r="T356">
        <v>176</v>
      </c>
      <c r="U356" s="35">
        <v>1948</v>
      </c>
      <c r="V356">
        <v>694</v>
      </c>
      <c r="AA356" s="68">
        <f>SUM(S356:Z356)</f>
        <v>2818</v>
      </c>
      <c r="AC356" s="19">
        <v>45704</v>
      </c>
      <c r="AD356" s="4">
        <f>F356+R356</f>
        <v>6678.85</v>
      </c>
    </row>
    <row r="357" spans="1:73" hidden="true">
      <c r="D357" s="9" t="s">
        <v>13</v>
      </c>
      <c r="E357" s="2">
        <v>45705</v>
      </c>
      <c r="F357" s="55">
        <v>3784.2</v>
      </c>
      <c r="G357" s="91">
        <v>3784.2</v>
      </c>
      <c r="N357" s="30">
        <f>SUM(G357:M357)</f>
        <v>3784.2</v>
      </c>
      <c r="Q357" s="2">
        <v>45705</v>
      </c>
      <c r="R357" s="3">
        <v>2402</v>
      </c>
      <c r="S357" s="49">
        <v>0</v>
      </c>
      <c r="T357">
        <v>136</v>
      </c>
      <c r="U357" s="35">
        <v>2068</v>
      </c>
      <c r="V357">
        <v>198</v>
      </c>
      <c r="AA357" s="68">
        <f>SUM(S357:Z357)</f>
        <v>2402</v>
      </c>
      <c r="AC357" s="19">
        <v>45705</v>
      </c>
      <c r="AD357" s="4">
        <f>F357+R357</f>
        <v>6186.2</v>
      </c>
    </row>
    <row r="358" spans="1:73" hidden="true">
      <c r="D358" s="9" t="s">
        <v>14</v>
      </c>
      <c r="E358" s="2">
        <v>45706</v>
      </c>
      <c r="F358" s="55">
        <v>2360.45</v>
      </c>
      <c r="G358" s="91">
        <v>2360.45</v>
      </c>
      <c r="N358" s="30">
        <f>SUM(G358:M358)</f>
        <v>2360.45</v>
      </c>
      <c r="Q358" s="2">
        <v>45706</v>
      </c>
      <c r="R358" s="3">
        <v>2312</v>
      </c>
      <c r="S358" s="49">
        <v>0</v>
      </c>
      <c r="T358">
        <v>264</v>
      </c>
      <c r="U358" s="35">
        <v>1164</v>
      </c>
      <c r="V358">
        <v>884</v>
      </c>
      <c r="AA358" s="68">
        <f>SUM(S358:Z358)</f>
        <v>2312</v>
      </c>
      <c r="AC358" s="19">
        <v>45706</v>
      </c>
      <c r="AD358" s="4">
        <f>F358+R358</f>
        <v>4672.45</v>
      </c>
    </row>
    <row r="359" spans="1:73" hidden="true">
      <c r="D359" s="9" t="s">
        <v>15</v>
      </c>
      <c r="E359" s="2">
        <v>45707</v>
      </c>
      <c r="F359" s="55">
        <v>1598.95</v>
      </c>
      <c r="G359" s="91">
        <v>1598.95</v>
      </c>
      <c r="N359" s="30">
        <f>SUM(G359:M359)</f>
        <v>1598.95</v>
      </c>
      <c r="Q359" s="2">
        <v>45707</v>
      </c>
      <c r="R359" s="3">
        <v>3692</v>
      </c>
      <c r="S359" s="49">
        <v>0</v>
      </c>
      <c r="T359">
        <v>88</v>
      </c>
      <c r="U359" s="35">
        <v>2152</v>
      </c>
      <c r="V359" s="35">
        <v>1452</v>
      </c>
      <c r="AA359" s="68">
        <f>SUM(S359:Z359)</f>
        <v>3692</v>
      </c>
      <c r="AC359" s="19">
        <v>45707</v>
      </c>
      <c r="AD359" s="4">
        <f>F359+R359</f>
        <v>5290.95</v>
      </c>
    </row>
    <row r="360" spans="1:73" hidden="true">
      <c r="D360" s="9" t="s">
        <v>16</v>
      </c>
      <c r="E360" s="2">
        <v>45708</v>
      </c>
      <c r="F360" s="55">
        <v>2314.25</v>
      </c>
      <c r="G360" s="91">
        <v>2314.25</v>
      </c>
      <c r="N360" s="30">
        <f>SUM(G360:M360)</f>
        <v>2314.25</v>
      </c>
      <c r="Q360" s="2">
        <v>45708</v>
      </c>
      <c r="R360" s="3">
        <v>1659</v>
      </c>
      <c r="S360" s="49">
        <v>0</v>
      </c>
      <c r="T360">
        <v>176</v>
      </c>
      <c r="U360">
        <v>895</v>
      </c>
      <c r="V360">
        <v>588</v>
      </c>
      <c r="AA360" s="68">
        <f>SUM(S360:Z360)</f>
        <v>1659</v>
      </c>
      <c r="AC360" s="19">
        <v>45708</v>
      </c>
      <c r="AD360" s="4">
        <f>F360+R360</f>
        <v>3973.25</v>
      </c>
    </row>
    <row r="361" spans="1:73" hidden="true">
      <c r="D361" s="9" t="s">
        <v>10</v>
      </c>
      <c r="E361" s="2">
        <v>45709</v>
      </c>
      <c r="F361" s="55">
        <v>2063.9</v>
      </c>
      <c r="G361" s="91">
        <v>2063.9</v>
      </c>
      <c r="N361" s="30">
        <f>SUM(G361:M361)</f>
        <v>2063.9</v>
      </c>
      <c r="Q361" s="2">
        <v>45709</v>
      </c>
      <c r="R361" s="3">
        <v>2412</v>
      </c>
      <c r="S361" s="49">
        <v>0</v>
      </c>
      <c r="T361">
        <v>616</v>
      </c>
      <c r="U361">
        <v>496</v>
      </c>
      <c r="V361" s="35">
        <v>1300</v>
      </c>
      <c r="AA361" s="68">
        <f>SUM(S361:Z361)</f>
        <v>2412</v>
      </c>
      <c r="AC361" s="19">
        <v>45709</v>
      </c>
      <c r="AD361" s="4">
        <f>F361+R361</f>
        <v>4475.9</v>
      </c>
    </row>
    <row r="362" spans="1:73" hidden="true">
      <c r="D362" s="9" t="s">
        <v>11</v>
      </c>
      <c r="E362" s="2">
        <v>45710</v>
      </c>
      <c r="F362" s="55">
        <v>1947.8</v>
      </c>
      <c r="G362" s="91">
        <v>1947.8</v>
      </c>
      <c r="N362" s="30">
        <f>SUM(G362:M362)</f>
        <v>1947.8</v>
      </c>
      <c r="Q362" s="2">
        <v>45710</v>
      </c>
      <c r="R362" s="3">
        <v>3648</v>
      </c>
      <c r="S362" s="49">
        <v>0</v>
      </c>
      <c r="T362">
        <v>176</v>
      </c>
      <c r="U362" s="35">
        <v>1720</v>
      </c>
      <c r="V362" s="35">
        <v>1752</v>
      </c>
      <c r="AA362" s="68">
        <f>SUM(S362:Z362)</f>
        <v>3648</v>
      </c>
      <c r="AC362" s="19">
        <v>45710</v>
      </c>
      <c r="AD362" s="4">
        <f>F362+R362</f>
        <v>5595.8</v>
      </c>
    </row>
    <row r="363" spans="1:73" hidden="true">
      <c r="D363" s="9" t="s">
        <v>12</v>
      </c>
      <c r="E363" s="2">
        <v>45711</v>
      </c>
      <c r="F363" s="55">
        <v>2648</v>
      </c>
      <c r="G363" s="91">
        <v>2648</v>
      </c>
      <c r="N363" s="30">
        <f>SUM(G363:M363)</f>
        <v>2648</v>
      </c>
      <c r="Q363" s="2">
        <v>45711</v>
      </c>
      <c r="R363" s="3">
        <v>4355.9</v>
      </c>
      <c r="S363" s="49">
        <v>0</v>
      </c>
      <c r="T363">
        <v>29.9</v>
      </c>
      <c r="U363" s="35">
        <v>2050</v>
      </c>
      <c r="V363" s="35">
        <v>2276</v>
      </c>
      <c r="AA363" s="68">
        <f>SUM(S363:Z363)</f>
        <v>4355.9</v>
      </c>
      <c r="AC363" s="19">
        <v>45711</v>
      </c>
      <c r="AD363" s="4">
        <f>F363+R363</f>
        <v>7003.9</v>
      </c>
    </row>
    <row r="364" spans="1:73" hidden="true">
      <c r="D364" s="9" t="s">
        <v>13</v>
      </c>
      <c r="E364" s="2">
        <v>45712</v>
      </c>
      <c r="F364" s="55">
        <v>2507</v>
      </c>
      <c r="G364" s="91">
        <v>2507</v>
      </c>
      <c r="N364" s="30">
        <f>SUM(G364:M364)</f>
        <v>2507</v>
      </c>
      <c r="Q364" s="2">
        <v>45712</v>
      </c>
      <c r="R364" s="3">
        <v>2769</v>
      </c>
      <c r="S364" s="49">
        <v>0</v>
      </c>
      <c r="T364">
        <v>515.7</v>
      </c>
      <c r="U364" s="35">
        <v>1829</v>
      </c>
      <c r="V364">
        <v>424</v>
      </c>
      <c r="AA364" s="68">
        <f>SUM(S364:Z364)</f>
        <v>2768.7</v>
      </c>
      <c r="AC364" s="19">
        <v>45712</v>
      </c>
      <c r="AD364" s="4">
        <f>F364+R364</f>
        <v>5276</v>
      </c>
    </row>
    <row r="365" spans="1:73" hidden="true">
      <c r="D365" s="9" t="s">
        <v>14</v>
      </c>
      <c r="E365" s="2">
        <v>45713</v>
      </c>
      <c r="F365" s="55">
        <v>3027.35</v>
      </c>
      <c r="G365" s="91">
        <v>3027.35</v>
      </c>
      <c r="N365" s="30">
        <f>SUM(G365:M365)</f>
        <v>3027.35</v>
      </c>
      <c r="Q365" s="2">
        <v>45713</v>
      </c>
      <c r="R365" s="3">
        <v>6712</v>
      </c>
      <c r="S365" s="49">
        <v>0</v>
      </c>
      <c r="T365" s="35">
        <v>1293.6</v>
      </c>
      <c r="U365" s="35">
        <v>3354</v>
      </c>
      <c r="V365" s="35">
        <v>2064</v>
      </c>
      <c r="AA365" s="68">
        <f>SUM(S365:Z365)</f>
        <v>6711.6</v>
      </c>
      <c r="AC365" s="19">
        <v>45713</v>
      </c>
      <c r="AD365" s="4">
        <f>F365+R365</f>
        <v>9739.35</v>
      </c>
    </row>
    <row r="366" spans="1:73" hidden="true">
      <c r="D366" s="9" t="s">
        <v>15</v>
      </c>
      <c r="E366" s="2">
        <v>45714</v>
      </c>
      <c r="F366" s="55">
        <v>2006.05</v>
      </c>
      <c r="G366" s="91">
        <v>2006.05</v>
      </c>
      <c r="N366" s="30">
        <f>SUM(G366:M366)</f>
        <v>2006.05</v>
      </c>
      <c r="Q366" s="2">
        <v>45714</v>
      </c>
      <c r="R366" s="3">
        <v>2810</v>
      </c>
      <c r="S366" s="49">
        <v>0</v>
      </c>
      <c r="T366">
        <v>195.9</v>
      </c>
      <c r="U366" s="35">
        <v>1482</v>
      </c>
      <c r="V366" s="35">
        <v>1132</v>
      </c>
      <c r="AA366" s="68">
        <f>SUM(S366:Z366)</f>
        <v>2809.9</v>
      </c>
      <c r="AC366" s="19">
        <v>45714</v>
      </c>
      <c r="AD366" s="4">
        <f>F366+R366</f>
        <v>4816.05</v>
      </c>
    </row>
    <row r="367" spans="1:73" hidden="true">
      <c r="D367" s="9" t="s">
        <v>16</v>
      </c>
      <c r="E367" s="2">
        <v>45715</v>
      </c>
      <c r="F367" s="55">
        <v>3527</v>
      </c>
      <c r="G367" s="91">
        <v>2345.75</v>
      </c>
      <c r="N367" s="30">
        <f>SUM(G367:M367)</f>
        <v>2345.75</v>
      </c>
      <c r="Q367" s="2">
        <v>45715</v>
      </c>
      <c r="R367" s="3">
        <v>3379</v>
      </c>
      <c r="S367" s="49">
        <v>0</v>
      </c>
      <c r="T367">
        <v>275.9</v>
      </c>
      <c r="U367" s="35">
        <v>2536</v>
      </c>
      <c r="V367">
        <v>567</v>
      </c>
      <c r="AA367" s="68">
        <f>SUM(S367:Z367)</f>
        <v>3378.9</v>
      </c>
      <c r="AC367" s="19">
        <v>45715</v>
      </c>
      <c r="AD367" s="4">
        <f>F367+R367</f>
        <v>6906</v>
      </c>
    </row>
    <row r="368" spans="1:73" hidden="true">
      <c r="D368" s="9" t="s">
        <v>10</v>
      </c>
      <c r="E368" s="2">
        <v>45716</v>
      </c>
      <c r="F368" s="55">
        <v>3366.7</v>
      </c>
      <c r="G368" s="91">
        <v>3366.7</v>
      </c>
      <c r="N368" s="30">
        <f>SUM(G368:M368)</f>
        <v>3366.7</v>
      </c>
      <c r="Q368" s="2">
        <v>45716</v>
      </c>
      <c r="R368" s="3">
        <v>4852</v>
      </c>
      <c r="S368" s="49">
        <v>0</v>
      </c>
      <c r="T368">
        <v>49.8</v>
      </c>
      <c r="U368" s="35">
        <v>3904</v>
      </c>
      <c r="V368">
        <v>898</v>
      </c>
      <c r="AA368" s="68">
        <f>SUM(S368:Z368)</f>
        <v>4851.8</v>
      </c>
      <c r="AC368" s="19">
        <v>45716</v>
      </c>
      <c r="AD368" s="4">
        <f>F368+R368</f>
        <v>8218.7</v>
      </c>
    </row>
    <row r="369" spans="1:73" hidden="true">
      <c r="D369" s="9" t="s">
        <v>11</v>
      </c>
      <c r="E369" s="2">
        <v>45717</v>
      </c>
      <c r="F369" s="55">
        <v>3454</v>
      </c>
      <c r="G369" s="91">
        <v>3189.95</v>
      </c>
      <c r="I369" s="117">
        <v>263.9</v>
      </c>
      <c r="N369" s="30">
        <f>SUM(G369:M369)</f>
        <v>3453.85</v>
      </c>
      <c r="Q369" s="2">
        <v>45717</v>
      </c>
      <c r="R369" s="3">
        <v>5066</v>
      </c>
      <c r="S369" s="49">
        <v>594</v>
      </c>
      <c r="T369">
        <v>29.9</v>
      </c>
      <c r="U369">
        <v>774</v>
      </c>
      <c r="V369" s="35">
        <v>4262</v>
      </c>
      <c r="AA369" s="68">
        <f>SUM(S369:Z369)</f>
        <v>5659.9</v>
      </c>
      <c r="AC369" s="19">
        <v>45717</v>
      </c>
      <c r="AD369" s="4">
        <f>F369+R369</f>
        <v>8520</v>
      </c>
    </row>
    <row r="370" spans="1:73" hidden="true">
      <c r="D370" s="9" t="s">
        <v>12</v>
      </c>
      <c r="E370" s="2">
        <v>45718</v>
      </c>
      <c r="F370" s="55">
        <v>2289</v>
      </c>
      <c r="G370" s="91">
        <v>2149.5</v>
      </c>
      <c r="I370" s="117">
        <v>139.6</v>
      </c>
      <c r="N370" s="30">
        <f>SUM(G370:M370)</f>
        <v>2289.1</v>
      </c>
      <c r="Q370" s="2">
        <v>45718</v>
      </c>
      <c r="R370" s="3">
        <v>3538</v>
      </c>
      <c r="S370" s="49">
        <v>0</v>
      </c>
      <c r="T370">
        <v>88</v>
      </c>
      <c r="U370" s="35">
        <v>2582</v>
      </c>
      <c r="V370">
        <v>868</v>
      </c>
      <c r="AA370" s="68">
        <f>SUM(S370:Z370)</f>
        <v>3538</v>
      </c>
      <c r="AC370" s="19">
        <v>45718</v>
      </c>
      <c r="AD370" s="4">
        <f>F370+R370</f>
        <v>5827</v>
      </c>
    </row>
    <row r="371" spans="1:73" hidden="true">
      <c r="D371" s="9" t="s">
        <v>13</v>
      </c>
      <c r="E371" s="2">
        <v>45719</v>
      </c>
      <c r="F371" s="55">
        <v>1937</v>
      </c>
      <c r="G371" s="91">
        <v>1912</v>
      </c>
      <c r="I371" s="117">
        <v>24.9</v>
      </c>
      <c r="N371" s="30">
        <f>SUM(G371:M371)</f>
        <v>1936.9</v>
      </c>
      <c r="Q371" s="2">
        <v>45719</v>
      </c>
      <c r="R371" s="3">
        <v>654</v>
      </c>
      <c r="S371" s="49">
        <v>0</v>
      </c>
      <c r="T371">
        <v>127.9</v>
      </c>
      <c r="U371">
        <v>526</v>
      </c>
      <c r="V371">
        <v>0</v>
      </c>
      <c r="AA371" s="68">
        <f>SUM(S371:Z371)</f>
        <v>653.9</v>
      </c>
      <c r="AC371" s="19">
        <v>45719</v>
      </c>
      <c r="AD371" s="4">
        <f>F371+R371</f>
        <v>2591</v>
      </c>
    </row>
    <row r="372" spans="1:73" hidden="true">
      <c r="D372" s="9" t="s">
        <v>14</v>
      </c>
      <c r="E372" s="2">
        <v>45720</v>
      </c>
      <c r="F372" s="55">
        <v>1921</v>
      </c>
      <c r="G372" s="91">
        <v>1759.7</v>
      </c>
      <c r="I372" s="117">
        <v>161.2</v>
      </c>
      <c r="N372" s="30">
        <f>SUM(G372:M372)</f>
        <v>1920.9</v>
      </c>
      <c r="Q372" s="2">
        <v>45720</v>
      </c>
      <c r="R372" s="3">
        <v>3116</v>
      </c>
      <c r="S372" s="49">
        <v>758</v>
      </c>
      <c r="T372">
        <v>461.5</v>
      </c>
      <c r="U372">
        <v>0</v>
      </c>
      <c r="V372" s="35">
        <v>1896</v>
      </c>
      <c r="AA372" s="68">
        <f>SUM(S372:Z372)</f>
        <v>3115.5</v>
      </c>
      <c r="AC372" s="19">
        <v>45720</v>
      </c>
      <c r="AD372" s="4">
        <f>F372+R372</f>
        <v>5037</v>
      </c>
    </row>
    <row r="373" spans="1:73" hidden="true">
      <c r="D373" s="9" t="s">
        <v>15</v>
      </c>
      <c r="E373" s="2">
        <v>45721</v>
      </c>
      <c r="F373" s="55">
        <v>1369</v>
      </c>
      <c r="G373" s="91">
        <v>1177</v>
      </c>
      <c r="I373" s="117">
        <v>192.4</v>
      </c>
      <c r="N373" s="30">
        <f>SUM(G373:M373)</f>
        <v>1369.4</v>
      </c>
      <c r="Q373" s="2">
        <v>45721</v>
      </c>
      <c r="R373" s="3">
        <v>3640</v>
      </c>
      <c r="S373" s="49">
        <v>138</v>
      </c>
      <c r="T373">
        <v>0</v>
      </c>
      <c r="U373" s="35">
        <v>2838</v>
      </c>
      <c r="V373">
        <v>664</v>
      </c>
      <c r="AA373" s="68">
        <f>SUM(S373:Z373)</f>
        <v>3640</v>
      </c>
      <c r="AC373" s="19">
        <v>45721</v>
      </c>
      <c r="AD373" s="4">
        <f>F373+R373</f>
        <v>5009</v>
      </c>
    </row>
    <row r="374" spans="1:73" hidden="true">
      <c r="D374" s="9" t="s">
        <v>16</v>
      </c>
      <c r="E374" s="2">
        <v>45722</v>
      </c>
      <c r="F374" s="55">
        <v>1759</v>
      </c>
      <c r="G374" s="91">
        <v>1671.1</v>
      </c>
      <c r="I374" s="117">
        <v>87.6</v>
      </c>
      <c r="N374" s="30">
        <f>SUM(G374:M374)</f>
        <v>1758.7</v>
      </c>
      <c r="Q374" s="2">
        <v>45722</v>
      </c>
      <c r="R374" s="3">
        <v>3465</v>
      </c>
      <c r="S374" s="91">
        <v>1440</v>
      </c>
      <c r="T374">
        <v>118.9</v>
      </c>
      <c r="U374">
        <v>886</v>
      </c>
      <c r="V374" s="35">
        <v>1020</v>
      </c>
      <c r="AA374" s="68">
        <f>SUM(S374:Z374)</f>
        <v>3464.9</v>
      </c>
      <c r="AC374" s="19">
        <v>45722</v>
      </c>
      <c r="AD374" s="4">
        <f>F374+R374</f>
        <v>5224</v>
      </c>
    </row>
    <row r="375" spans="1:73" hidden="true">
      <c r="D375" s="9" t="s">
        <v>10</v>
      </c>
      <c r="E375" s="2">
        <v>45723</v>
      </c>
      <c r="F375" s="55">
        <v>1977</v>
      </c>
      <c r="G375" s="91">
        <v>1493.5</v>
      </c>
      <c r="I375" s="117">
        <v>483.35</v>
      </c>
      <c r="N375" s="30">
        <f>SUM(G375:M375)</f>
        <v>1976.85</v>
      </c>
      <c r="Q375" s="2">
        <v>45723</v>
      </c>
      <c r="R375" s="3">
        <v>1745.9</v>
      </c>
      <c r="S375" s="91">
        <v>1292</v>
      </c>
      <c r="T375">
        <v>59.9</v>
      </c>
      <c r="U375">
        <v>198</v>
      </c>
      <c r="V375">
        <v>196</v>
      </c>
      <c r="AA375" s="68">
        <f>SUM(S375:Z375)</f>
        <v>1745.9</v>
      </c>
      <c r="AC375" s="19">
        <v>45723</v>
      </c>
      <c r="AD375" s="4">
        <f>F375+R375</f>
        <v>3722.9</v>
      </c>
    </row>
    <row r="376" spans="1:73" hidden="true">
      <c r="D376" s="9" t="s">
        <v>11</v>
      </c>
      <c r="E376" s="2">
        <v>45724</v>
      </c>
      <c r="F376" s="55">
        <v>2590.45</v>
      </c>
      <c r="G376" s="91">
        <v>2273.55</v>
      </c>
      <c r="I376" s="117">
        <v>316.9</v>
      </c>
      <c r="N376" s="30">
        <f>SUM(G376:M376)</f>
        <v>2590.45</v>
      </c>
      <c r="Q376" s="2">
        <v>45724</v>
      </c>
      <c r="R376" s="3">
        <v>1953.8</v>
      </c>
      <c r="S376" s="49">
        <v>0</v>
      </c>
      <c r="T376">
        <v>343.8</v>
      </c>
      <c r="U376">
        <v>944</v>
      </c>
      <c r="V376">
        <v>666</v>
      </c>
      <c r="AA376" s="68">
        <f>SUM(S376:Z376)</f>
        <v>1953.8</v>
      </c>
      <c r="AC376" s="19">
        <v>45724</v>
      </c>
      <c r="AD376" s="4">
        <f>F376+R376</f>
        <v>4544.25</v>
      </c>
    </row>
    <row r="377" spans="1:73" hidden="true">
      <c r="D377" s="9" t="s">
        <v>12</v>
      </c>
      <c r="E377" s="2">
        <v>45725</v>
      </c>
      <c r="F377" s="55">
        <v>2866.6</v>
      </c>
      <c r="G377" s="91">
        <v>2572.4</v>
      </c>
      <c r="I377" s="117">
        <v>294.2</v>
      </c>
      <c r="N377" s="30">
        <f>SUM(G377:M377)</f>
        <v>2866.6</v>
      </c>
      <c r="Q377" s="2">
        <v>45725</v>
      </c>
      <c r="R377" s="3">
        <v>3985.9</v>
      </c>
      <c r="S377" s="91">
        <v>1060</v>
      </c>
      <c r="T377">
        <v>381.9</v>
      </c>
      <c r="U377" s="35">
        <v>1850</v>
      </c>
      <c r="V377">
        <v>694</v>
      </c>
      <c r="AA377" s="68">
        <f>SUM(S377:Z377)</f>
        <v>3985.9</v>
      </c>
      <c r="AC377" s="19">
        <v>45725</v>
      </c>
      <c r="AD377" s="4">
        <f>F377+R377</f>
        <v>6852.5</v>
      </c>
    </row>
    <row r="378" spans="1:73" hidden="true">
      <c r="D378" s="9" t="s">
        <v>13</v>
      </c>
      <c r="E378" s="2">
        <v>45726</v>
      </c>
      <c r="F378" s="55">
        <v>1304.5</v>
      </c>
      <c r="G378" s="49">
        <v>921.8</v>
      </c>
      <c r="I378" s="117">
        <v>382.7</v>
      </c>
      <c r="N378" s="30">
        <f>SUM(G378:M378)</f>
        <v>1304.5</v>
      </c>
      <c r="Q378" s="2">
        <v>45726</v>
      </c>
      <c r="R378" s="3">
        <v>914</v>
      </c>
      <c r="S378" s="49">
        <v>268</v>
      </c>
      <c r="T378">
        <v>0</v>
      </c>
      <c r="U378">
        <v>646</v>
      </c>
      <c r="V378">
        <v>0</v>
      </c>
      <c r="AA378" s="68">
        <f>SUM(S378:Z378)</f>
        <v>914</v>
      </c>
      <c r="AC378" s="19">
        <v>45726</v>
      </c>
      <c r="AD378" s="4">
        <f>F378+R378</f>
        <v>2218.5</v>
      </c>
    </row>
    <row r="379" spans="1:73" hidden="true">
      <c r="D379" s="9" t="s">
        <v>14</v>
      </c>
      <c r="E379" s="2">
        <v>45727</v>
      </c>
      <c r="F379" s="55">
        <v>978.4</v>
      </c>
      <c r="G379" s="49">
        <v>851.7</v>
      </c>
      <c r="I379" s="117">
        <v>126.7</v>
      </c>
      <c r="N379" s="30">
        <f>SUM(G379:M379)</f>
        <v>978.4</v>
      </c>
      <c r="Q379" s="2">
        <v>45727</v>
      </c>
      <c r="R379" s="3">
        <v>1924</v>
      </c>
      <c r="S379" s="49">
        <v>0</v>
      </c>
      <c r="T379">
        <v>176</v>
      </c>
      <c r="U379">
        <v>498</v>
      </c>
      <c r="V379" s="35">
        <v>1250</v>
      </c>
      <c r="AA379" s="68">
        <f>SUM(S379:Z379)</f>
        <v>1924</v>
      </c>
      <c r="AC379" s="19">
        <v>45727</v>
      </c>
      <c r="AD379" s="4">
        <f>F379+R379</f>
        <v>2902.4</v>
      </c>
    </row>
    <row r="380" spans="1:73" hidden="true">
      <c r="D380" s="9" t="s">
        <v>15</v>
      </c>
      <c r="E380" s="2">
        <v>45728</v>
      </c>
      <c r="F380" s="55">
        <v>1397.9</v>
      </c>
      <c r="G380" s="91">
        <v>1272.3</v>
      </c>
      <c r="I380" s="117">
        <v>125.6</v>
      </c>
      <c r="N380" s="30">
        <f>SUM(G380:M380)</f>
        <v>1397.9</v>
      </c>
      <c r="Q380" s="2">
        <v>45728</v>
      </c>
      <c r="R380" s="3">
        <v>2453.9</v>
      </c>
      <c r="S380" s="49">
        <v>486</v>
      </c>
      <c r="T380">
        <v>107.9</v>
      </c>
      <c r="U380" s="35">
        <v>1234</v>
      </c>
      <c r="V380">
        <v>626</v>
      </c>
      <c r="AA380" s="68">
        <f>SUM(S380:Z380)</f>
        <v>2453.9</v>
      </c>
      <c r="AC380" s="19">
        <v>45728</v>
      </c>
      <c r="AD380" s="4">
        <f>F380+R380</f>
        <v>3851.8</v>
      </c>
    </row>
    <row r="381" spans="1:73" hidden="true">
      <c r="D381" s="9" t="s">
        <v>16</v>
      </c>
      <c r="E381" s="2">
        <v>45729</v>
      </c>
      <c r="F381" s="55">
        <v>1381.3</v>
      </c>
      <c r="G381" s="91">
        <v>1281.5</v>
      </c>
      <c r="I381" s="117">
        <v>99.8</v>
      </c>
      <c r="N381" s="30">
        <f>SUM(G381:M381)</f>
        <v>1381.3</v>
      </c>
      <c r="Q381" s="2">
        <v>45729</v>
      </c>
      <c r="R381" s="3">
        <v>2271.6</v>
      </c>
      <c r="S381" s="49">
        <v>0</v>
      </c>
      <c r="T381">
        <v>94.6</v>
      </c>
      <c r="U381">
        <v>886</v>
      </c>
      <c r="V381" s="35">
        <v>1291</v>
      </c>
      <c r="AA381" s="68">
        <f>SUM(S381:Z381)</f>
        <v>2271.6</v>
      </c>
      <c r="AC381" s="19">
        <v>45729</v>
      </c>
      <c r="AD381" s="4">
        <f>F381+R381</f>
        <v>3652.9</v>
      </c>
    </row>
    <row r="382" spans="1:73" hidden="true">
      <c r="D382" s="9" t="s">
        <v>10</v>
      </c>
      <c r="E382" s="2">
        <v>45730</v>
      </c>
      <c r="F382" s="55">
        <v>1890.9</v>
      </c>
      <c r="G382" s="91">
        <v>1661.6</v>
      </c>
      <c r="I382" s="117">
        <v>229.3</v>
      </c>
      <c r="N382" s="30">
        <f>SUM(G382:M382)</f>
        <v>1890.9</v>
      </c>
      <c r="Q382" s="2">
        <v>45730</v>
      </c>
      <c r="R382" s="3">
        <v>1718.8</v>
      </c>
      <c r="S382" s="49">
        <v>0</v>
      </c>
      <c r="T382">
        <v>132.8</v>
      </c>
      <c r="U382">
        <v>922</v>
      </c>
      <c r="V382">
        <v>664</v>
      </c>
      <c r="AA382" s="68">
        <f>SUM(S382:Z382)</f>
        <v>1718.8</v>
      </c>
      <c r="AC382" s="19">
        <v>45730</v>
      </c>
      <c r="AD382" s="4">
        <f>F382+R382</f>
        <v>3609.7</v>
      </c>
    </row>
    <row r="383" spans="1:73" hidden="true">
      <c r="D383" s="9" t="s">
        <v>11</v>
      </c>
      <c r="E383" s="2">
        <v>45731</v>
      </c>
      <c r="F383" s="55">
        <v>1153.5</v>
      </c>
      <c r="G383" s="91">
        <v>1153.5</v>
      </c>
      <c r="I383" s="117">
        <v>0</v>
      </c>
      <c r="N383" s="30">
        <f>SUM(G383:M383)</f>
        <v>1153.5</v>
      </c>
      <c r="Q383" s="2">
        <v>45731</v>
      </c>
      <c r="R383" s="3">
        <v>3608.4</v>
      </c>
      <c r="S383" s="49">
        <v>0</v>
      </c>
      <c r="T383">
        <v>408.4</v>
      </c>
      <c r="U383" s="35">
        <v>1102</v>
      </c>
      <c r="V383" s="35">
        <v>2098</v>
      </c>
      <c r="AA383" s="68">
        <f>SUM(S383:Z383)</f>
        <v>3608.4</v>
      </c>
      <c r="AC383" s="19">
        <v>45731</v>
      </c>
      <c r="AD383" s="4">
        <f>F383+R383</f>
        <v>4761.9</v>
      </c>
    </row>
    <row r="384" spans="1:73" hidden="true">
      <c r="D384" s="9" t="s">
        <v>12</v>
      </c>
      <c r="E384" s="2">
        <v>45732</v>
      </c>
      <c r="F384" s="55">
        <v>2383.4</v>
      </c>
      <c r="G384" s="91">
        <v>2077.6</v>
      </c>
      <c r="I384" s="117">
        <v>305.8</v>
      </c>
      <c r="N384" s="30">
        <f>SUM(G384:M384)</f>
        <v>2383.4</v>
      </c>
      <c r="Q384" s="2">
        <v>45732</v>
      </c>
      <c r="R384" s="3">
        <v>3338.8</v>
      </c>
      <c r="S384" s="49">
        <v>594</v>
      </c>
      <c r="T384">
        <v>308.8</v>
      </c>
      <c r="U384" s="35">
        <v>1794</v>
      </c>
      <c r="V384">
        <v>642</v>
      </c>
      <c r="AA384" s="68">
        <f>SUM(S384:Z384)</f>
        <v>3338.8</v>
      </c>
      <c r="AC384" s="19">
        <v>45732</v>
      </c>
      <c r="AD384" s="4">
        <f>F384+R384</f>
        <v>5722.2</v>
      </c>
    </row>
    <row r="385" spans="1:73" hidden="true">
      <c r="D385" s="9" t="s">
        <v>13</v>
      </c>
      <c r="E385" s="2">
        <v>45733</v>
      </c>
      <c r="F385" s="55">
        <v>2300.65</v>
      </c>
      <c r="G385" s="91">
        <v>2130.35</v>
      </c>
      <c r="I385" s="117">
        <v>170.3</v>
      </c>
      <c r="N385" s="30">
        <f>SUM(G385:M385)</f>
        <v>2300.65</v>
      </c>
      <c r="Q385" s="2">
        <v>45733</v>
      </c>
      <c r="R385" s="3">
        <v>1425.9</v>
      </c>
      <c r="S385" s="49">
        <v>196</v>
      </c>
      <c r="T385">
        <v>195.9</v>
      </c>
      <c r="U385">
        <v>806</v>
      </c>
      <c r="V385">
        <v>228</v>
      </c>
      <c r="AA385" s="68">
        <f>SUM(S385:Z385)</f>
        <v>1425.9</v>
      </c>
      <c r="AC385" s="19">
        <v>45733</v>
      </c>
      <c r="AD385" s="4">
        <f>F385+R385</f>
        <v>3726.55</v>
      </c>
    </row>
    <row r="386" spans="1:73" hidden="true">
      <c r="D386" s="9" t="s">
        <v>14</v>
      </c>
      <c r="E386" s="2">
        <v>45734</v>
      </c>
      <c r="F386" s="55">
        <v>2103.3</v>
      </c>
      <c r="G386" s="91">
        <v>1732.4</v>
      </c>
      <c r="I386" s="117">
        <v>370.9</v>
      </c>
      <c r="N386" s="30">
        <f>SUM(G386:M386)</f>
        <v>2103.3</v>
      </c>
      <c r="Q386" s="2">
        <v>45734</v>
      </c>
      <c r="R386" s="3">
        <v>2526.1</v>
      </c>
      <c r="S386" s="49">
        <v>366</v>
      </c>
      <c r="T386">
        <v>333.7</v>
      </c>
      <c r="U386" s="35">
        <v>1430.4</v>
      </c>
      <c r="V386">
        <v>396</v>
      </c>
      <c r="AA386" s="68">
        <f>SUM(S386:Z386)</f>
        <v>2526.1</v>
      </c>
      <c r="AC386" s="19">
        <v>45734</v>
      </c>
      <c r="AD386" s="4">
        <f>F386+R386</f>
        <v>4629.4</v>
      </c>
    </row>
    <row r="387" spans="1:73" hidden="true">
      <c r="D387" s="9" t="s">
        <v>15</v>
      </c>
      <c r="E387" s="2">
        <v>45735</v>
      </c>
      <c r="F387" s="55">
        <v>1482.6</v>
      </c>
      <c r="G387" s="91">
        <v>1252.1</v>
      </c>
      <c r="I387" s="117">
        <v>230.5</v>
      </c>
      <c r="N387" s="30">
        <f>SUM(G387:M387)</f>
        <v>1482.6</v>
      </c>
      <c r="Q387" s="2">
        <v>45735</v>
      </c>
      <c r="R387" s="3">
        <v>1790.9</v>
      </c>
      <c r="S387" s="49">
        <v>198</v>
      </c>
      <c r="T387">
        <v>44.9</v>
      </c>
      <c r="U387" s="35">
        <v>1320</v>
      </c>
      <c r="V387">
        <v>228</v>
      </c>
      <c r="AA387" s="68">
        <f>SUM(S387:Z387)</f>
        <v>1790.9</v>
      </c>
      <c r="AC387" s="19">
        <v>45735</v>
      </c>
      <c r="AD387" s="4">
        <f>F387+R387</f>
        <v>3273.5</v>
      </c>
    </row>
    <row r="388" spans="1:73" hidden="true">
      <c r="D388" s="9" t="s">
        <v>16</v>
      </c>
      <c r="E388" s="2">
        <v>45736</v>
      </c>
      <c r="F388" s="55">
        <v>2670.65</v>
      </c>
      <c r="G388" s="91">
        <v>2009.05</v>
      </c>
      <c r="I388" s="117">
        <v>661.6</v>
      </c>
      <c r="N388" s="30">
        <f>SUM(G388:M388)</f>
        <v>2670.65</v>
      </c>
      <c r="Q388" s="2">
        <v>45736</v>
      </c>
      <c r="R388" s="3">
        <v>2868.9</v>
      </c>
      <c r="S388" s="49">
        <v>228</v>
      </c>
      <c r="T388">
        <v>283.9</v>
      </c>
      <c r="U388">
        <v>298</v>
      </c>
      <c r="V388" s="35">
        <v>2059</v>
      </c>
      <c r="AA388" s="68">
        <f>SUM(S388:Z388)</f>
        <v>2868.9</v>
      </c>
      <c r="AC388" s="19">
        <v>45736</v>
      </c>
      <c r="AD388" s="4">
        <f>F388+R388</f>
        <v>5539.55</v>
      </c>
    </row>
    <row r="389" spans="1:73" hidden="true">
      <c r="D389" s="9" t="s">
        <v>10</v>
      </c>
      <c r="E389" s="2">
        <v>45737</v>
      </c>
      <c r="F389" s="55">
        <v>2679.8</v>
      </c>
      <c r="G389" s="91">
        <v>2023.1</v>
      </c>
      <c r="I389" s="117">
        <v>656.7</v>
      </c>
      <c r="N389" s="30">
        <f>SUM(G389:M389)</f>
        <v>2679.8</v>
      </c>
      <c r="Q389" s="2">
        <v>45737</v>
      </c>
      <c r="R389" s="3">
        <v>3690</v>
      </c>
      <c r="S389" s="49">
        <v>328</v>
      </c>
      <c r="T389">
        <v>164</v>
      </c>
      <c r="U389">
        <v>596</v>
      </c>
      <c r="V389" s="35">
        <v>2602</v>
      </c>
      <c r="AA389" s="68">
        <f>SUM(S389:Z389)</f>
        <v>3690</v>
      </c>
      <c r="AC389" s="19">
        <v>45737</v>
      </c>
      <c r="AD389" s="4">
        <f>F389+R389</f>
        <v>6369.8</v>
      </c>
    </row>
    <row r="390" spans="1:73" hidden="true">
      <c r="D390" s="9" t="s">
        <v>11</v>
      </c>
      <c r="E390" s="2">
        <v>45738</v>
      </c>
      <c r="F390" s="55">
        <v>3259.3</v>
      </c>
      <c r="G390" s="91">
        <v>2398.2</v>
      </c>
      <c r="I390" s="117">
        <v>861.1</v>
      </c>
      <c r="N390" s="30">
        <f>SUM(G390:M390)</f>
        <v>3259.3</v>
      </c>
      <c r="Q390" s="2">
        <v>45738</v>
      </c>
      <c r="R390" s="3">
        <v>2018.6</v>
      </c>
      <c r="S390" s="49">
        <v>0</v>
      </c>
      <c r="T390">
        <v>260.6</v>
      </c>
      <c r="U390" s="35">
        <v>1182</v>
      </c>
      <c r="V390">
        <v>576</v>
      </c>
      <c r="AA390" s="68">
        <f>SUM(S390:Z390)</f>
        <v>2018.6</v>
      </c>
      <c r="AC390" s="19">
        <v>45738</v>
      </c>
      <c r="AD390" s="4">
        <f>F390+R390</f>
        <v>5277.9</v>
      </c>
    </row>
    <row r="391" spans="1:73" hidden="true">
      <c r="D391" s="9" t="s">
        <v>12</v>
      </c>
      <c r="E391" s="2">
        <v>45739</v>
      </c>
      <c r="F391" s="55">
        <v>2831.9</v>
      </c>
      <c r="G391" s="91">
        <v>1556</v>
      </c>
      <c r="I391" s="117">
        <v>1275.9</v>
      </c>
      <c r="N391" s="30">
        <f>SUM(G391:M391)</f>
        <v>2831.9</v>
      </c>
      <c r="Q391" s="2">
        <v>45739</v>
      </c>
      <c r="R391" s="3">
        <v>4176.3</v>
      </c>
      <c r="S391" s="49">
        <v>300</v>
      </c>
      <c r="T391">
        <v>438.3</v>
      </c>
      <c r="U391" s="35">
        <v>1490</v>
      </c>
      <c r="V391" s="35">
        <v>1948</v>
      </c>
      <c r="AA391" s="68">
        <f>SUM(S391:Z391)</f>
        <v>4176.3</v>
      </c>
      <c r="AC391" s="19">
        <v>45739</v>
      </c>
      <c r="AD391" s="4">
        <f>F391+R391</f>
        <v>7008.2</v>
      </c>
    </row>
    <row r="392" spans="1:73" hidden="true">
      <c r="D392" s="9" t="s">
        <v>13</v>
      </c>
      <c r="E392" s="2">
        <v>45740</v>
      </c>
      <c r="F392" s="55">
        <v>2769.6</v>
      </c>
      <c r="G392" s="91">
        <v>2306.2</v>
      </c>
      <c r="I392" s="117">
        <v>463.4</v>
      </c>
      <c r="N392" s="30">
        <f>SUM(G392:M392)</f>
        <v>2769.6</v>
      </c>
      <c r="Q392" s="2">
        <v>45740</v>
      </c>
      <c r="R392" s="3">
        <v>2848.9</v>
      </c>
      <c r="S392" s="49">
        <v>0</v>
      </c>
      <c r="T392">
        <v>288.9</v>
      </c>
      <c r="U392" s="35">
        <v>1580</v>
      </c>
      <c r="V392">
        <v>980</v>
      </c>
      <c r="AA392" s="68">
        <f>SUM(S392:Z392)</f>
        <v>2848.9</v>
      </c>
      <c r="AC392" s="19">
        <v>45740</v>
      </c>
      <c r="AD392" s="4">
        <f>F392+R392</f>
        <v>5618.5</v>
      </c>
    </row>
    <row r="393" spans="1:73" hidden="true">
      <c r="D393" s="9" t="s">
        <v>14</v>
      </c>
      <c r="E393" s="2">
        <v>45741</v>
      </c>
      <c r="F393" s="55">
        <v>2229.9</v>
      </c>
      <c r="G393" s="91">
        <v>1577.7</v>
      </c>
      <c r="I393" s="117">
        <v>652.2</v>
      </c>
      <c r="N393" s="30">
        <f>SUM(G393:M393)</f>
        <v>2229.9</v>
      </c>
      <c r="Q393" s="2">
        <v>45741</v>
      </c>
      <c r="R393" s="3">
        <v>5730.9</v>
      </c>
      <c r="S393" s="49">
        <v>0</v>
      </c>
      <c r="T393" s="49">
        <v>640.9</v>
      </c>
      <c r="U393" s="35">
        <v>2598</v>
      </c>
      <c r="V393" s="35">
        <v>2492</v>
      </c>
      <c r="AA393" s="68">
        <f>SUM(S393:Z393)</f>
        <v>5730.9</v>
      </c>
      <c r="AC393" s="19">
        <v>45741</v>
      </c>
      <c r="AD393" s="4">
        <f>F393+R393</f>
        <v>7960.8</v>
      </c>
    </row>
    <row r="394" spans="1:73" hidden="true">
      <c r="D394" s="9" t="s">
        <v>15</v>
      </c>
      <c r="E394" s="2">
        <v>45742</v>
      </c>
      <c r="F394" s="55">
        <v>4967.95</v>
      </c>
      <c r="G394" s="91">
        <v>3969.75</v>
      </c>
      <c r="I394" s="117">
        <v>998.2</v>
      </c>
      <c r="N394" s="30">
        <f>SUM(G394:M394)</f>
        <v>4967.95</v>
      </c>
      <c r="Q394" s="2">
        <v>45742</v>
      </c>
      <c r="R394" s="3">
        <v>5833.6</v>
      </c>
      <c r="S394" s="49">
        <v>835</v>
      </c>
      <c r="T394">
        <v>622.6</v>
      </c>
      <c r="U394" s="35">
        <v>2684</v>
      </c>
      <c r="V394" s="35">
        <v>1692</v>
      </c>
      <c r="AA394" s="68">
        <f>SUM(S394:Z394)</f>
        <v>5833.6</v>
      </c>
      <c r="AC394" s="19">
        <v>45742</v>
      </c>
      <c r="AD394" s="4">
        <f>F394+R394</f>
        <v>10801.55</v>
      </c>
    </row>
    <row r="395" spans="1:73" hidden="true">
      <c r="D395" s="9" t="s">
        <v>16</v>
      </c>
      <c r="E395" s="2">
        <v>45743</v>
      </c>
      <c r="F395" s="55">
        <v>2762</v>
      </c>
      <c r="G395" s="91">
        <v>2110.9</v>
      </c>
      <c r="I395" s="117">
        <v>651.1</v>
      </c>
      <c r="N395" s="30">
        <f>SUM(G395:M395)</f>
        <v>2762</v>
      </c>
      <c r="Q395" s="2">
        <v>45743</v>
      </c>
      <c r="R395" s="3">
        <v>5504</v>
      </c>
      <c r="S395" s="49">
        <v>228</v>
      </c>
      <c r="T395">
        <v>528</v>
      </c>
      <c r="U395" s="35">
        <v>2960</v>
      </c>
      <c r="V395" s="35">
        <v>1788</v>
      </c>
      <c r="AA395" s="68">
        <f>SUM(S395:Z395)</f>
        <v>5504</v>
      </c>
      <c r="AC395" s="19">
        <v>45743</v>
      </c>
      <c r="AD395" s="4">
        <f>F395+R395</f>
        <v>8266</v>
      </c>
    </row>
    <row r="396" spans="1:73" hidden="true">
      <c r="D396" s="9" t="s">
        <v>10</v>
      </c>
      <c r="E396" s="2">
        <v>45744</v>
      </c>
      <c r="F396" s="55">
        <v>5052.2</v>
      </c>
      <c r="G396" s="91">
        <v>4742.8</v>
      </c>
      <c r="I396" s="117">
        <v>309.4</v>
      </c>
      <c r="N396" s="30">
        <f>SUM(G396:M396)</f>
        <v>5052.2</v>
      </c>
      <c r="Q396" s="2">
        <v>45744</v>
      </c>
      <c r="R396" s="3">
        <v>5558.8</v>
      </c>
      <c r="S396" s="49">
        <v>922</v>
      </c>
      <c r="T396">
        <v>220.8</v>
      </c>
      <c r="U396" s="35">
        <v>3152</v>
      </c>
      <c r="V396" s="35">
        <v>1264</v>
      </c>
      <c r="AA396" s="68">
        <f>SUM(S396:Z396)</f>
        <v>5558.8</v>
      </c>
      <c r="AC396" s="19">
        <v>45744</v>
      </c>
      <c r="AD396" s="4">
        <f>F396+R396</f>
        <v>10611</v>
      </c>
    </row>
    <row r="397" spans="1:73" hidden="true">
      <c r="D397" s="9" t="s">
        <v>11</v>
      </c>
      <c r="E397" s="2">
        <v>45745</v>
      </c>
      <c r="F397" s="55">
        <v>6953.45</v>
      </c>
      <c r="G397" s="91">
        <v>5771.55</v>
      </c>
      <c r="I397" s="117">
        <v>1181.9</v>
      </c>
      <c r="N397" s="30">
        <f>SUM(G397:M397)</f>
        <v>6953.45</v>
      </c>
      <c r="Q397" s="2">
        <v>45745</v>
      </c>
      <c r="R397" s="3">
        <v>4168.6</v>
      </c>
      <c r="S397" s="91">
        <v>1422</v>
      </c>
      <c r="T397">
        <v>617.6</v>
      </c>
      <c r="U397">
        <v>927</v>
      </c>
      <c r="V397" s="35">
        <v>1202</v>
      </c>
      <c r="AA397" s="68">
        <f>SUM(S397:Z397)</f>
        <v>4168.6</v>
      </c>
      <c r="AC397" s="19">
        <v>45745</v>
      </c>
      <c r="AD397" s="4">
        <f>F397+R397</f>
        <v>11122.05</v>
      </c>
    </row>
    <row r="398" spans="1:73" hidden="true">
      <c r="D398" s="9" t="s">
        <v>12</v>
      </c>
      <c r="E398" s="2">
        <v>45746</v>
      </c>
      <c r="F398" s="55">
        <v>3558</v>
      </c>
      <c r="G398" s="91">
        <v>4459.45</v>
      </c>
      <c r="I398" s="117">
        <v>556.1</v>
      </c>
      <c r="N398" s="30">
        <f>SUM(G398:M398)</f>
        <v>5015.55</v>
      </c>
      <c r="Q398" s="2">
        <v>45746</v>
      </c>
      <c r="R398" s="3">
        <v>4740</v>
      </c>
      <c r="S398" s="49">
        <v>732</v>
      </c>
      <c r="T398">
        <v>88</v>
      </c>
      <c r="U398" s="35">
        <v>2178</v>
      </c>
      <c r="V398" s="35">
        <v>1742</v>
      </c>
      <c r="AA398" s="68">
        <f>SUM(S398:Z398)</f>
        <v>4740</v>
      </c>
      <c r="AC398" s="19">
        <v>45746</v>
      </c>
      <c r="AD398" s="4">
        <f>F398+R398</f>
        <v>8298</v>
      </c>
    </row>
    <row r="399" spans="1:73" hidden="true">
      <c r="D399" s="9" t="s">
        <v>13</v>
      </c>
      <c r="E399" s="2">
        <v>45747</v>
      </c>
      <c r="F399" s="55">
        <v>2319.75</v>
      </c>
      <c r="G399" s="91">
        <v>2319.75</v>
      </c>
      <c r="I399" s="117">
        <v>0</v>
      </c>
      <c r="N399" s="30">
        <f>SUM(G399:M399)</f>
        <v>2319.75</v>
      </c>
      <c r="Q399" s="2">
        <v>45747</v>
      </c>
      <c r="R399" s="3">
        <v>1028.8</v>
      </c>
      <c r="S399" s="49">
        <v>0</v>
      </c>
      <c r="T399">
        <v>44.8</v>
      </c>
      <c r="U399" s="35">
        <v>0</v>
      </c>
      <c r="V399">
        <v>984</v>
      </c>
      <c r="AA399" s="68">
        <f>SUM(S399:Z399)</f>
        <v>1028.8</v>
      </c>
      <c r="AC399" s="19">
        <v>45747</v>
      </c>
      <c r="AD399" s="4">
        <f>F399+R399</f>
        <v>3348.55</v>
      </c>
    </row>
    <row r="400" spans="1:73" hidden="true">
      <c r="D400" s="9" t="s">
        <v>14</v>
      </c>
      <c r="E400" s="2">
        <v>45748</v>
      </c>
      <c r="F400" s="55">
        <v>2776.7</v>
      </c>
      <c r="G400" s="91">
        <v>2776.7</v>
      </c>
      <c r="I400" s="117">
        <v>0</v>
      </c>
      <c r="N400" s="30">
        <f>SUM(G400:M400)</f>
        <v>2776.7</v>
      </c>
      <c r="Q400" s="2">
        <v>45748</v>
      </c>
      <c r="R400" s="3">
        <v>1168.8</v>
      </c>
      <c r="S400" s="49">
        <v>0</v>
      </c>
      <c r="T400" s="35">
        <v>1168.8</v>
      </c>
      <c r="U400" s="35">
        <v>0</v>
      </c>
      <c r="V400" s="35">
        <v>0</v>
      </c>
      <c r="AA400" s="68">
        <f>SUM(S400:Z400)</f>
        <v>1168.8</v>
      </c>
      <c r="AC400" s="19">
        <v>45748</v>
      </c>
      <c r="AD400" s="4">
        <f>F400+R400</f>
        <v>3945.5</v>
      </c>
    </row>
    <row r="401" spans="1:73" hidden="true">
      <c r="D401" s="9" t="s">
        <v>15</v>
      </c>
      <c r="E401" s="2">
        <v>45749</v>
      </c>
      <c r="F401" s="55">
        <v>4240.55</v>
      </c>
      <c r="G401" s="91">
        <v>3228.05</v>
      </c>
      <c r="I401" s="117">
        <v>1012.5</v>
      </c>
      <c r="N401" s="30">
        <f>SUM(G401:M401)</f>
        <v>4240.55</v>
      </c>
      <c r="Q401" s="2">
        <v>45749</v>
      </c>
      <c r="R401" s="3">
        <v>1664.7</v>
      </c>
      <c r="S401" s="49">
        <v>0</v>
      </c>
      <c r="T401">
        <v>260.7</v>
      </c>
      <c r="U401">
        <v>916</v>
      </c>
      <c r="V401">
        <v>488</v>
      </c>
      <c r="AA401" s="68">
        <f>SUM(S401:Z401)</f>
        <v>1664.7</v>
      </c>
      <c r="AC401" s="19">
        <v>45749</v>
      </c>
      <c r="AD401" s="4">
        <f>F401+R401</f>
        <v>5905.25</v>
      </c>
    </row>
    <row r="402" spans="1:73" hidden="true">
      <c r="D402" s="9" t="s">
        <v>16</v>
      </c>
      <c r="E402" s="2">
        <v>45750</v>
      </c>
      <c r="F402" s="55">
        <v>4522.4</v>
      </c>
      <c r="G402" s="91">
        <v>3708.9</v>
      </c>
      <c r="I402" s="117">
        <v>813.5</v>
      </c>
      <c r="N402" s="30">
        <f>SUM(G402:M402)</f>
        <v>4522.4</v>
      </c>
      <c r="Q402" s="2">
        <v>45750</v>
      </c>
      <c r="R402" s="3">
        <v>1576.9</v>
      </c>
      <c r="S402" s="49">
        <v>0</v>
      </c>
      <c r="T402">
        <v>288.9</v>
      </c>
      <c r="U402">
        <v>586</v>
      </c>
      <c r="V402">
        <v>702</v>
      </c>
      <c r="AA402" s="68">
        <f>SUM(S402:Z402)</f>
        <v>1576.9</v>
      </c>
      <c r="AC402" s="19">
        <v>45750</v>
      </c>
      <c r="AD402" s="4">
        <f>F402+R402</f>
        <v>6099.3</v>
      </c>
    </row>
    <row r="403" spans="1:73" hidden="true">
      <c r="D403" s="9" t="s">
        <v>10</v>
      </c>
      <c r="E403" s="2">
        <v>45751</v>
      </c>
      <c r="F403" s="55">
        <v>4564.7</v>
      </c>
      <c r="G403" s="91">
        <v>3507.7</v>
      </c>
      <c r="I403" s="117">
        <v>1057</v>
      </c>
      <c r="N403" s="30">
        <f>SUM(G403:M403)</f>
        <v>4564.7</v>
      </c>
      <c r="Q403" s="2">
        <v>45751</v>
      </c>
      <c r="R403" s="3">
        <v>1992.9</v>
      </c>
      <c r="S403" s="49">
        <v>0</v>
      </c>
      <c r="T403">
        <v>150.9</v>
      </c>
      <c r="U403" s="35">
        <v>0</v>
      </c>
      <c r="V403" s="35">
        <v>1842</v>
      </c>
      <c r="AA403" s="68">
        <f>SUM(S403:Z403)</f>
        <v>1992.9</v>
      </c>
      <c r="AC403" s="19">
        <v>45751</v>
      </c>
      <c r="AD403" s="4">
        <f>F403+R403</f>
        <v>6557.6</v>
      </c>
    </row>
    <row r="404" spans="1:73" hidden="true">
      <c r="D404" s="9" t="s">
        <v>11</v>
      </c>
      <c r="E404" s="2">
        <v>45752</v>
      </c>
      <c r="F404" s="55">
        <v>4730.45</v>
      </c>
      <c r="G404" s="91">
        <v>3655.95</v>
      </c>
      <c r="I404" s="117">
        <v>1074.5</v>
      </c>
      <c r="N404" s="30">
        <f>SUM(G404:M404)</f>
        <v>4730.45</v>
      </c>
      <c r="Q404" s="2">
        <v>45752</v>
      </c>
      <c r="R404" s="3">
        <v>7777.9</v>
      </c>
      <c r="S404" s="91">
        <v>2083</v>
      </c>
      <c r="T404">
        <v>288.9</v>
      </c>
      <c r="U404" s="35">
        <v>4232</v>
      </c>
      <c r="V404" s="35">
        <v>1174</v>
      </c>
      <c r="AA404" s="68">
        <f>SUM(S404:Z404)</f>
        <v>7777.9</v>
      </c>
      <c r="AC404" s="19">
        <v>45752</v>
      </c>
      <c r="AD404" s="4">
        <f>F404+R404</f>
        <v>12508.35</v>
      </c>
    </row>
    <row r="405" spans="1:73" hidden="true">
      <c r="D405" s="9" t="s">
        <v>12</v>
      </c>
      <c r="E405" s="2">
        <v>45753</v>
      </c>
      <c r="F405" s="55">
        <v>5239.2</v>
      </c>
      <c r="G405" s="91">
        <v>4225</v>
      </c>
      <c r="I405" s="117">
        <v>1014.2</v>
      </c>
      <c r="N405" s="30">
        <f>SUM(G405:M405)</f>
        <v>5239.2</v>
      </c>
      <c r="Q405" s="2">
        <v>45753</v>
      </c>
      <c r="R405" s="3">
        <v>1409.9</v>
      </c>
      <c r="S405" s="49">
        <v>0</v>
      </c>
      <c r="T405">
        <v>19.9</v>
      </c>
      <c r="U405" s="35">
        <v>1390</v>
      </c>
      <c r="V405" s="35">
        <v>0</v>
      </c>
      <c r="AA405" s="68">
        <f>SUM(S405:Z405)</f>
        <v>1409.9</v>
      </c>
      <c r="AC405" s="19">
        <v>45753</v>
      </c>
      <c r="AD405" s="4">
        <f>F405+R405</f>
        <v>6649.1</v>
      </c>
    </row>
    <row r="406" spans="1:73" hidden="true">
      <c r="D406" s="9" t="s">
        <v>13</v>
      </c>
      <c r="E406" s="2">
        <v>45754</v>
      </c>
      <c r="F406" s="55">
        <v>3908</v>
      </c>
      <c r="G406" s="91">
        <v>3226.1</v>
      </c>
      <c r="I406" s="117">
        <v>681.9</v>
      </c>
      <c r="N406" s="30">
        <f>SUM(G406:M406)</f>
        <v>3908</v>
      </c>
      <c r="Q406" s="2">
        <v>45754</v>
      </c>
      <c r="R406" s="3">
        <v>2061</v>
      </c>
      <c r="S406" s="49">
        <v>656</v>
      </c>
      <c r="T406">
        <v>113</v>
      </c>
      <c r="U406" s="35">
        <v>1292</v>
      </c>
      <c r="V406" s="35">
        <v>0</v>
      </c>
      <c r="AA406" s="68">
        <f>SUM(S406:Z406)</f>
        <v>2061</v>
      </c>
      <c r="AC406" s="19">
        <v>45754</v>
      </c>
      <c r="AD406" s="4">
        <f>F406+R406</f>
        <v>5969</v>
      </c>
    </row>
    <row r="407" spans="1:73" hidden="true">
      <c r="D407" s="9" t="s">
        <v>14</v>
      </c>
      <c r="E407" s="2">
        <v>45755</v>
      </c>
      <c r="F407" s="55">
        <v>4522.2</v>
      </c>
      <c r="G407" s="91">
        <v>3203.6</v>
      </c>
      <c r="I407" s="117">
        <v>1318.6</v>
      </c>
      <c r="N407" s="30">
        <f>SUM(G407:M407)</f>
        <v>4522.2</v>
      </c>
      <c r="Q407" s="2">
        <v>45755</v>
      </c>
      <c r="R407" s="3">
        <v>3112</v>
      </c>
      <c r="S407" s="91">
        <v>1370</v>
      </c>
      <c r="T407">
        <v>0</v>
      </c>
      <c r="U407" s="35">
        <v>1742</v>
      </c>
      <c r="V407" s="35">
        <v>0</v>
      </c>
      <c r="AA407" s="68">
        <f>SUM(S407:Z407)</f>
        <v>3112</v>
      </c>
      <c r="AC407" s="19">
        <v>45755</v>
      </c>
      <c r="AD407" s="4">
        <f>F407+R407</f>
        <v>7634.2</v>
      </c>
    </row>
    <row r="408" spans="1:73" hidden="true">
      <c r="D408" s="9" t="s">
        <v>15</v>
      </c>
      <c r="E408" s="2">
        <v>45756</v>
      </c>
      <c r="F408" s="55">
        <v>3506.15</v>
      </c>
      <c r="G408" s="91">
        <v>2882.25</v>
      </c>
      <c r="I408" s="117">
        <v>623.9</v>
      </c>
      <c r="N408" s="30">
        <f>SUM(G408:M408)</f>
        <v>3506.15</v>
      </c>
      <c r="Q408" s="2">
        <v>45756</v>
      </c>
      <c r="R408" s="3">
        <v>3993.9</v>
      </c>
      <c r="S408" s="49">
        <v>526</v>
      </c>
      <c r="T408">
        <v>283.9</v>
      </c>
      <c r="U408" s="35">
        <v>2886</v>
      </c>
      <c r="V408">
        <v>298</v>
      </c>
      <c r="AA408" s="68">
        <f>SUM(S408:Z408)</f>
        <v>3993.9</v>
      </c>
      <c r="AC408" s="19">
        <v>45756</v>
      </c>
      <c r="AD408" s="4">
        <f>F408+R408</f>
        <v>7500.05</v>
      </c>
    </row>
    <row r="409" spans="1:73" hidden="true">
      <c r="D409" s="9" t="s">
        <v>16</v>
      </c>
      <c r="E409" s="2">
        <v>45757</v>
      </c>
      <c r="F409" s="55">
        <v>3476.75</v>
      </c>
      <c r="G409" s="91">
        <v>2815.75</v>
      </c>
      <c r="I409" s="117">
        <v>661</v>
      </c>
      <c r="N409" s="30">
        <f>SUM(G409:M409)</f>
        <v>3476.75</v>
      </c>
      <c r="Q409" s="2">
        <v>45757</v>
      </c>
      <c r="R409" s="3">
        <v>5159</v>
      </c>
      <c r="S409" s="91">
        <v>1339</v>
      </c>
      <c r="T409">
        <v>264</v>
      </c>
      <c r="U409" s="35">
        <v>1782</v>
      </c>
      <c r="V409" s="35">
        <v>1774</v>
      </c>
      <c r="AA409" s="68">
        <f>SUM(S409:Z409)</f>
        <v>5159</v>
      </c>
      <c r="AC409" s="19">
        <v>45757</v>
      </c>
      <c r="AD409" s="4">
        <f>F409+R409</f>
        <v>8635.75</v>
      </c>
    </row>
    <row r="410" spans="1:73" hidden="true">
      <c r="D410" s="9" t="s">
        <v>10</v>
      </c>
      <c r="E410" s="2">
        <v>45758</v>
      </c>
      <c r="F410" s="55">
        <v>4479</v>
      </c>
      <c r="G410" s="91">
        <v>3763.4</v>
      </c>
      <c r="I410" s="117">
        <v>715.6</v>
      </c>
      <c r="N410" s="30">
        <f>SUM(G410:M410)</f>
        <v>4479</v>
      </c>
      <c r="Q410" s="2">
        <v>45758</v>
      </c>
      <c r="R410" s="3">
        <v>5786.9</v>
      </c>
      <c r="S410" s="49">
        <v>836</v>
      </c>
      <c r="T410">
        <v>326.9</v>
      </c>
      <c r="U410" s="35">
        <v>3254</v>
      </c>
      <c r="V410" s="35">
        <v>1370</v>
      </c>
      <c r="AA410" s="68">
        <f>SUM(S410:Z410)</f>
        <v>5786.9</v>
      </c>
      <c r="AC410" s="19">
        <v>45758</v>
      </c>
      <c r="AD410" s="4">
        <f>F410+R410</f>
        <v>10265.9</v>
      </c>
    </row>
    <row r="411" spans="1:73" hidden="true">
      <c r="D411" s="9" t="s">
        <v>11</v>
      </c>
      <c r="E411" s="2">
        <v>45759</v>
      </c>
      <c r="F411" s="55">
        <v>2946.1</v>
      </c>
      <c r="G411" s="91">
        <v>2499.1</v>
      </c>
      <c r="I411" s="117">
        <v>447</v>
      </c>
      <c r="N411" s="30">
        <f>SUM(G411:M411)</f>
        <v>2946.1</v>
      </c>
      <c r="Q411" s="2">
        <v>45759</v>
      </c>
      <c r="R411" s="3">
        <v>4060</v>
      </c>
      <c r="S411" s="49">
        <v>835</v>
      </c>
      <c r="T411">
        <v>264</v>
      </c>
      <c r="U411" s="35">
        <v>1454</v>
      </c>
      <c r="V411" s="35">
        <v>1507</v>
      </c>
      <c r="AA411" s="68">
        <f>SUM(S411:Z411)</f>
        <v>4060</v>
      </c>
      <c r="AC411" s="19">
        <v>45759</v>
      </c>
      <c r="AD411" s="4">
        <f>F411+R411</f>
        <v>7006.1</v>
      </c>
    </row>
    <row r="412" spans="1:73" hidden="true">
      <c r="D412" s="9" t="s">
        <v>12</v>
      </c>
      <c r="E412" s="2">
        <v>45760</v>
      </c>
      <c r="F412" s="55">
        <v>4575.9</v>
      </c>
      <c r="G412" s="91">
        <v>3425.6</v>
      </c>
      <c r="I412" s="117">
        <v>1150.3</v>
      </c>
      <c r="N412" s="30">
        <f>SUM(G412:M412)</f>
        <v>4575.9</v>
      </c>
      <c r="Q412" s="2">
        <v>45760</v>
      </c>
      <c r="R412" s="3">
        <v>5123.7</v>
      </c>
      <c r="S412" s="49">
        <v>168</v>
      </c>
      <c r="T412">
        <v>169.7</v>
      </c>
      <c r="U412" s="35">
        <v>2686</v>
      </c>
      <c r="V412" s="35">
        <v>2100</v>
      </c>
      <c r="AA412" s="68">
        <f>SUM(S412:Z412)</f>
        <v>5123.7</v>
      </c>
      <c r="AC412" s="19">
        <v>45760</v>
      </c>
      <c r="AD412" s="4">
        <f>F412+R412</f>
        <v>9699.6</v>
      </c>
    </row>
    <row r="413" spans="1:73" hidden="true">
      <c r="D413" s="9" t="s">
        <v>13</v>
      </c>
      <c r="E413" s="2">
        <v>45761</v>
      </c>
      <c r="F413" s="55">
        <v>4488.75</v>
      </c>
      <c r="G413" s="91">
        <v>3656.75</v>
      </c>
      <c r="I413" s="117">
        <v>832</v>
      </c>
      <c r="N413" s="30">
        <f>SUM(G413:M413)</f>
        <v>4488.75</v>
      </c>
      <c r="Q413" s="2">
        <v>45761</v>
      </c>
      <c r="R413" s="3">
        <v>3098</v>
      </c>
      <c r="S413" s="49">
        <v>526</v>
      </c>
      <c r="T413">
        <v>264</v>
      </c>
      <c r="U413" s="35">
        <v>1342</v>
      </c>
      <c r="V413">
        <v>966</v>
      </c>
      <c r="AA413" s="68">
        <f>SUM(S413:Z413)</f>
        <v>3098</v>
      </c>
      <c r="AC413" s="19">
        <v>45761</v>
      </c>
      <c r="AD413" s="4">
        <f>F413+R413</f>
        <v>7586.75</v>
      </c>
    </row>
    <row r="414" spans="1:73" hidden="true">
      <c r="D414" s="9" t="s">
        <v>14</v>
      </c>
      <c r="E414" s="2">
        <v>45762</v>
      </c>
      <c r="F414" s="55">
        <v>4153.35</v>
      </c>
      <c r="G414" s="91">
        <v>3350.35</v>
      </c>
      <c r="I414" s="117">
        <v>803</v>
      </c>
      <c r="N414" s="30">
        <f>SUM(G414:M414)</f>
        <v>4153.35</v>
      </c>
      <c r="Q414" s="2">
        <v>45762</v>
      </c>
      <c r="R414" s="3">
        <v>4080.9</v>
      </c>
      <c r="S414" s="91">
        <v>1858</v>
      </c>
      <c r="T414">
        <v>24.9</v>
      </c>
      <c r="U414" s="35">
        <v>1970</v>
      </c>
      <c r="V414">
        <v>228</v>
      </c>
      <c r="AA414" s="68">
        <f>SUM(S414:Z414)</f>
        <v>4080.9</v>
      </c>
      <c r="AC414" s="19">
        <v>45762</v>
      </c>
      <c r="AD414" s="4">
        <f>F414+R414</f>
        <v>8234.25</v>
      </c>
    </row>
    <row r="415" spans="1:73" hidden="true">
      <c r="D415" s="9" t="s">
        <v>15</v>
      </c>
      <c r="E415" s="2">
        <v>45763</v>
      </c>
      <c r="F415" s="55">
        <v>2838.7</v>
      </c>
      <c r="G415" s="91">
        <v>2352.8</v>
      </c>
      <c r="I415" s="117">
        <v>485.9</v>
      </c>
      <c r="N415" s="30">
        <f>SUM(G415:M415)</f>
        <v>2838.7</v>
      </c>
      <c r="Q415" s="2">
        <v>45763</v>
      </c>
      <c r="R415" s="3">
        <v>4963.9</v>
      </c>
      <c r="S415" s="91">
        <v>1382</v>
      </c>
      <c r="T415">
        <v>97.9</v>
      </c>
      <c r="U415" s="35">
        <v>2060</v>
      </c>
      <c r="V415" s="35">
        <v>1424</v>
      </c>
      <c r="AA415" s="68">
        <f>SUM(S415:Z415)</f>
        <v>4963.9</v>
      </c>
      <c r="AC415" s="19">
        <v>45763</v>
      </c>
      <c r="AD415" s="4">
        <f>F415+R415</f>
        <v>7802.6</v>
      </c>
    </row>
    <row r="416" spans="1:73" hidden="true">
      <c r="D416" s="9" t="s">
        <v>16</v>
      </c>
      <c r="E416" s="2">
        <v>45764</v>
      </c>
      <c r="F416" s="55">
        <v>3621.5</v>
      </c>
      <c r="G416" s="91">
        <v>3324.5</v>
      </c>
      <c r="I416" s="117">
        <v>297</v>
      </c>
      <c r="N416" s="30">
        <f>SUM(G416:M416)</f>
        <v>3621.5</v>
      </c>
      <c r="Q416" s="2">
        <v>45764</v>
      </c>
      <c r="R416" s="3">
        <v>6528.8</v>
      </c>
      <c r="S416" s="49">
        <v>934</v>
      </c>
      <c r="T416">
        <v>44.8</v>
      </c>
      <c r="U416" s="35">
        <v>3278</v>
      </c>
      <c r="V416" s="35">
        <v>2272</v>
      </c>
      <c r="AA416" s="68">
        <f>SUM(S416:Z416)</f>
        <v>6528.8</v>
      </c>
      <c r="AC416" s="19">
        <v>45764</v>
      </c>
      <c r="AD416" s="4">
        <f>F416+R416</f>
        <v>10150.3</v>
      </c>
    </row>
    <row r="417" spans="1:73" hidden="true">
      <c r="D417" s="9" t="s">
        <v>10</v>
      </c>
      <c r="E417" s="2">
        <v>45765</v>
      </c>
      <c r="F417" s="55">
        <v>3137.05</v>
      </c>
      <c r="G417" s="91">
        <v>2657.65</v>
      </c>
      <c r="I417" s="117">
        <v>479.4</v>
      </c>
      <c r="N417" s="30">
        <f>SUM(G417:M417)</f>
        <v>3137.05</v>
      </c>
      <c r="Q417" s="2">
        <v>45765</v>
      </c>
      <c r="R417" s="3">
        <v>2969.9</v>
      </c>
      <c r="S417" s="49">
        <v>298</v>
      </c>
      <c r="T417">
        <v>587.9</v>
      </c>
      <c r="U417" s="35">
        <v>1150</v>
      </c>
      <c r="V417">
        <v>934</v>
      </c>
      <c r="AA417" s="68">
        <f>SUM(S417:Z417)</f>
        <v>2969.9</v>
      </c>
      <c r="AC417" s="19">
        <v>45765</v>
      </c>
      <c r="AD417" s="4">
        <f>F417+R417</f>
        <v>6106.95</v>
      </c>
    </row>
    <row r="418" spans="1:73" hidden="true">
      <c r="D418" s="9" t="s">
        <v>11</v>
      </c>
      <c r="E418" s="2">
        <v>45766</v>
      </c>
      <c r="F418" s="55">
        <v>3907.75</v>
      </c>
      <c r="G418" s="91">
        <v>3082.75</v>
      </c>
      <c r="I418" s="117">
        <v>825</v>
      </c>
      <c r="N418" s="30">
        <f>SUM(G418:M418)</f>
        <v>3907.75</v>
      </c>
      <c r="Q418" s="2">
        <v>45766</v>
      </c>
      <c r="R418" s="3">
        <v>2955.8</v>
      </c>
      <c r="S418" s="91">
        <v>1062</v>
      </c>
      <c r="T418">
        <v>383.8</v>
      </c>
      <c r="U418">
        <v>768</v>
      </c>
      <c r="V418">
        <v>742</v>
      </c>
      <c r="AA418" s="68">
        <f>SUM(S418:Z418)</f>
        <v>2955.8</v>
      </c>
      <c r="AC418" s="19">
        <v>45766</v>
      </c>
      <c r="AD418" s="4">
        <f>F418+R418</f>
        <v>6863.55</v>
      </c>
    </row>
    <row r="419" spans="1:73" hidden="true">
      <c r="D419" s="9" t="s">
        <v>12</v>
      </c>
      <c r="E419" s="2">
        <v>45767</v>
      </c>
      <c r="F419" s="55">
        <v>3267.3</v>
      </c>
      <c r="G419" s="91">
        <v>2667.6</v>
      </c>
      <c r="I419" s="117">
        <v>599.7</v>
      </c>
      <c r="N419" s="30">
        <f>SUM(G419:M419)</f>
        <v>3267.3</v>
      </c>
      <c r="Q419" s="2">
        <v>45767</v>
      </c>
      <c r="R419" s="3">
        <v>5941.9</v>
      </c>
      <c r="S419" s="91">
        <v>1768</v>
      </c>
      <c r="T419">
        <v>127.9</v>
      </c>
      <c r="U419" s="35">
        <v>2908</v>
      </c>
      <c r="V419" s="35">
        <v>1138</v>
      </c>
      <c r="AA419" s="68">
        <f>SUM(S419:Z419)</f>
        <v>5941.9</v>
      </c>
      <c r="AC419" s="19">
        <v>45767</v>
      </c>
      <c r="AD419" s="4">
        <f>F419+R419</f>
        <v>9209.2</v>
      </c>
    </row>
    <row r="420" spans="1:73" hidden="true">
      <c r="D420" s="9" t="s">
        <v>13</v>
      </c>
      <c r="E420" s="2">
        <v>45768</v>
      </c>
      <c r="F420" s="55">
        <v>3835.25</v>
      </c>
      <c r="G420" s="91">
        <v>3637.55</v>
      </c>
      <c r="I420" s="117">
        <v>197.7</v>
      </c>
      <c r="N420" s="30">
        <f>SUM(G420:M420)</f>
        <v>3835.25</v>
      </c>
      <c r="Q420" s="2">
        <v>45768</v>
      </c>
      <c r="R420" s="3">
        <v>1414.8</v>
      </c>
      <c r="S420" s="49">
        <v>526</v>
      </c>
      <c r="T420">
        <v>84.8</v>
      </c>
      <c r="U420">
        <v>804</v>
      </c>
      <c r="V420" s="35">
        <v>0</v>
      </c>
      <c r="AA420" s="68">
        <f>SUM(S420:Z420)</f>
        <v>1414.8</v>
      </c>
      <c r="AC420" s="19">
        <v>45768</v>
      </c>
      <c r="AD420" s="4">
        <f>F420+R420</f>
        <v>5250.05</v>
      </c>
    </row>
    <row r="421" spans="1:73" hidden="true">
      <c r="D421" s="9" t="s">
        <v>14</v>
      </c>
      <c r="E421" s="2">
        <v>45769</v>
      </c>
      <c r="F421" s="55">
        <v>3280.95</v>
      </c>
      <c r="G421" s="91">
        <v>2425.15</v>
      </c>
      <c r="I421" s="117">
        <v>855.8</v>
      </c>
      <c r="N421" s="30">
        <f>SUM(G421:M421)</f>
        <v>3280.95</v>
      </c>
      <c r="Q421" s="2">
        <v>45769</v>
      </c>
      <c r="R421" s="3">
        <v>2197.7</v>
      </c>
      <c r="S421" s="49">
        <v>478</v>
      </c>
      <c r="T421">
        <v>398.7</v>
      </c>
      <c r="U421" s="35">
        <v>1125</v>
      </c>
      <c r="V421">
        <v>196</v>
      </c>
      <c r="AA421" s="68">
        <f>SUM(S421:Z421)</f>
        <v>2197.7</v>
      </c>
      <c r="AC421" s="19">
        <v>45769</v>
      </c>
      <c r="AD421" s="4">
        <f>F421+R421</f>
        <v>5478.65</v>
      </c>
    </row>
    <row r="422" spans="1:73" hidden="true">
      <c r="D422" s="9" t="s">
        <v>15</v>
      </c>
      <c r="E422" s="2">
        <v>45770</v>
      </c>
      <c r="F422" s="55">
        <v>2327.45</v>
      </c>
      <c r="G422" s="91">
        <v>2027.75</v>
      </c>
      <c r="I422" s="117">
        <v>299.7</v>
      </c>
      <c r="N422" s="30">
        <f>SUM(G422:M422)</f>
        <v>2327.45</v>
      </c>
      <c r="Q422" s="2">
        <v>45770</v>
      </c>
      <c r="R422" s="3">
        <v>4104</v>
      </c>
      <c r="S422" s="49">
        <v>556</v>
      </c>
      <c r="T422">
        <v>88</v>
      </c>
      <c r="U422" s="35">
        <v>3122</v>
      </c>
      <c r="V422">
        <v>338</v>
      </c>
      <c r="AA422" s="68">
        <f>SUM(S422:Z422)</f>
        <v>4104</v>
      </c>
      <c r="AC422" s="19">
        <v>45770</v>
      </c>
      <c r="AD422" s="4">
        <f>F422+R422</f>
        <v>6431.45</v>
      </c>
    </row>
    <row r="423" spans="1:73" hidden="true">
      <c r="D423" s="9" t="s">
        <v>16</v>
      </c>
      <c r="E423" s="2">
        <v>45771</v>
      </c>
      <c r="F423" s="55">
        <v>3024.9</v>
      </c>
      <c r="G423" s="91">
        <v>2668.7</v>
      </c>
      <c r="I423" s="117">
        <v>356.2</v>
      </c>
      <c r="N423" s="30">
        <f>SUM(G423:M423)</f>
        <v>3024.9</v>
      </c>
      <c r="Q423" s="2">
        <v>45771</v>
      </c>
      <c r="R423" s="3">
        <v>3833.8</v>
      </c>
      <c r="S423" s="91">
        <v>1470</v>
      </c>
      <c r="T423">
        <v>167.8</v>
      </c>
      <c r="U423" s="35">
        <v>1702</v>
      </c>
      <c r="V423">
        <v>494</v>
      </c>
      <c r="AA423" s="68">
        <f>SUM(S423:Z423)</f>
        <v>3833.8</v>
      </c>
      <c r="AC423" s="19">
        <v>45771</v>
      </c>
      <c r="AD423" s="4">
        <f>F423+R423</f>
        <v>6858.7</v>
      </c>
    </row>
    <row r="424" spans="1:73" hidden="true">
      <c r="D424" s="9" t="s">
        <v>10</v>
      </c>
      <c r="E424" s="2">
        <v>45772</v>
      </c>
      <c r="F424" s="55">
        <v>3078.4</v>
      </c>
      <c r="G424" s="91">
        <v>2451.5</v>
      </c>
      <c r="I424" s="117">
        <v>626.9</v>
      </c>
      <c r="N424" s="30">
        <f>SUM(G424:M424)</f>
        <v>3078.4</v>
      </c>
      <c r="Q424" s="2">
        <v>45772</v>
      </c>
      <c r="R424" s="3">
        <v>8721</v>
      </c>
      <c r="S424" s="49">
        <v>587</v>
      </c>
      <c r="T424">
        <v>88</v>
      </c>
      <c r="U424" s="35">
        <v>5994</v>
      </c>
      <c r="V424" s="35">
        <v>2052</v>
      </c>
      <c r="AA424" s="68">
        <f>SUM(S424:Z424)</f>
        <v>8721</v>
      </c>
      <c r="AC424" s="19">
        <v>45772</v>
      </c>
      <c r="AD424" s="4">
        <f>F424+R424</f>
        <v>11799.4</v>
      </c>
    </row>
    <row r="425" spans="1:73" hidden="true">
      <c r="D425" s="9" t="s">
        <v>11</v>
      </c>
      <c r="E425" s="2">
        <v>45773</v>
      </c>
      <c r="F425" s="55">
        <v>4133.4</v>
      </c>
      <c r="G425" s="91">
        <v>3229.3</v>
      </c>
      <c r="I425" s="117">
        <v>904.1</v>
      </c>
      <c r="N425" s="30">
        <f>SUM(G425:M425)</f>
        <v>4133.4</v>
      </c>
      <c r="Q425" s="2">
        <v>45773</v>
      </c>
      <c r="R425" s="3">
        <v>3219.4</v>
      </c>
      <c r="S425" s="49">
        <v>228</v>
      </c>
      <c r="T425">
        <v>477.4</v>
      </c>
      <c r="U425">
        <v>952</v>
      </c>
      <c r="V425" s="35">
        <v>1562</v>
      </c>
      <c r="AA425" s="68">
        <f>SUM(S425:Z425)</f>
        <v>3219.4</v>
      </c>
      <c r="AC425" s="19">
        <v>45773</v>
      </c>
      <c r="AD425" s="4">
        <f>F425+R425</f>
        <v>7352.8</v>
      </c>
    </row>
    <row r="426" spans="1:73" hidden="true">
      <c r="D426" s="9" t="s">
        <v>12</v>
      </c>
      <c r="E426" s="2">
        <v>45774</v>
      </c>
      <c r="F426" s="55">
        <v>5378.75</v>
      </c>
      <c r="G426" s="91">
        <v>4005.35</v>
      </c>
      <c r="I426" s="117">
        <v>1373.4</v>
      </c>
      <c r="N426" s="30">
        <f>SUM(G426:M426)</f>
        <v>5378.75</v>
      </c>
      <c r="Q426" s="2">
        <v>45774</v>
      </c>
      <c r="R426" s="3">
        <v>5928.8</v>
      </c>
      <c r="S426" s="49">
        <v>537</v>
      </c>
      <c r="T426">
        <v>652.8</v>
      </c>
      <c r="U426" s="35">
        <v>2574</v>
      </c>
      <c r="V426" s="35">
        <v>2165</v>
      </c>
      <c r="AA426" s="68">
        <f>SUM(S426:Z426)</f>
        <v>5928.8</v>
      </c>
      <c r="AC426" s="19">
        <v>45774</v>
      </c>
      <c r="AD426" s="4">
        <f>F426+R426</f>
        <v>11307.55</v>
      </c>
    </row>
    <row r="427" spans="1:73" hidden="true">
      <c r="D427" s="9" t="s">
        <v>13</v>
      </c>
      <c r="E427" s="2">
        <v>45775</v>
      </c>
      <c r="F427" s="55">
        <v>3587</v>
      </c>
      <c r="G427" s="91">
        <v>1996.65</v>
      </c>
      <c r="I427" s="117">
        <v>673.4</v>
      </c>
      <c r="N427" s="30">
        <f>SUM(G427:M427)</f>
        <v>2670.05</v>
      </c>
      <c r="Q427" s="2">
        <v>45775</v>
      </c>
      <c r="R427" s="3">
        <v>2192</v>
      </c>
      <c r="S427" s="49">
        <v>168</v>
      </c>
      <c r="T427">
        <v>88</v>
      </c>
      <c r="U427" s="35">
        <v>1144</v>
      </c>
      <c r="V427">
        <v>792</v>
      </c>
      <c r="AA427" s="68">
        <f>SUM(S427:Z427)</f>
        <v>2192</v>
      </c>
      <c r="AC427" s="19">
        <v>45775</v>
      </c>
      <c r="AD427" s="4">
        <f>F427+R427</f>
        <v>5779</v>
      </c>
    </row>
    <row r="428" spans="1:73" hidden="true">
      <c r="D428" s="9" t="s">
        <v>14</v>
      </c>
      <c r="E428" s="2">
        <v>45776</v>
      </c>
      <c r="F428" s="55">
        <v>2173.5</v>
      </c>
      <c r="G428" s="91">
        <v>1823</v>
      </c>
      <c r="I428" s="117">
        <v>350.5</v>
      </c>
      <c r="N428" s="30">
        <f>SUM(G428:M428)</f>
        <v>2173.5</v>
      </c>
      <c r="Q428" s="2">
        <v>45776</v>
      </c>
      <c r="R428" s="3">
        <v>2741.9</v>
      </c>
      <c r="S428" s="49">
        <v>228</v>
      </c>
      <c r="T428">
        <v>157.9</v>
      </c>
      <c r="U428">
        <v>938</v>
      </c>
      <c r="V428">
        <v>938</v>
      </c>
      <c r="AA428" s="68">
        <f>SUM(S428:Z428)</f>
        <v>2261.9</v>
      </c>
      <c r="AC428" s="19">
        <v>45776</v>
      </c>
      <c r="AD428" s="4">
        <f>F428+R428</f>
        <v>4915.4</v>
      </c>
    </row>
    <row r="429" spans="1:73" hidden="true">
      <c r="D429" s="9" t="s">
        <v>15</v>
      </c>
      <c r="E429" s="2">
        <v>45777</v>
      </c>
      <c r="F429" s="55">
        <v>3589</v>
      </c>
      <c r="G429" s="91">
        <v>3001.4</v>
      </c>
      <c r="I429" s="117">
        <v>480.6</v>
      </c>
      <c r="N429" s="30">
        <f>SUM(G429:M429)</f>
        <v>3482</v>
      </c>
      <c r="Q429" s="2">
        <v>45777</v>
      </c>
      <c r="R429" s="3">
        <v>2009.9</v>
      </c>
      <c r="S429" s="49">
        <v>0</v>
      </c>
      <c r="T429">
        <v>69.9</v>
      </c>
      <c r="U429" s="35">
        <v>1272</v>
      </c>
      <c r="V429">
        <v>668</v>
      </c>
      <c r="AA429" s="68">
        <f>SUM(S429:Z429)</f>
        <v>2009.9</v>
      </c>
      <c r="AC429" s="19">
        <v>45777</v>
      </c>
      <c r="AD429" s="4">
        <f>F429+R429</f>
        <v>5598.9</v>
      </c>
    </row>
    <row r="430" spans="1:73" hidden="true">
      <c r="D430" s="9" t="s">
        <v>16</v>
      </c>
      <c r="E430" s="2">
        <v>45778</v>
      </c>
      <c r="F430" s="55">
        <v>3270.3</v>
      </c>
      <c r="G430" s="91">
        <v>2596.2</v>
      </c>
      <c r="I430" s="117">
        <v>674.1</v>
      </c>
      <c r="N430" s="30">
        <f>SUM(G430:M430)</f>
        <v>3270.3</v>
      </c>
      <c r="Q430" s="2">
        <v>45778</v>
      </c>
      <c r="R430" s="3">
        <v>4088</v>
      </c>
      <c r="S430" s="49">
        <v>438</v>
      </c>
      <c r="T430">
        <v>352</v>
      </c>
      <c r="U430" s="35">
        <v>1988</v>
      </c>
      <c r="V430" s="35">
        <v>1310</v>
      </c>
      <c r="AA430" s="68">
        <f>SUM(S430:Z430)</f>
        <v>4088</v>
      </c>
      <c r="AC430" s="19">
        <v>45778</v>
      </c>
      <c r="AD430" s="4">
        <f>F430+R430</f>
        <v>7358.3</v>
      </c>
    </row>
    <row r="431" spans="1:73" hidden="true">
      <c r="D431" s="9" t="s">
        <v>10</v>
      </c>
      <c r="E431" s="2">
        <v>45779</v>
      </c>
      <c r="F431" s="55">
        <v>3591</v>
      </c>
      <c r="G431" s="91">
        <v>1832.6</v>
      </c>
      <c r="I431" s="117">
        <v>119.7</v>
      </c>
      <c r="N431" s="30">
        <f>SUM(G431:M431)</f>
        <v>1952.3</v>
      </c>
      <c r="Q431" s="2">
        <v>45779</v>
      </c>
      <c r="R431" s="3">
        <v>5619</v>
      </c>
      <c r="S431" s="91">
        <v>1292</v>
      </c>
      <c r="T431">
        <v>440</v>
      </c>
      <c r="U431" s="35">
        <v>3003</v>
      </c>
      <c r="V431">
        <v>884</v>
      </c>
      <c r="AA431" s="68">
        <f>SUM(S431:Z431)</f>
        <v>5619</v>
      </c>
      <c r="AC431" s="19">
        <v>45779</v>
      </c>
      <c r="AD431" s="4">
        <f>F431+R431</f>
        <v>9210</v>
      </c>
    </row>
    <row r="432" spans="1:73" hidden="true">
      <c r="D432" s="9" t="s">
        <v>11</v>
      </c>
      <c r="E432" s="2">
        <v>45780</v>
      </c>
      <c r="F432" s="55">
        <v>3887.8</v>
      </c>
      <c r="G432" s="91">
        <v>3059.9</v>
      </c>
      <c r="I432" s="117">
        <v>827.9</v>
      </c>
      <c r="N432" s="30">
        <f>SUM(G432:M432)</f>
        <v>3887.8</v>
      </c>
      <c r="Q432" s="2">
        <v>45780</v>
      </c>
      <c r="R432" s="3">
        <v>4380</v>
      </c>
      <c r="S432" s="91">
        <v>1470</v>
      </c>
      <c r="T432">
        <v>352</v>
      </c>
      <c r="U432" s="35">
        <v>2210</v>
      </c>
      <c r="V432">
        <v>348</v>
      </c>
      <c r="AA432" s="68">
        <f>SUM(S432:Z432)</f>
        <v>4380</v>
      </c>
      <c r="AC432" s="19">
        <v>45780</v>
      </c>
      <c r="AD432" s="4">
        <f>F432+R432</f>
        <v>8267.8</v>
      </c>
    </row>
    <row r="433" spans="1:73" hidden="true">
      <c r="D433" s="9" t="s">
        <v>12</v>
      </c>
      <c r="E433" s="2">
        <v>45781</v>
      </c>
      <c r="F433" s="55">
        <v>4305.55</v>
      </c>
      <c r="G433" s="91">
        <v>3282.45</v>
      </c>
      <c r="I433" s="117">
        <v>1023.1</v>
      </c>
      <c r="N433" s="30">
        <f>SUM(G433:M433)</f>
        <v>4305.55</v>
      </c>
      <c r="Q433" s="2">
        <v>45781</v>
      </c>
      <c r="R433" s="3">
        <v>6467.8</v>
      </c>
      <c r="S433" s="91">
        <v>1376</v>
      </c>
      <c r="T433">
        <v>607.8</v>
      </c>
      <c r="U433" s="35">
        <v>2840</v>
      </c>
      <c r="V433" s="35">
        <v>1644</v>
      </c>
      <c r="AA433" s="68">
        <f>SUM(S433:Z433)</f>
        <v>6467.8</v>
      </c>
      <c r="AC433" s="19">
        <v>45781</v>
      </c>
      <c r="AD433" s="4">
        <f>F433+R433</f>
        <v>10773.35</v>
      </c>
    </row>
    <row r="434" spans="1:73" hidden="true">
      <c r="D434" s="9" t="s">
        <v>13</v>
      </c>
      <c r="E434" s="2">
        <v>45782</v>
      </c>
      <c r="F434" s="55">
        <v>3239.2</v>
      </c>
      <c r="G434" s="91">
        <v>2516.9</v>
      </c>
      <c r="I434" s="117">
        <v>722.3</v>
      </c>
      <c r="N434" s="30">
        <f>SUM(G434:M434)</f>
        <v>3239.2</v>
      </c>
      <c r="Q434" s="2">
        <v>45782</v>
      </c>
      <c r="R434" s="3">
        <v>2633</v>
      </c>
      <c r="S434" s="49">
        <v>0</v>
      </c>
      <c r="T434">
        <v>289</v>
      </c>
      <c r="U434" s="35">
        <v>1092</v>
      </c>
      <c r="V434" s="35">
        <v>1252</v>
      </c>
      <c r="AA434" s="68">
        <f>SUM(S434:Z434)</f>
        <v>2633</v>
      </c>
      <c r="AC434" s="19">
        <v>45782</v>
      </c>
      <c r="AD434" s="4">
        <f>F434+R434</f>
        <v>5872.2</v>
      </c>
    </row>
    <row r="435" spans="1:73" hidden="true">
      <c r="D435" s="9" t="s">
        <v>14</v>
      </c>
      <c r="E435" s="2">
        <v>45783</v>
      </c>
      <c r="F435" s="55">
        <v>3449.7</v>
      </c>
      <c r="G435" s="91">
        <v>3024.3</v>
      </c>
      <c r="I435" s="117">
        <v>425.4</v>
      </c>
      <c r="N435" s="30">
        <f>SUM(G435:M435)</f>
        <v>3449.7</v>
      </c>
      <c r="Q435" s="2">
        <v>45783</v>
      </c>
      <c r="R435" s="3">
        <v>2144</v>
      </c>
      <c r="S435" s="49">
        <v>646</v>
      </c>
      <c r="T435">
        <v>176</v>
      </c>
      <c r="U435">
        <v>588</v>
      </c>
      <c r="V435">
        <v>734</v>
      </c>
      <c r="AA435" s="68">
        <f>SUM(S435:Z435)</f>
        <v>2144</v>
      </c>
      <c r="AC435" s="19">
        <v>45783</v>
      </c>
      <c r="AD435" s="4">
        <f>F435+R435</f>
        <v>5593.7</v>
      </c>
    </row>
    <row r="436" spans="1:73" hidden="true">
      <c r="D436" s="9" t="s">
        <v>15</v>
      </c>
      <c r="E436" s="2">
        <v>45784</v>
      </c>
      <c r="F436" s="55">
        <v>3050.7</v>
      </c>
      <c r="G436" s="91">
        <v>2533</v>
      </c>
      <c r="I436" s="117">
        <v>517.7</v>
      </c>
      <c r="N436" s="30">
        <f>SUM(G436:M436)</f>
        <v>3050.7</v>
      </c>
      <c r="Q436" s="2">
        <v>45784</v>
      </c>
      <c r="R436" s="3">
        <v>2654</v>
      </c>
      <c r="S436" s="49">
        <v>0</v>
      </c>
      <c r="T436">
        <v>0</v>
      </c>
      <c r="U436">
        <v>298</v>
      </c>
      <c r="V436" s="35">
        <v>2356</v>
      </c>
      <c r="AA436" s="68">
        <f>SUM(S436:Z436)</f>
        <v>2654</v>
      </c>
      <c r="AC436" s="19">
        <v>45784</v>
      </c>
      <c r="AD436" s="4">
        <f>F436+R436</f>
        <v>5704.7</v>
      </c>
    </row>
    <row r="437" spans="1:73" hidden="true">
      <c r="D437" s="9" t="s">
        <v>16</v>
      </c>
      <c r="E437" s="2">
        <v>45785</v>
      </c>
      <c r="F437" s="55">
        <v>3709</v>
      </c>
      <c r="G437" s="91">
        <v>3118.7</v>
      </c>
      <c r="I437" s="117">
        <v>590.3</v>
      </c>
      <c r="N437" s="30">
        <f>SUM(G437:M437)</f>
        <v>3709</v>
      </c>
      <c r="Q437" s="2">
        <v>45785</v>
      </c>
      <c r="R437" s="3">
        <v>3740</v>
      </c>
      <c r="S437" s="49">
        <v>0</v>
      </c>
      <c r="T437">
        <v>176</v>
      </c>
      <c r="U437" s="35">
        <v>3266</v>
      </c>
      <c r="V437">
        <v>298</v>
      </c>
      <c r="AA437" s="68">
        <f>SUM(S437:Z437)</f>
        <v>3740</v>
      </c>
      <c r="AC437" s="19">
        <v>45785</v>
      </c>
      <c r="AD437" s="4">
        <f>F437+R437</f>
        <v>7449</v>
      </c>
    </row>
    <row r="438" spans="1:73" hidden="true">
      <c r="D438" s="9" t="s">
        <v>10</v>
      </c>
      <c r="E438" s="2">
        <v>45786</v>
      </c>
      <c r="F438" s="55">
        <v>4259.9</v>
      </c>
      <c r="G438" s="91">
        <v>3993.4</v>
      </c>
      <c r="I438" s="117">
        <v>266.5</v>
      </c>
      <c r="N438" s="30">
        <f>SUM(G438:M438)</f>
        <v>4259.9</v>
      </c>
      <c r="Q438" s="2">
        <v>45786</v>
      </c>
      <c r="R438" s="3">
        <v>2836</v>
      </c>
      <c r="S438" s="49">
        <v>198</v>
      </c>
      <c r="T438">
        <v>88</v>
      </c>
      <c r="U438">
        <v>764</v>
      </c>
      <c r="V438" s="35">
        <v>1786</v>
      </c>
      <c r="AA438" s="68">
        <f>SUM(S438:Z438)</f>
        <v>2836</v>
      </c>
      <c r="AC438" s="19">
        <v>45786</v>
      </c>
      <c r="AD438" s="4">
        <f>F438+R438</f>
        <v>7095.9</v>
      </c>
    </row>
    <row r="439" spans="1:73" hidden="true">
      <c r="D439" s="9" t="s">
        <v>11</v>
      </c>
      <c r="E439" s="2">
        <v>45787</v>
      </c>
      <c r="F439" s="55">
        <v>2587.6</v>
      </c>
      <c r="G439" s="91">
        <v>2472.7</v>
      </c>
      <c r="I439" s="117">
        <v>114.9</v>
      </c>
      <c r="N439" s="30">
        <f>SUM(G439:M439)</f>
        <v>2587.6</v>
      </c>
      <c r="Q439" s="2">
        <v>45787</v>
      </c>
      <c r="R439" s="3">
        <v>2757.9</v>
      </c>
      <c r="S439" s="49">
        <v>268</v>
      </c>
      <c r="T439">
        <v>295.9</v>
      </c>
      <c r="U439" s="35">
        <v>1798</v>
      </c>
      <c r="V439">
        <v>396</v>
      </c>
      <c r="AA439" s="68">
        <f>SUM(S439:Z439)</f>
        <v>2757.9</v>
      </c>
      <c r="AC439" s="19">
        <v>45787</v>
      </c>
      <c r="AD439" s="4">
        <f>F439+R439</f>
        <v>5345.5</v>
      </c>
    </row>
    <row r="440" spans="1:73" hidden="true">
      <c r="D440" s="9" t="s">
        <v>12</v>
      </c>
      <c r="E440" s="2">
        <v>45788</v>
      </c>
      <c r="F440" s="55">
        <v>4607.25</v>
      </c>
      <c r="G440" s="91">
        <v>4185.35</v>
      </c>
      <c r="I440" s="117">
        <v>421.9</v>
      </c>
      <c r="N440" s="30">
        <f>SUM(G440:M440)</f>
        <v>4607.25</v>
      </c>
      <c r="Q440" s="2">
        <v>45788</v>
      </c>
      <c r="R440" s="3">
        <v>3473</v>
      </c>
      <c r="S440" s="49">
        <v>416</v>
      </c>
      <c r="T440">
        <v>201</v>
      </c>
      <c r="U440">
        <v>764</v>
      </c>
      <c r="V440" s="35">
        <v>2092</v>
      </c>
      <c r="AA440" s="68">
        <f>SUM(S440:Z440)</f>
        <v>3473</v>
      </c>
      <c r="AC440" s="19">
        <v>45788</v>
      </c>
      <c r="AD440" s="4">
        <f>F440+R440</f>
        <v>8080.25</v>
      </c>
    </row>
    <row r="441" spans="1:73" hidden="true">
      <c r="D441" s="9" t="s">
        <v>13</v>
      </c>
      <c r="E441" s="2">
        <v>45789</v>
      </c>
      <c r="F441" s="55">
        <v>4784.85</v>
      </c>
      <c r="G441" s="91">
        <v>4482.05</v>
      </c>
      <c r="I441" s="117">
        <v>302.8</v>
      </c>
      <c r="N441" s="30">
        <f>SUM(G441:M441)</f>
        <v>4784.85</v>
      </c>
      <c r="Q441" s="2">
        <v>45789</v>
      </c>
      <c r="R441" s="3">
        <v>6011.9</v>
      </c>
      <c r="S441" s="49">
        <v>496</v>
      </c>
      <c r="T441">
        <v>243.9</v>
      </c>
      <c r="U441" s="35">
        <v>3328</v>
      </c>
      <c r="V441" s="35">
        <v>1944</v>
      </c>
      <c r="AA441" s="68">
        <f>SUM(S441:Z441)</f>
        <v>6011.9</v>
      </c>
      <c r="AC441" s="19">
        <v>45789</v>
      </c>
      <c r="AD441" s="4">
        <f>F441+R441</f>
        <v>10796.75</v>
      </c>
    </row>
    <row r="442" spans="1:73" hidden="true">
      <c r="D442" s="9" t="s">
        <v>14</v>
      </c>
      <c r="E442" s="2">
        <v>45790</v>
      </c>
      <c r="F442" s="55">
        <v>4151.55</v>
      </c>
      <c r="G442" s="91">
        <v>3357.25</v>
      </c>
      <c r="I442" s="117">
        <v>794.3</v>
      </c>
      <c r="N442" s="30">
        <f>SUM(G442:M442)</f>
        <v>4151.55</v>
      </c>
      <c r="Q442" s="2">
        <v>45790</v>
      </c>
      <c r="R442" s="3">
        <v>3214</v>
      </c>
      <c r="S442" s="49">
        <v>0</v>
      </c>
      <c r="T442">
        <v>0</v>
      </c>
      <c r="U442" s="35">
        <v>1982</v>
      </c>
      <c r="V442" s="35">
        <v>1232</v>
      </c>
      <c r="AA442" s="68">
        <f>SUM(S442:Z442)</f>
        <v>3214</v>
      </c>
      <c r="AC442" s="19">
        <v>45790</v>
      </c>
      <c r="AD442" s="4">
        <f>F442+R442</f>
        <v>7365.55</v>
      </c>
    </row>
    <row r="443" spans="1:73" hidden="true">
      <c r="D443" s="9" t="s">
        <v>15</v>
      </c>
      <c r="E443" s="2">
        <v>45791</v>
      </c>
      <c r="F443" s="55">
        <v>2760.5</v>
      </c>
      <c r="G443" s="91">
        <v>2420.9</v>
      </c>
      <c r="I443" s="117">
        <v>339.6</v>
      </c>
      <c r="N443" s="30">
        <f>SUM(G443:M443)</f>
        <v>2760.5</v>
      </c>
      <c r="Q443" s="2">
        <v>45791</v>
      </c>
      <c r="R443" s="3">
        <v>2478</v>
      </c>
      <c r="S443" s="49">
        <v>456</v>
      </c>
      <c r="T443">
        <v>0</v>
      </c>
      <c r="U443" s="35">
        <v>1390</v>
      </c>
      <c r="V443">
        <v>632</v>
      </c>
      <c r="AA443" s="68">
        <f>SUM(S443:Z443)</f>
        <v>2478</v>
      </c>
      <c r="AC443" s="19">
        <v>45791</v>
      </c>
      <c r="AD443" s="4">
        <f>F443+R443</f>
        <v>5238.5</v>
      </c>
    </row>
    <row r="444" spans="1:73" hidden="true">
      <c r="D444" s="9" t="s">
        <v>16</v>
      </c>
      <c r="E444" s="2">
        <v>45792</v>
      </c>
      <c r="F444" s="55">
        <v>4093.8</v>
      </c>
      <c r="G444" s="91">
        <v>3336.7</v>
      </c>
      <c r="I444" s="117">
        <v>757.1</v>
      </c>
      <c r="N444" s="30">
        <f>SUM(G444:M444)</f>
        <v>4093.8</v>
      </c>
      <c r="Q444" s="2">
        <v>45792</v>
      </c>
      <c r="R444" s="3">
        <v>2125</v>
      </c>
      <c r="S444" s="49">
        <v>694</v>
      </c>
      <c r="T444">
        <v>88</v>
      </c>
      <c r="U444">
        <v>924</v>
      </c>
      <c r="V444">
        <v>419</v>
      </c>
      <c r="AA444" s="68">
        <f>SUM(S444:Z444)</f>
        <v>2125</v>
      </c>
      <c r="AC444" s="19">
        <v>45792</v>
      </c>
      <c r="AD444" s="4">
        <f>F444+R444</f>
        <v>6218.8</v>
      </c>
    </row>
    <row r="445" spans="1:73" hidden="true">
      <c r="D445" s="9" t="s">
        <v>10</v>
      </c>
      <c r="E445" s="2">
        <v>45793</v>
      </c>
      <c r="F445" s="55">
        <v>4253.3</v>
      </c>
      <c r="G445" s="91">
        <v>3797.9</v>
      </c>
      <c r="I445" s="117">
        <v>455.4</v>
      </c>
      <c r="N445" s="30">
        <f>SUM(G445:M445)</f>
        <v>4253.3</v>
      </c>
      <c r="Q445" s="2">
        <v>45793</v>
      </c>
      <c r="R445" s="3">
        <v>5023.7</v>
      </c>
      <c r="S445" s="49">
        <v>396</v>
      </c>
      <c r="T445">
        <v>197.7</v>
      </c>
      <c r="U445" s="35">
        <v>3556</v>
      </c>
      <c r="V445">
        <v>874</v>
      </c>
      <c r="AA445" s="68">
        <f>SUM(S445:Z445)</f>
        <v>5023.7</v>
      </c>
      <c r="AC445" s="19">
        <v>45793</v>
      </c>
      <c r="AD445" s="4">
        <f>F445+R445</f>
        <v>9277</v>
      </c>
    </row>
    <row r="446" spans="1:73" hidden="true">
      <c r="D446" s="9" t="s">
        <v>11</v>
      </c>
      <c r="E446" s="2">
        <v>45794</v>
      </c>
      <c r="F446" s="55">
        <v>3054.3</v>
      </c>
      <c r="G446" s="91">
        <v>2754.5</v>
      </c>
      <c r="I446" s="117">
        <v>299.8</v>
      </c>
      <c r="N446" s="30">
        <f>SUM(G446:M446)</f>
        <v>3054.3</v>
      </c>
      <c r="Q446" s="2">
        <v>45794</v>
      </c>
      <c r="R446" s="3">
        <v>2050</v>
      </c>
      <c r="S446" s="49">
        <v>638</v>
      </c>
      <c r="T446">
        <v>88</v>
      </c>
      <c r="U446" s="35">
        <v>1324</v>
      </c>
      <c r="V446">
        <v>0</v>
      </c>
      <c r="AA446" s="68">
        <f>SUM(S446:Z446)</f>
        <v>2050</v>
      </c>
      <c r="AC446" s="19">
        <v>45794</v>
      </c>
      <c r="AD446" s="4">
        <f>F446+R446</f>
        <v>5104.3</v>
      </c>
    </row>
    <row r="447" spans="1:73" hidden="true">
      <c r="D447" s="9" t="s">
        <v>12</v>
      </c>
      <c r="E447" s="2">
        <v>45795</v>
      </c>
      <c r="F447" s="55">
        <v>2883.45</v>
      </c>
      <c r="G447" s="91">
        <v>2301.75</v>
      </c>
      <c r="I447" s="117">
        <v>581.7</v>
      </c>
      <c r="N447" s="30">
        <f>SUM(G447:M447)</f>
        <v>2883.45</v>
      </c>
      <c r="Q447" s="2">
        <v>45795</v>
      </c>
      <c r="R447" s="3">
        <v>4254</v>
      </c>
      <c r="S447" s="91">
        <v>148</v>
      </c>
      <c r="T447">
        <v>352</v>
      </c>
      <c r="U447" s="35">
        <v>1704</v>
      </c>
      <c r="V447" s="35">
        <v>2050</v>
      </c>
      <c r="AA447" s="68">
        <f>SUM(S447:Z447)</f>
        <v>4254</v>
      </c>
      <c r="AC447" s="19">
        <v>45795</v>
      </c>
      <c r="AD447" s="4">
        <f>F447+R447</f>
        <v>7137.45</v>
      </c>
    </row>
    <row r="448" spans="1:73" hidden="true">
      <c r="D448" s="9" t="s">
        <v>13</v>
      </c>
      <c r="E448" s="2">
        <v>45796</v>
      </c>
      <c r="F448" s="55">
        <v>3590.3</v>
      </c>
      <c r="G448" s="91">
        <v>3247.4</v>
      </c>
      <c r="I448" s="117">
        <v>342.9</v>
      </c>
      <c r="N448" s="30">
        <f>SUM(G448:M448)</f>
        <v>3590.3</v>
      </c>
      <c r="Q448" s="2">
        <v>45796</v>
      </c>
      <c r="R448" s="3">
        <v>7922.8</v>
      </c>
      <c r="S448" s="49">
        <v>904</v>
      </c>
      <c r="T448">
        <v>330.8</v>
      </c>
      <c r="U448" s="35">
        <v>5108</v>
      </c>
      <c r="V448" s="35">
        <v>1580</v>
      </c>
      <c r="AA448" s="68">
        <f>SUM(S448:Z448)</f>
        <v>7922.8</v>
      </c>
      <c r="AC448" s="19">
        <v>45796</v>
      </c>
      <c r="AD448" s="4">
        <f>F448+R448</f>
        <v>11513.1</v>
      </c>
    </row>
    <row r="449" spans="1:73" hidden="true">
      <c r="D449" s="9" t="s">
        <v>14</v>
      </c>
      <c r="E449" s="2">
        <v>45797</v>
      </c>
      <c r="F449" s="55">
        <v>3227.85</v>
      </c>
      <c r="G449" s="91">
        <v>2746.65</v>
      </c>
      <c r="I449" s="117">
        <v>481.2</v>
      </c>
      <c r="N449" s="30">
        <f>SUM(G449:M449)</f>
        <v>3227.85</v>
      </c>
      <c r="Q449" s="2">
        <v>45797</v>
      </c>
      <c r="R449" s="3">
        <v>4224</v>
      </c>
      <c r="S449" s="91">
        <v>288</v>
      </c>
      <c r="T449">
        <v>69</v>
      </c>
      <c r="U449" s="35">
        <v>2060</v>
      </c>
      <c r="V449" s="35">
        <v>1807</v>
      </c>
      <c r="AA449" s="68">
        <f>SUM(S449:Z449)</f>
        <v>4224</v>
      </c>
      <c r="AC449" s="19">
        <v>45797</v>
      </c>
      <c r="AD449" s="4">
        <f>F449+R449</f>
        <v>7451.85</v>
      </c>
    </row>
    <row r="450" spans="1:73" hidden="true">
      <c r="D450" s="9" t="s">
        <v>15</v>
      </c>
      <c r="E450" s="2">
        <v>45798</v>
      </c>
      <c r="F450" s="55">
        <v>3711.95</v>
      </c>
      <c r="G450" s="91">
        <v>3297.35</v>
      </c>
      <c r="I450" s="117">
        <v>414.6</v>
      </c>
      <c r="N450" s="30">
        <f>SUM(G450:M450)</f>
        <v>3711.95</v>
      </c>
      <c r="Q450" s="2">
        <v>45798</v>
      </c>
      <c r="R450" s="3">
        <v>4679</v>
      </c>
      <c r="S450" s="49">
        <v>396</v>
      </c>
      <c r="T450">
        <v>352</v>
      </c>
      <c r="U450" s="35">
        <v>1610</v>
      </c>
      <c r="V450" s="35">
        <v>2321</v>
      </c>
      <c r="AA450" s="68">
        <f>SUM(S450:Z450)</f>
        <v>4679</v>
      </c>
      <c r="AC450" s="19">
        <v>45798</v>
      </c>
      <c r="AD450" s="4">
        <f>F450+R450</f>
        <v>8390.95</v>
      </c>
    </row>
    <row r="451" spans="1:73" hidden="true">
      <c r="D451" s="9" t="s">
        <v>16</v>
      </c>
      <c r="E451" s="2">
        <v>45799</v>
      </c>
      <c r="F451" s="55">
        <v>3181.05</v>
      </c>
      <c r="G451" s="91">
        <v>2739.85</v>
      </c>
      <c r="I451" s="117">
        <v>441.2</v>
      </c>
      <c r="N451" s="30">
        <f>SUM(G451:M451)</f>
        <v>3181.05</v>
      </c>
      <c r="Q451" s="2">
        <v>45799</v>
      </c>
      <c r="R451" s="3">
        <v>3547.8</v>
      </c>
      <c r="S451" s="49">
        <v>662</v>
      </c>
      <c r="T451">
        <v>421.8</v>
      </c>
      <c r="U451">
        <v>974</v>
      </c>
      <c r="V451" s="35">
        <v>1490</v>
      </c>
      <c r="AA451" s="68">
        <f>SUM(S451:Z451)</f>
        <v>3547.8</v>
      </c>
      <c r="AC451" s="19">
        <v>45799</v>
      </c>
      <c r="AD451" s="4">
        <f>F451+R451</f>
        <v>6728.85</v>
      </c>
    </row>
    <row r="452" spans="1:73" hidden="true">
      <c r="D452" s="9" t="s">
        <v>10</v>
      </c>
      <c r="E452" s="2">
        <v>45800</v>
      </c>
      <c r="F452" s="55">
        <v>3612</v>
      </c>
      <c r="G452" s="91">
        <v>2810.8</v>
      </c>
      <c r="I452" s="117">
        <v>320</v>
      </c>
      <c r="N452" s="30">
        <f>SUM(G452:M452)</f>
        <v>3130.8</v>
      </c>
      <c r="Q452" s="2">
        <v>45800</v>
      </c>
      <c r="R452" s="3">
        <v>6628</v>
      </c>
      <c r="S452" s="49">
        <v>494</v>
      </c>
      <c r="T452">
        <v>251</v>
      </c>
      <c r="U452" s="35">
        <v>2626</v>
      </c>
      <c r="V452" s="35">
        <v>3257</v>
      </c>
      <c r="AA452" s="68">
        <f>SUM(S452:Z452)</f>
        <v>6628</v>
      </c>
      <c r="AC452" s="19">
        <v>45800</v>
      </c>
      <c r="AD452" s="4">
        <f>F452+R452</f>
        <v>10240</v>
      </c>
    </row>
    <row r="453" spans="1:73" hidden="true">
      <c r="D453" s="9" t="s">
        <v>11</v>
      </c>
      <c r="E453" s="2">
        <v>45801</v>
      </c>
      <c r="F453" s="55">
        <v>2945.05</v>
      </c>
      <c r="G453" s="91">
        <v>2644.15</v>
      </c>
      <c r="I453" s="117">
        <v>300.9</v>
      </c>
      <c r="N453" s="30">
        <f>SUM(G453:M453)</f>
        <v>2945.05</v>
      </c>
      <c r="Q453" s="2">
        <v>45801</v>
      </c>
      <c r="R453" s="3">
        <v>2380</v>
      </c>
      <c r="S453" s="49">
        <v>0</v>
      </c>
      <c r="T453">
        <v>176</v>
      </c>
      <c r="U453">
        <v>496</v>
      </c>
      <c r="V453" s="35">
        <v>1708</v>
      </c>
      <c r="AA453" s="68">
        <f>SUM(S453:Z453)</f>
        <v>2380</v>
      </c>
      <c r="AC453" s="19">
        <v>45801</v>
      </c>
      <c r="AD453" s="4">
        <f>F453+R453</f>
        <v>5325.05</v>
      </c>
    </row>
    <row r="454" spans="1:73" hidden="true">
      <c r="D454" s="9" t="s">
        <v>12</v>
      </c>
      <c r="E454" s="2">
        <v>45802</v>
      </c>
      <c r="F454" s="55">
        <v>3458.2</v>
      </c>
      <c r="G454" s="91">
        <v>3238.4</v>
      </c>
      <c r="I454" s="117">
        <v>219.8</v>
      </c>
      <c r="N454" s="30">
        <f>SUM(G454:M454)</f>
        <v>3458.2</v>
      </c>
      <c r="Q454" s="2">
        <v>45802</v>
      </c>
      <c r="R454" s="3">
        <v>2715.8</v>
      </c>
      <c r="S454" s="49">
        <v>856</v>
      </c>
      <c r="T454">
        <v>315.8</v>
      </c>
      <c r="U454">
        <v>684</v>
      </c>
      <c r="V454">
        <v>860</v>
      </c>
      <c r="AA454" s="68">
        <f>SUM(S454:Z454)</f>
        <v>2715.8</v>
      </c>
      <c r="AC454" s="19">
        <v>45802</v>
      </c>
      <c r="AD454" s="4">
        <f>F454+R454</f>
        <v>6174</v>
      </c>
    </row>
    <row r="455" spans="1:73" hidden="true">
      <c r="D455" s="9" t="s">
        <v>13</v>
      </c>
      <c r="E455" s="2">
        <v>45803</v>
      </c>
      <c r="F455" s="55">
        <v>2700</v>
      </c>
      <c r="G455" s="91">
        <v>2529.3</v>
      </c>
      <c r="I455" s="117">
        <v>170.7</v>
      </c>
      <c r="N455" s="30">
        <f>SUM(G455:M455)</f>
        <v>2700</v>
      </c>
      <c r="Q455" s="2">
        <v>45803</v>
      </c>
      <c r="R455" s="3">
        <v>2480</v>
      </c>
      <c r="S455" s="49">
        <v>0</v>
      </c>
      <c r="T455">
        <v>0</v>
      </c>
      <c r="U455" s="35">
        <v>1936</v>
      </c>
      <c r="V455">
        <v>544</v>
      </c>
      <c r="AA455" s="68">
        <f>SUM(S455:Z455)</f>
        <v>2480</v>
      </c>
      <c r="AC455" s="19">
        <v>45803</v>
      </c>
      <c r="AD455" s="4">
        <f>F455+R455</f>
        <v>5180</v>
      </c>
    </row>
    <row r="456" spans="1:73" hidden="true">
      <c r="D456" s="9" t="s">
        <v>14</v>
      </c>
      <c r="E456" s="2">
        <v>45804</v>
      </c>
      <c r="F456" s="55">
        <v>3215.8</v>
      </c>
      <c r="G456" s="91">
        <v>2789.4</v>
      </c>
      <c r="I456" s="117">
        <v>426.4</v>
      </c>
      <c r="N456" s="30">
        <f>SUM(G456:M456)</f>
        <v>3215.8</v>
      </c>
      <c r="Q456" s="2">
        <v>45804</v>
      </c>
      <c r="R456" s="3">
        <v>1996</v>
      </c>
      <c r="S456" s="49">
        <v>558</v>
      </c>
      <c r="T456">
        <v>0</v>
      </c>
      <c r="U456">
        <v>0</v>
      </c>
      <c r="V456" s="35">
        <v>1438</v>
      </c>
      <c r="AA456" s="68">
        <f>SUM(S456:Z456)</f>
        <v>1996</v>
      </c>
      <c r="AC456" s="19">
        <v>45804</v>
      </c>
      <c r="AD456" s="4">
        <f>F456+R456</f>
        <v>5211.8</v>
      </c>
    </row>
    <row r="457" spans="1:73" hidden="true">
      <c r="D457" s="9" t="s">
        <v>15</v>
      </c>
      <c r="E457" s="2">
        <v>45805</v>
      </c>
      <c r="F457" s="55">
        <v>1232.1</v>
      </c>
      <c r="G457" s="49">
        <v>905.7</v>
      </c>
      <c r="I457" s="117">
        <v>326.4</v>
      </c>
      <c r="N457" s="30">
        <f>SUM(G457:M457)</f>
        <v>1232.1</v>
      </c>
      <c r="Q457" s="2">
        <v>45805</v>
      </c>
      <c r="R457" s="3">
        <v>1806</v>
      </c>
      <c r="S457" s="49">
        <v>532</v>
      </c>
      <c r="T457">
        <v>88</v>
      </c>
      <c r="U457">
        <v>0</v>
      </c>
      <c r="V457" s="35">
        <v>1186</v>
      </c>
      <c r="AA457" s="68">
        <f>SUM(S457:Z457)</f>
        <v>1806</v>
      </c>
      <c r="AC457" s="19">
        <v>45805</v>
      </c>
      <c r="AD457" s="4">
        <f>F457+R457</f>
        <v>3038.1</v>
      </c>
    </row>
    <row r="458" spans="1:73" hidden="true">
      <c r="D458" s="9" t="s">
        <v>16</v>
      </c>
      <c r="E458" s="2">
        <v>45806</v>
      </c>
      <c r="F458" s="55">
        <v>283.6</v>
      </c>
      <c r="G458" s="49">
        <v>0</v>
      </c>
      <c r="I458" s="117">
        <v>283.6</v>
      </c>
      <c r="N458" s="30">
        <f>SUM(G458:M458)</f>
        <v>283.6</v>
      </c>
      <c r="Q458" s="2">
        <v>45806</v>
      </c>
      <c r="R458" s="3">
        <v>2351</v>
      </c>
      <c r="S458" s="49">
        <v>298</v>
      </c>
      <c r="T458">
        <v>0</v>
      </c>
      <c r="U458">
        <v>0</v>
      </c>
      <c r="V458" s="35">
        <v>2053</v>
      </c>
      <c r="AA458" s="68">
        <f>SUM(S458:Z458)</f>
        <v>2351</v>
      </c>
      <c r="AC458" s="19">
        <v>45806</v>
      </c>
      <c r="AD458" s="4">
        <f>F458+R458</f>
        <v>2634.6</v>
      </c>
    </row>
    <row r="459" spans="1:73" hidden="true">
      <c r="D459" s="9" t="s">
        <v>10</v>
      </c>
      <c r="E459" s="2">
        <v>45807</v>
      </c>
      <c r="F459" s="55">
        <v>522.4</v>
      </c>
      <c r="G459" s="49">
        <v>0</v>
      </c>
      <c r="I459" s="117">
        <v>522.4</v>
      </c>
      <c r="N459" s="30">
        <f>SUM(G459:M459)</f>
        <v>522.4</v>
      </c>
      <c r="Q459" s="2">
        <v>45807</v>
      </c>
      <c r="R459" s="3">
        <v>3429</v>
      </c>
      <c r="S459" s="49">
        <v>0</v>
      </c>
      <c r="T459">
        <v>421</v>
      </c>
      <c r="U459">
        <v>0</v>
      </c>
      <c r="V459" s="35">
        <v>3008</v>
      </c>
      <c r="AA459" s="68">
        <f>SUM(S459:Z459)</f>
        <v>3429</v>
      </c>
      <c r="AC459" s="19">
        <v>45807</v>
      </c>
      <c r="AD459" s="4">
        <f>F459+R459</f>
        <v>3951.4</v>
      </c>
    </row>
    <row r="460" spans="1:73" hidden="true">
      <c r="D460" s="9" t="s">
        <v>11</v>
      </c>
      <c r="E460" s="2">
        <v>45808</v>
      </c>
      <c r="F460" s="55">
        <v>344.3</v>
      </c>
      <c r="G460" s="49">
        <v>0</v>
      </c>
      <c r="I460" s="117">
        <v>344.3</v>
      </c>
      <c r="N460" s="30">
        <f>SUM(G460:M460)</f>
        <v>344.3</v>
      </c>
      <c r="Q460" s="2">
        <v>45808</v>
      </c>
      <c r="R460" s="3">
        <v>1601</v>
      </c>
      <c r="S460" s="49">
        <v>426</v>
      </c>
      <c r="T460">
        <v>113</v>
      </c>
      <c r="U460">
        <v>0</v>
      </c>
      <c r="V460" s="35">
        <v>1062</v>
      </c>
      <c r="AA460" s="49">
        <f>SUM(S460:Z460)</f>
        <v>1601</v>
      </c>
      <c r="AC460" s="19">
        <v>45808</v>
      </c>
      <c r="AD460" s="4">
        <f>F460+R460</f>
        <v>1945.3</v>
      </c>
    </row>
    <row r="461" spans="1:73" hidden="true">
      <c r="D461" s="9" t="s">
        <v>12</v>
      </c>
      <c r="E461" s="2">
        <v>45809</v>
      </c>
      <c r="F461" s="55">
        <v>3621</v>
      </c>
      <c r="G461" s="49">
        <v>0</v>
      </c>
      <c r="I461" s="117">
        <v>305.4</v>
      </c>
      <c r="N461" s="30">
        <f>SUM(G461:M461)</f>
        <v>305.4</v>
      </c>
      <c r="Q461" s="2">
        <v>45809</v>
      </c>
      <c r="R461" s="3">
        <v>2845.7</v>
      </c>
      <c r="S461" s="49">
        <v>656</v>
      </c>
      <c r="T461">
        <v>505.7</v>
      </c>
      <c r="U461">
        <v>0</v>
      </c>
      <c r="V461" s="35">
        <v>1684</v>
      </c>
      <c r="AA461" s="49">
        <f>SUM(S461:Z461)</f>
        <v>2845.7</v>
      </c>
      <c r="AC461" s="19">
        <v>45809</v>
      </c>
      <c r="AD461" s="4">
        <f>F461+R461</f>
        <v>6466.7</v>
      </c>
    </row>
    <row r="462" spans="1:73" hidden="true">
      <c r="D462" s="9" t="s">
        <v>13</v>
      </c>
      <c r="E462" s="2">
        <v>45810</v>
      </c>
      <c r="F462" s="55">
        <v>579.05</v>
      </c>
      <c r="G462" s="49">
        <v>0</v>
      </c>
      <c r="I462" s="117">
        <v>579.05</v>
      </c>
      <c r="N462" s="30">
        <f>SUM(G462:M462)</f>
        <v>579.05</v>
      </c>
      <c r="Q462" s="2">
        <v>45810</v>
      </c>
      <c r="R462" s="3">
        <v>3124</v>
      </c>
      <c r="S462" s="49">
        <v>812</v>
      </c>
      <c r="T462">
        <v>440</v>
      </c>
      <c r="U462">
        <v>0</v>
      </c>
      <c r="V462" s="35">
        <v>1872</v>
      </c>
      <c r="AA462" s="49">
        <f>SUM(S462:Z462)</f>
        <v>3124</v>
      </c>
      <c r="AC462" s="19">
        <v>45810</v>
      </c>
      <c r="AD462" s="4">
        <f>F462+R462</f>
        <v>3703.05</v>
      </c>
    </row>
    <row r="463" spans="1:73" hidden="true">
      <c r="D463" s="9" t="s">
        <v>14</v>
      </c>
      <c r="E463" s="2">
        <v>45811</v>
      </c>
      <c r="F463" s="55">
        <v>396.7</v>
      </c>
      <c r="G463" s="49">
        <v>0</v>
      </c>
      <c r="I463" s="117">
        <v>396.7</v>
      </c>
      <c r="N463" s="30">
        <f>SUM(G463:M463)</f>
        <v>396.7</v>
      </c>
      <c r="Q463" s="2">
        <v>45811</v>
      </c>
      <c r="R463" s="3">
        <v>1144</v>
      </c>
      <c r="S463" s="49">
        <v>576</v>
      </c>
      <c r="T463">
        <v>176</v>
      </c>
      <c r="U463">
        <v>0</v>
      </c>
      <c r="V463">
        <v>392</v>
      </c>
      <c r="AA463" s="49">
        <f>SUM(S463:Z463)</f>
        <v>1144</v>
      </c>
      <c r="AC463" s="19">
        <v>45811</v>
      </c>
      <c r="AD463" s="4">
        <f>F463+R463</f>
        <v>1540.7</v>
      </c>
    </row>
    <row r="464" spans="1:73" hidden="true">
      <c r="D464" s="9" t="s">
        <v>15</v>
      </c>
      <c r="E464" s="2">
        <v>45812</v>
      </c>
      <c r="F464" s="55">
        <v>673.7</v>
      </c>
      <c r="G464" s="49">
        <v>0</v>
      </c>
      <c r="I464" s="117">
        <v>673.7</v>
      </c>
      <c r="N464" s="30">
        <f>SUM(G464:M464)</f>
        <v>673.7</v>
      </c>
      <c r="Q464" s="2">
        <v>45812</v>
      </c>
      <c r="R464" s="3">
        <v>545</v>
      </c>
      <c r="S464" s="49">
        <v>457</v>
      </c>
      <c r="T464">
        <v>88</v>
      </c>
      <c r="U464">
        <v>0</v>
      </c>
      <c r="V464" s="35">
        <v>0</v>
      </c>
      <c r="AA464" s="49">
        <f>SUM(S464:Z464)</f>
        <v>545</v>
      </c>
      <c r="AC464" s="19">
        <v>45812</v>
      </c>
      <c r="AD464" s="4">
        <f>F464+R464</f>
        <v>1218.7</v>
      </c>
    </row>
    <row r="465" spans="1:73" hidden="true">
      <c r="D465" s="9" t="s">
        <v>16</v>
      </c>
      <c r="E465" s="2">
        <v>45813</v>
      </c>
      <c r="F465" s="55">
        <v>861</v>
      </c>
      <c r="G465" s="49">
        <v>0</v>
      </c>
      <c r="I465" s="117">
        <v>861</v>
      </c>
      <c r="N465" s="30">
        <f>SUM(G465:M465)</f>
        <v>861</v>
      </c>
      <c r="Q465" s="2">
        <v>45813</v>
      </c>
      <c r="R465" s="3">
        <v>986</v>
      </c>
      <c r="S465" s="49">
        <v>0</v>
      </c>
      <c r="T465">
        <v>0</v>
      </c>
      <c r="U465">
        <v>0</v>
      </c>
      <c r="V465">
        <v>986</v>
      </c>
      <c r="AA465" s="49">
        <f>SUM(S465:Z465)</f>
        <v>986</v>
      </c>
      <c r="AC465" s="19">
        <v>45813</v>
      </c>
      <c r="AD465" s="4">
        <f>F465+R465</f>
        <v>1847</v>
      </c>
    </row>
    <row r="466" spans="1:73" hidden="true">
      <c r="D466" s="9" t="s">
        <v>10</v>
      </c>
      <c r="E466" s="2">
        <v>45814</v>
      </c>
      <c r="F466" s="55">
        <v>3626</v>
      </c>
      <c r="N466" s="30">
        <f>SUM(G466:M466)</f>
        <v>0</v>
      </c>
      <c r="Q466" s="2">
        <v>45814</v>
      </c>
      <c r="R466" s="3">
        <v>6626</v>
      </c>
      <c r="AA466" s="49">
        <f>SUM(S466:Z466)</f>
        <v>0</v>
      </c>
      <c r="AC466" s="19">
        <v>45814</v>
      </c>
      <c r="AD466" s="4">
        <f>F466+R466</f>
        <v>10252</v>
      </c>
    </row>
    <row r="467" spans="1:73" hidden="true">
      <c r="D467" s="9" t="s">
        <v>11</v>
      </c>
      <c r="E467" s="2">
        <v>45815</v>
      </c>
      <c r="F467" s="55">
        <v>3627</v>
      </c>
      <c r="N467" s="30">
        <f>SUM(G467:M467)</f>
        <v>0</v>
      </c>
      <c r="Q467" s="2">
        <v>45815</v>
      </c>
      <c r="R467" s="3">
        <v>6627</v>
      </c>
      <c r="AA467" s="49">
        <f>SUM(S467:Z467)</f>
        <v>0</v>
      </c>
      <c r="AC467" s="19">
        <v>45815</v>
      </c>
      <c r="AD467" s="4">
        <f>F467+R467</f>
        <v>10254</v>
      </c>
    </row>
    <row r="468" spans="1:73" hidden="true">
      <c r="D468" s="9" t="s">
        <v>12</v>
      </c>
      <c r="E468" s="2">
        <v>45816</v>
      </c>
      <c r="F468" s="55">
        <v>3628</v>
      </c>
      <c r="N468" s="30">
        <f>SUM(G468:M468)</f>
        <v>0</v>
      </c>
      <c r="Q468" s="2">
        <v>45816</v>
      </c>
      <c r="R468" s="3">
        <v>6628</v>
      </c>
      <c r="AA468" s="49">
        <f>SUM(S468:Z468)</f>
        <v>0</v>
      </c>
      <c r="AC468" s="19">
        <v>45816</v>
      </c>
      <c r="AD468" s="4">
        <f>F468+R468</f>
        <v>10256</v>
      </c>
    </row>
    <row r="469" spans="1:73" hidden="true">
      <c r="D469" s="9" t="s">
        <v>13</v>
      </c>
      <c r="E469" s="2">
        <v>45817</v>
      </c>
      <c r="F469" s="55">
        <v>3629</v>
      </c>
      <c r="N469" s="30">
        <f>SUM(G469:M469)</f>
        <v>0</v>
      </c>
      <c r="Q469" s="2">
        <v>45817</v>
      </c>
      <c r="R469" s="3">
        <v>6629</v>
      </c>
      <c r="AA469" s="49">
        <f>SUM(S469:Z469)</f>
        <v>0</v>
      </c>
      <c r="AC469" s="19">
        <v>45817</v>
      </c>
      <c r="AD469" s="4">
        <f>F469+R469</f>
        <v>10258</v>
      </c>
    </row>
    <row r="470" spans="1:73" hidden="true">
      <c r="D470" s="9" t="s">
        <v>14</v>
      </c>
      <c r="E470" s="2">
        <v>45818</v>
      </c>
      <c r="F470" s="55">
        <v>3630</v>
      </c>
      <c r="N470" s="30">
        <f>SUM(G470:M470)</f>
        <v>0</v>
      </c>
      <c r="Q470" s="2">
        <v>45818</v>
      </c>
      <c r="R470" s="3">
        <v>6630</v>
      </c>
      <c r="AA470" s="49">
        <f>SUM(S470:Z470)</f>
        <v>0</v>
      </c>
      <c r="AC470" s="19">
        <v>45818</v>
      </c>
      <c r="AD470" s="4">
        <f>F470+R470</f>
        <v>10260</v>
      </c>
    </row>
    <row r="471" spans="1:73" hidden="true">
      <c r="D471" s="9" t="s">
        <v>15</v>
      </c>
      <c r="E471" s="2">
        <v>45819</v>
      </c>
      <c r="F471" s="55">
        <v>3631</v>
      </c>
      <c r="N471" s="30">
        <f>SUM(G471:M471)</f>
        <v>0</v>
      </c>
      <c r="Q471" s="2">
        <v>45819</v>
      </c>
      <c r="R471" s="3">
        <v>6631</v>
      </c>
      <c r="AA471" s="49">
        <f>SUM(S471:Z471)</f>
        <v>0</v>
      </c>
      <c r="AC471" s="19">
        <v>45819</v>
      </c>
      <c r="AD471" s="4">
        <f>F471+R471</f>
        <v>10262</v>
      </c>
    </row>
    <row r="472" spans="1:73" hidden="true">
      <c r="D472" s="9" t="s">
        <v>16</v>
      </c>
      <c r="E472" s="2">
        <v>45820</v>
      </c>
      <c r="F472" s="55">
        <v>3632</v>
      </c>
      <c r="N472" s="30">
        <f>SUM(G472:M472)</f>
        <v>0</v>
      </c>
      <c r="Q472" s="2">
        <v>45820</v>
      </c>
      <c r="R472" s="3">
        <v>6632</v>
      </c>
      <c r="AA472" s="49">
        <f>SUM(S472:Z472)</f>
        <v>0</v>
      </c>
      <c r="AC472" s="19">
        <v>45820</v>
      </c>
      <c r="AD472" s="4">
        <f>F472+R472</f>
        <v>10264</v>
      </c>
    </row>
    <row r="473" spans="1:73" hidden="true">
      <c r="D473" s="9" t="s">
        <v>10</v>
      </c>
      <c r="E473" s="2">
        <v>45821</v>
      </c>
      <c r="F473" s="55">
        <v>3633</v>
      </c>
      <c r="N473" s="30">
        <f>SUM(G473:M473)</f>
        <v>0</v>
      </c>
      <c r="Q473" s="2">
        <v>45821</v>
      </c>
      <c r="R473" s="3">
        <v>6633</v>
      </c>
      <c r="AA473" s="49">
        <f>SUM(S473:Z473)</f>
        <v>0</v>
      </c>
      <c r="AC473" s="19">
        <v>45821</v>
      </c>
      <c r="AD473" s="4">
        <f>F473+R473</f>
        <v>10266</v>
      </c>
    </row>
    <row r="474" spans="1:73" hidden="true">
      <c r="D474" s="9" t="s">
        <v>11</v>
      </c>
      <c r="E474" s="2">
        <v>45822</v>
      </c>
      <c r="F474" s="55">
        <v>3634</v>
      </c>
      <c r="N474" s="30">
        <f>SUM(G474:M474)</f>
        <v>0</v>
      </c>
      <c r="Q474" s="2">
        <v>45822</v>
      </c>
      <c r="R474" s="3">
        <v>6634</v>
      </c>
      <c r="AA474" s="49">
        <f>SUM(S474:Z474)</f>
        <v>0</v>
      </c>
      <c r="AC474" s="19">
        <v>45822</v>
      </c>
      <c r="AD474" s="4">
        <f>F474+R474</f>
        <v>10268</v>
      </c>
    </row>
    <row r="475" spans="1:73" hidden="true">
      <c r="D475" s="9" t="s">
        <v>12</v>
      </c>
      <c r="E475" s="2">
        <v>45823</v>
      </c>
      <c r="F475" s="55">
        <v>3635</v>
      </c>
      <c r="G475" s="49">
        <v>0</v>
      </c>
      <c r="I475" s="117">
        <v>629.25</v>
      </c>
      <c r="N475" s="30">
        <f>SUM(G475:M475)</f>
        <v>629.25</v>
      </c>
      <c r="Q475" s="2">
        <v>45823</v>
      </c>
      <c r="R475" s="3">
        <v>6635</v>
      </c>
      <c r="S475" s="49">
        <v>824</v>
      </c>
      <c r="T475" s="35">
        <v>196</v>
      </c>
      <c r="V475" s="35">
        <v>4076</v>
      </c>
      <c r="AA475" s="49">
        <f>SUM(S475:Z475)</f>
        <v>5096</v>
      </c>
      <c r="AC475" s="19">
        <v>45823</v>
      </c>
      <c r="AD475" s="4">
        <f>F475+R475</f>
        <v>10270</v>
      </c>
    </row>
    <row r="476" spans="1:73" hidden="true">
      <c r="D476" s="9" t="s">
        <v>13</v>
      </c>
      <c r="E476" s="2">
        <v>45824</v>
      </c>
      <c r="F476" s="55">
        <v>154.6</v>
      </c>
      <c r="G476" s="49">
        <v>0</v>
      </c>
      <c r="I476" s="117">
        <v>154.6</v>
      </c>
      <c r="N476" s="30">
        <f>SUM(G476:M476)</f>
        <v>154.6</v>
      </c>
      <c r="Q476" s="2">
        <v>45824</v>
      </c>
      <c r="R476" s="3">
        <v>1252</v>
      </c>
      <c r="S476" s="49">
        <v>0</v>
      </c>
      <c r="T476">
        <v>564</v>
      </c>
      <c r="V476">
        <v>688</v>
      </c>
      <c r="AA476" s="49">
        <f>SUM(S476:Z476)</f>
        <v>1252</v>
      </c>
      <c r="AC476" s="19">
        <v>45824</v>
      </c>
      <c r="AD476" s="4">
        <f>F476+R476</f>
        <v>1406.6</v>
      </c>
    </row>
    <row r="477" spans="1:73" hidden="true">
      <c r="D477" s="9" t="s">
        <v>14</v>
      </c>
      <c r="E477" s="2">
        <v>45825</v>
      </c>
      <c r="F477" s="55">
        <v>288.5</v>
      </c>
      <c r="G477" s="49">
        <v>0</v>
      </c>
      <c r="I477" s="117">
        <v>288.5</v>
      </c>
      <c r="N477" s="30">
        <f>SUM(G477:M477)</f>
        <v>288.5</v>
      </c>
      <c r="Q477" s="2">
        <v>45825</v>
      </c>
      <c r="R477" s="3">
        <v>2116</v>
      </c>
      <c r="S477" s="49">
        <v>426</v>
      </c>
      <c r="T477">
        <v>564</v>
      </c>
      <c r="V477" s="35">
        <v>1126</v>
      </c>
      <c r="AA477" s="49">
        <f>SUM(S477:Z477)</f>
        <v>2116</v>
      </c>
      <c r="AC477" s="19">
        <v>45825</v>
      </c>
      <c r="AD477" s="4">
        <f>F477+R477</f>
        <v>2404.5</v>
      </c>
    </row>
    <row r="478" spans="1:73" hidden="true">
      <c r="D478" s="9" t="s">
        <v>15</v>
      </c>
      <c r="E478" s="2">
        <v>45826</v>
      </c>
      <c r="F478" s="55">
        <v>163.85</v>
      </c>
      <c r="G478" s="49">
        <v>0</v>
      </c>
      <c r="I478" s="117">
        <v>163.85</v>
      </c>
      <c r="N478" s="30">
        <f>SUM(G478:M478)</f>
        <v>163.85</v>
      </c>
      <c r="Q478" s="2">
        <v>45826</v>
      </c>
      <c r="R478" s="3">
        <v>2040</v>
      </c>
      <c r="S478" s="49">
        <v>716</v>
      </c>
      <c r="T478">
        <v>0</v>
      </c>
      <c r="V478" s="35">
        <v>1324</v>
      </c>
      <c r="AA478" s="49">
        <f>SUM(S478:Z478)</f>
        <v>2040</v>
      </c>
      <c r="AC478" s="19">
        <v>45826</v>
      </c>
      <c r="AD478" s="4">
        <f>F478+R478</f>
        <v>2203.85</v>
      </c>
    </row>
    <row r="479" spans="1:73" hidden="true">
      <c r="D479" s="9" t="s">
        <v>16</v>
      </c>
      <c r="E479" s="2">
        <v>45827</v>
      </c>
      <c r="F479" s="55">
        <v>353.7</v>
      </c>
      <c r="G479" s="49">
        <v>0</v>
      </c>
      <c r="I479" s="117">
        <v>353.7</v>
      </c>
      <c r="N479" s="30">
        <f>SUM(G479:M479)</f>
        <v>353.7</v>
      </c>
      <c r="Q479" s="2">
        <v>45827</v>
      </c>
      <c r="R479" s="3">
        <v>464</v>
      </c>
      <c r="S479" s="49">
        <v>268</v>
      </c>
      <c r="T479">
        <v>0</v>
      </c>
      <c r="V479">
        <v>196</v>
      </c>
      <c r="AA479" s="49">
        <f>SUM(S479:Z479)</f>
        <v>464</v>
      </c>
      <c r="AC479" s="19">
        <v>45827</v>
      </c>
      <c r="AD479" s="4">
        <f>F479+R479</f>
        <v>817.7</v>
      </c>
    </row>
    <row r="480" spans="1:73" hidden="true">
      <c r="D480" s="9" t="s">
        <v>10</v>
      </c>
      <c r="E480" s="2">
        <v>45828</v>
      </c>
      <c r="F480" s="55">
        <v>210.5</v>
      </c>
      <c r="G480" s="49">
        <v>0</v>
      </c>
      <c r="I480" s="117">
        <v>210.5</v>
      </c>
      <c r="N480" s="30">
        <f>SUM(G480:M480)</f>
        <v>210.5</v>
      </c>
      <c r="Q480" s="2">
        <v>45828</v>
      </c>
      <c r="R480" s="3">
        <v>590</v>
      </c>
      <c r="S480" s="49">
        <v>196</v>
      </c>
      <c r="T480">
        <v>198</v>
      </c>
      <c r="V480">
        <v>196</v>
      </c>
      <c r="AA480" s="49">
        <f>SUM(S480:Z480)</f>
        <v>590</v>
      </c>
      <c r="AC480" s="19">
        <v>45828</v>
      </c>
      <c r="AD480" s="4">
        <f>F480+R480</f>
        <v>800.5</v>
      </c>
    </row>
    <row r="481" spans="1:73" hidden="true">
      <c r="D481" s="9" t="s">
        <v>11</v>
      </c>
      <c r="E481" s="2">
        <v>45829</v>
      </c>
      <c r="F481" s="55">
        <v>661.7</v>
      </c>
      <c r="G481" s="49">
        <v>0</v>
      </c>
      <c r="I481" s="117">
        <v>661.7</v>
      </c>
      <c r="N481" s="30">
        <f>SUM(G481:M481)</f>
        <v>661.7</v>
      </c>
      <c r="Q481" s="2">
        <v>45829</v>
      </c>
      <c r="R481" s="3">
        <v>1152</v>
      </c>
      <c r="S481" s="49">
        <v>198</v>
      </c>
      <c r="T481">
        <v>506</v>
      </c>
      <c r="V481">
        <v>448</v>
      </c>
      <c r="AA481" s="49">
        <f>SUM(S481:Z481)</f>
        <v>1152</v>
      </c>
      <c r="AC481" s="19">
        <v>45829</v>
      </c>
      <c r="AD481" s="4">
        <f>F481+R481</f>
        <v>1813.7</v>
      </c>
    </row>
    <row r="482" spans="1:73" hidden="true">
      <c r="D482" s="9" t="s">
        <v>12</v>
      </c>
      <c r="E482" s="2">
        <v>45830</v>
      </c>
      <c r="F482" s="55">
        <v>678.3</v>
      </c>
      <c r="G482" s="49">
        <v>0</v>
      </c>
      <c r="I482" s="117">
        <v>678.3</v>
      </c>
      <c r="N482" s="30">
        <f>SUM(G482:M482)</f>
        <v>678.3</v>
      </c>
      <c r="Q482" s="2">
        <v>45830</v>
      </c>
      <c r="R482" s="3">
        <v>1746</v>
      </c>
      <c r="S482" s="49">
        <v>496</v>
      </c>
      <c r="T482">
        <v>364</v>
      </c>
      <c r="V482">
        <v>886</v>
      </c>
      <c r="AA482" s="49">
        <f>SUM(S482:Z482)</f>
        <v>1746</v>
      </c>
      <c r="AC482" s="19">
        <v>45830</v>
      </c>
      <c r="AD482" s="4">
        <f>F482+R482</f>
        <v>2424.3</v>
      </c>
    </row>
    <row r="483" spans="1:73" hidden="true">
      <c r="D483" s="9" t="s">
        <v>13</v>
      </c>
      <c r="E483" s="2">
        <v>45831</v>
      </c>
      <c r="F483" s="55">
        <v>230.8</v>
      </c>
      <c r="G483" s="49">
        <v>0</v>
      </c>
      <c r="I483" s="117">
        <v>230.8</v>
      </c>
      <c r="N483" s="30">
        <f>SUM(G483:M483)</f>
        <v>230.8</v>
      </c>
      <c r="Q483" s="2">
        <v>45831</v>
      </c>
      <c r="R483" s="3">
        <v>2352</v>
      </c>
      <c r="S483" s="49">
        <v>0</v>
      </c>
      <c r="T483">
        <v>398</v>
      </c>
      <c r="V483" s="35">
        <v>1954</v>
      </c>
      <c r="AA483" s="49">
        <f>SUM(S483:Z483)</f>
        <v>2352</v>
      </c>
      <c r="AC483" s="19">
        <v>45831</v>
      </c>
      <c r="AD483" s="4">
        <f>F483+R483</f>
        <v>2582.8</v>
      </c>
    </row>
    <row r="484" spans="1:73" hidden="true">
      <c r="D484" s="9" t="s">
        <v>14</v>
      </c>
      <c r="E484" s="2">
        <v>45832</v>
      </c>
      <c r="F484" s="55">
        <v>203.9</v>
      </c>
      <c r="I484" s="117">
        <v>203.9</v>
      </c>
      <c r="N484" s="30">
        <f>SUM(G484:M484)</f>
        <v>203.9</v>
      </c>
      <c r="Q484" s="2">
        <v>45832</v>
      </c>
      <c r="R484" s="3">
        <v>855</v>
      </c>
      <c r="S484" s="49">
        <v>228</v>
      </c>
      <c r="T484">
        <v>0</v>
      </c>
      <c r="V484">
        <v>627</v>
      </c>
      <c r="AA484" s="49">
        <f>SUM(S484:Z484)</f>
        <v>855</v>
      </c>
      <c r="AC484" s="19">
        <v>45832</v>
      </c>
      <c r="AD484" s="4">
        <f>F484+R484</f>
        <v>1058.9</v>
      </c>
    </row>
    <row r="485" spans="1:73" hidden="true">
      <c r="D485" s="9" t="s">
        <v>15</v>
      </c>
      <c r="E485" s="2">
        <v>45833</v>
      </c>
      <c r="F485" s="55">
        <v>394.7</v>
      </c>
      <c r="I485" s="117">
        <v>394.7</v>
      </c>
      <c r="N485" s="30">
        <f>SUM(G485:M485)</f>
        <v>394.7</v>
      </c>
      <c r="Q485" s="2">
        <v>45833</v>
      </c>
      <c r="R485" s="3">
        <v>2680</v>
      </c>
      <c r="S485" s="91">
        <v>1162</v>
      </c>
      <c r="T485">
        <v>0</v>
      </c>
      <c r="V485" s="35">
        <v>1518</v>
      </c>
      <c r="AA485" s="49">
        <f>SUM(S485:Z485)</f>
        <v>2680</v>
      </c>
      <c r="AC485" s="19">
        <v>45833</v>
      </c>
      <c r="AD485" s="4">
        <f>F485+R485</f>
        <v>3074.7</v>
      </c>
    </row>
    <row r="486" spans="1:73" hidden="true">
      <c r="D486" s="9" t="s">
        <v>16</v>
      </c>
      <c r="E486" s="2">
        <v>45834</v>
      </c>
      <c r="F486" s="55">
        <v>386.15</v>
      </c>
      <c r="I486" s="117">
        <v>386.15</v>
      </c>
      <c r="N486" s="30">
        <f>SUM(G486:M486)</f>
        <v>386.15</v>
      </c>
      <c r="Q486" s="2">
        <v>45834</v>
      </c>
      <c r="R486" s="3">
        <v>1252</v>
      </c>
      <c r="S486" s="49">
        <v>664</v>
      </c>
      <c r="T486">
        <v>392</v>
      </c>
      <c r="V486">
        <v>196</v>
      </c>
      <c r="AA486" s="49">
        <f>SUM(S486:Z486)</f>
        <v>1252</v>
      </c>
      <c r="AC486" s="19">
        <v>45834</v>
      </c>
      <c r="AD486" s="4">
        <f>F486+R486</f>
        <v>1638.15</v>
      </c>
    </row>
    <row r="487" spans="1:73" hidden="true">
      <c r="D487" s="9" t="s">
        <v>10</v>
      </c>
      <c r="E487" s="2">
        <v>45835</v>
      </c>
      <c r="F487" s="55">
        <v>128</v>
      </c>
      <c r="I487" s="117">
        <v>128</v>
      </c>
      <c r="N487" s="30">
        <f>SUM(G487:M487)</f>
        <v>128</v>
      </c>
      <c r="Q487" s="2">
        <v>45835</v>
      </c>
      <c r="R487" s="3">
        <v>1398</v>
      </c>
      <c r="S487" s="49">
        <v>416</v>
      </c>
      <c r="T487">
        <v>388</v>
      </c>
      <c r="V487">
        <v>594</v>
      </c>
      <c r="AA487" s="49">
        <f>SUM(S487:Z487)</f>
        <v>1398</v>
      </c>
      <c r="AC487" s="19">
        <v>45835</v>
      </c>
      <c r="AD487" s="4">
        <f>F487+R487</f>
        <v>1526</v>
      </c>
    </row>
    <row r="488" spans="1:73" hidden="true">
      <c r="D488" s="9" t="s">
        <v>11</v>
      </c>
      <c r="E488" s="2">
        <v>45836</v>
      </c>
      <c r="F488" s="55">
        <v>119.7</v>
      </c>
      <c r="I488" s="117">
        <v>119.7</v>
      </c>
      <c r="N488" s="30">
        <f>SUM(G488:M488)</f>
        <v>119.7</v>
      </c>
      <c r="Q488" s="2">
        <v>45836</v>
      </c>
      <c r="R488" s="3">
        <v>2056</v>
      </c>
      <c r="S488" s="49">
        <v>0</v>
      </c>
      <c r="T488">
        <v>392</v>
      </c>
      <c r="V488" s="35">
        <v>1664</v>
      </c>
      <c r="AA488" s="49">
        <f>SUM(S488:Z488)</f>
        <v>2056</v>
      </c>
      <c r="AC488" s="19">
        <v>45836</v>
      </c>
      <c r="AD488" s="4">
        <f>F488+R488</f>
        <v>2175.7</v>
      </c>
    </row>
    <row r="489" spans="1:73" hidden="true">
      <c r="D489" s="9" t="s">
        <v>12</v>
      </c>
      <c r="E489" s="2">
        <v>45837</v>
      </c>
      <c r="F489" s="55">
        <v>295.9</v>
      </c>
      <c r="I489" s="117">
        <v>295.9</v>
      </c>
      <c r="N489" s="30">
        <f>SUM(G489:M489)</f>
        <v>295.9</v>
      </c>
      <c r="Q489" s="2">
        <v>45837</v>
      </c>
      <c r="R489" s="3">
        <v>1102</v>
      </c>
      <c r="S489" s="49">
        <v>0</v>
      </c>
      <c r="T489">
        <v>906</v>
      </c>
      <c r="V489">
        <v>196</v>
      </c>
      <c r="AA489" s="49">
        <f>SUM(S489:Z489)</f>
        <v>1102</v>
      </c>
      <c r="AC489" s="19">
        <v>45837</v>
      </c>
      <c r="AD489" s="4">
        <f>F489+R489</f>
        <v>1397.9</v>
      </c>
    </row>
    <row r="490" spans="1:73" hidden="true">
      <c r="D490" s="9" t="s">
        <v>13</v>
      </c>
      <c r="E490" s="2">
        <v>45838</v>
      </c>
      <c r="F490" s="55">
        <v>169.9</v>
      </c>
      <c r="I490" s="117">
        <v>169.9</v>
      </c>
      <c r="N490" s="30">
        <f>SUM(G490:M490)</f>
        <v>169.9</v>
      </c>
      <c r="Q490" s="2">
        <v>45838</v>
      </c>
      <c r="R490" s="3">
        <v>3402</v>
      </c>
      <c r="S490" s="49">
        <v>0</v>
      </c>
      <c r="T490" s="35">
        <v>1138</v>
      </c>
      <c r="V490" s="35">
        <v>2264</v>
      </c>
      <c r="AA490" s="49">
        <f>SUM(S490:Z490)</f>
        <v>3402</v>
      </c>
      <c r="AC490" s="19">
        <v>45838</v>
      </c>
      <c r="AD490" s="4">
        <f>F490+R490</f>
        <v>3571.9</v>
      </c>
    </row>
    <row r="491" spans="1:73" hidden="true">
      <c r="D491" s="9" t="s">
        <v>14</v>
      </c>
      <c r="E491" s="2">
        <v>45839</v>
      </c>
      <c r="F491" s="55">
        <v>209.15</v>
      </c>
      <c r="I491" s="117">
        <v>209.15</v>
      </c>
      <c r="N491" s="30">
        <f>SUM(G491:M491)</f>
        <v>209.15</v>
      </c>
      <c r="Q491" s="2">
        <v>45839</v>
      </c>
      <c r="R491" s="3">
        <v>844</v>
      </c>
      <c r="S491" s="49">
        <v>646</v>
      </c>
      <c r="T491">
        <v>0</v>
      </c>
      <c r="V491">
        <v>198</v>
      </c>
      <c r="AA491" s="49">
        <f>SUM(S491:Z491)</f>
        <v>844</v>
      </c>
      <c r="AC491" s="19">
        <v>45839</v>
      </c>
      <c r="AD491" s="4">
        <f>F491+R491</f>
        <v>1053.15</v>
      </c>
    </row>
    <row r="492" spans="1:73" hidden="true">
      <c r="D492" s="9" t="s">
        <v>15</v>
      </c>
      <c r="E492" s="2">
        <v>45840</v>
      </c>
      <c r="F492" s="55">
        <v>208.9</v>
      </c>
      <c r="I492" s="117">
        <v>208.9</v>
      </c>
      <c r="N492" s="30">
        <f>SUM(G492:M492)</f>
        <v>208.9</v>
      </c>
      <c r="Q492" s="2">
        <v>45840</v>
      </c>
      <c r="R492" s="3">
        <v>2394</v>
      </c>
      <c r="S492" s="49">
        <v>922</v>
      </c>
      <c r="T492">
        <v>398</v>
      </c>
      <c r="V492" s="35">
        <v>1074</v>
      </c>
      <c r="AA492" s="49">
        <f>SUM(S492:Z492)</f>
        <v>2394</v>
      </c>
      <c r="AC492" s="19">
        <v>45840</v>
      </c>
      <c r="AD492" s="4">
        <f>F492+R492</f>
        <v>2602.9</v>
      </c>
    </row>
    <row r="493" spans="1:73" hidden="true">
      <c r="D493" s="9" t="s">
        <v>16</v>
      </c>
      <c r="E493" s="2">
        <v>45841</v>
      </c>
      <c r="F493" s="55">
        <v>3653</v>
      </c>
      <c r="Q493" s="2">
        <v>45841</v>
      </c>
      <c r="R493" s="3">
        <v>6653</v>
      </c>
      <c r="AA493" s="49">
        <f>SUM(S493:Z493)</f>
        <v>0</v>
      </c>
      <c r="AC493" s="19">
        <v>45841</v>
      </c>
      <c r="AD493" s="4">
        <f>F493+R493</f>
        <v>10306</v>
      </c>
    </row>
    <row r="494" spans="1:73" hidden="true">
      <c r="D494" s="9" t="s">
        <v>10</v>
      </c>
      <c r="E494" s="2">
        <v>45842</v>
      </c>
      <c r="F494" s="55">
        <v>3654</v>
      </c>
      <c r="Q494" s="2">
        <v>45842</v>
      </c>
      <c r="R494" s="3">
        <v>6654</v>
      </c>
      <c r="AA494" s="49">
        <f>SUM(S494:Z494)</f>
        <v>0</v>
      </c>
      <c r="AC494" s="19">
        <v>45842</v>
      </c>
      <c r="AD494" s="4">
        <f>F494+R494</f>
        <v>10308</v>
      </c>
    </row>
    <row r="495" spans="1:73" hidden="true">
      <c r="D495" s="9" t="s">
        <v>11</v>
      </c>
      <c r="E495" s="2">
        <v>45843</v>
      </c>
      <c r="F495" s="55">
        <v>3655</v>
      </c>
      <c r="Q495" s="2">
        <v>45843</v>
      </c>
      <c r="R495" s="3">
        <v>6655</v>
      </c>
      <c r="AA495" s="49">
        <f>SUM(S495:Z495)</f>
        <v>0</v>
      </c>
      <c r="AC495" s="19">
        <v>45843</v>
      </c>
      <c r="AD495" s="4">
        <f>F495+R495</f>
        <v>10310</v>
      </c>
    </row>
    <row r="496" spans="1:73" hidden="true">
      <c r="D496" s="9" t="s">
        <v>12</v>
      </c>
      <c r="E496" s="2">
        <v>45844</v>
      </c>
      <c r="F496" s="55">
        <v>3656</v>
      </c>
      <c r="Q496" s="2">
        <v>45844</v>
      </c>
      <c r="R496" s="3">
        <v>6656</v>
      </c>
      <c r="AC496" s="19">
        <v>45844</v>
      </c>
      <c r="AD496" s="4">
        <f>F496+R496</f>
        <v>10312</v>
      </c>
    </row>
    <row r="497" spans="1:73" hidden="true">
      <c r="D497" s="9" t="s">
        <v>13</v>
      </c>
      <c r="E497" s="2">
        <v>45845</v>
      </c>
      <c r="F497" s="55">
        <v>3657</v>
      </c>
      <c r="Q497" s="2">
        <v>45845</v>
      </c>
      <c r="R497" s="3">
        <v>6657</v>
      </c>
      <c r="AC497" s="19">
        <v>45845</v>
      </c>
      <c r="AD497" s="4">
        <f>F497+R497</f>
        <v>10314</v>
      </c>
    </row>
    <row r="498" spans="1:73" hidden="true">
      <c r="D498" s="9" t="s">
        <v>14</v>
      </c>
      <c r="E498" s="2">
        <v>45846</v>
      </c>
      <c r="F498" s="55">
        <v>3658</v>
      </c>
      <c r="Q498" s="2">
        <v>45846</v>
      </c>
      <c r="R498" s="3">
        <v>6658</v>
      </c>
      <c r="AC498" s="19">
        <v>45846</v>
      </c>
      <c r="AD498" s="4">
        <f>F498+R498</f>
        <v>10316</v>
      </c>
    </row>
    <row r="499" spans="1:73" hidden="true">
      <c r="D499" s="9" t="s">
        <v>15</v>
      </c>
      <c r="E499" s="2">
        <v>45847</v>
      </c>
      <c r="F499" s="55">
        <v>3659</v>
      </c>
      <c r="Q499" s="2">
        <v>45847</v>
      </c>
      <c r="R499" s="3">
        <v>6659</v>
      </c>
      <c r="AC499" s="19">
        <v>45847</v>
      </c>
      <c r="AD499" s="4">
        <f>F499+R499</f>
        <v>10318</v>
      </c>
    </row>
    <row r="500" spans="1:73" hidden="true">
      <c r="D500" s="9" t="s">
        <v>16</v>
      </c>
      <c r="E500" s="2">
        <v>45848</v>
      </c>
      <c r="F500" s="55">
        <v>3660</v>
      </c>
      <c r="Q500" s="2">
        <v>45848</v>
      </c>
      <c r="R500" s="3">
        <v>6660</v>
      </c>
      <c r="AC500" s="19">
        <v>45848</v>
      </c>
      <c r="AD500" s="4">
        <f>F500+R500</f>
        <v>10320</v>
      </c>
    </row>
    <row r="501" spans="1:73" hidden="true">
      <c r="D501" s="9" t="s">
        <v>10</v>
      </c>
      <c r="E501" s="2">
        <v>45849</v>
      </c>
      <c r="F501" s="55">
        <v>3661</v>
      </c>
      <c r="Q501" s="2">
        <v>45849</v>
      </c>
      <c r="R501" s="3">
        <v>6661</v>
      </c>
      <c r="AC501" s="19">
        <v>45849</v>
      </c>
      <c r="AD501" s="4">
        <f>F501+R501</f>
        <v>10322</v>
      </c>
    </row>
    <row r="502" spans="1:73" hidden="true">
      <c r="D502" s="9" t="s">
        <v>11</v>
      </c>
      <c r="E502" s="2">
        <v>45850</v>
      </c>
      <c r="F502" s="55">
        <v>3662</v>
      </c>
      <c r="Q502" s="2">
        <v>45850</v>
      </c>
      <c r="R502" s="3">
        <v>6662</v>
      </c>
      <c r="AC502" s="19">
        <v>45850</v>
      </c>
      <c r="AD502" s="4">
        <f>F502+R502</f>
        <v>10324</v>
      </c>
    </row>
    <row r="503" spans="1:73" hidden="true">
      <c r="D503" s="9" t="s">
        <v>12</v>
      </c>
      <c r="E503" s="2">
        <v>45851</v>
      </c>
      <c r="F503" s="55">
        <v>3663</v>
      </c>
      <c r="Q503" s="2">
        <v>45851</v>
      </c>
      <c r="R503" s="3">
        <v>6663</v>
      </c>
      <c r="AC503" s="19">
        <v>45851</v>
      </c>
      <c r="AD503" s="4">
        <f>F503+R503</f>
        <v>10326</v>
      </c>
    </row>
    <row r="504" spans="1:73" hidden="true">
      <c r="D504" s="9" t="s">
        <v>13</v>
      </c>
      <c r="E504" s="2">
        <v>45852</v>
      </c>
      <c r="F504" s="55">
        <v>3664</v>
      </c>
      <c r="Q504" s="2">
        <v>45852</v>
      </c>
      <c r="R504" s="3">
        <v>6664</v>
      </c>
      <c r="AC504" s="19">
        <v>45852</v>
      </c>
      <c r="AD504" s="4">
        <f>F504+R504</f>
        <v>10328</v>
      </c>
    </row>
    <row r="505" spans="1:73" hidden="true">
      <c r="D505" s="9" t="s">
        <v>14</v>
      </c>
      <c r="E505" s="2">
        <v>45853</v>
      </c>
      <c r="F505" s="55">
        <v>3665</v>
      </c>
      <c r="Q505" s="2">
        <v>45853</v>
      </c>
      <c r="R505" s="3">
        <v>6665</v>
      </c>
      <c r="AC505" s="19">
        <v>45853</v>
      </c>
      <c r="AD505" s="4">
        <f>F505+R505</f>
        <v>10330</v>
      </c>
    </row>
    <row r="506" spans="1:73" hidden="true">
      <c r="D506" s="9" t="s">
        <v>15</v>
      </c>
      <c r="E506" s="2">
        <v>45854</v>
      </c>
      <c r="F506" s="55">
        <v>3666</v>
      </c>
      <c r="Q506" s="2">
        <v>45854</v>
      </c>
      <c r="R506" s="3">
        <v>6666</v>
      </c>
      <c r="AC506" s="19">
        <v>45854</v>
      </c>
      <c r="AD506" s="4">
        <f>F506+R506</f>
        <v>10332</v>
      </c>
    </row>
    <row r="507" spans="1:73" hidden="true">
      <c r="D507" s="9" t="s">
        <v>16</v>
      </c>
      <c r="E507" s="2">
        <v>45855</v>
      </c>
      <c r="F507" s="55">
        <v>3667</v>
      </c>
      <c r="Q507" s="2">
        <v>45855</v>
      </c>
      <c r="R507" s="3">
        <v>6667</v>
      </c>
      <c r="AC507" s="19">
        <v>45855</v>
      </c>
      <c r="AD507" s="4">
        <f>F507+R507</f>
        <v>10334</v>
      </c>
    </row>
    <row r="508" spans="1:73" hidden="true">
      <c r="D508" s="9" t="s">
        <v>10</v>
      </c>
      <c r="E508" s="2">
        <v>45856</v>
      </c>
      <c r="F508" s="55">
        <v>3668</v>
      </c>
      <c r="Q508" s="2">
        <v>45856</v>
      </c>
      <c r="R508" s="3">
        <v>6668</v>
      </c>
      <c r="AC508" s="19">
        <v>45856</v>
      </c>
      <c r="AD508" s="4">
        <f>F508+R508</f>
        <v>10336</v>
      </c>
    </row>
    <row r="509" spans="1:73" hidden="true">
      <c r="D509" s="9" t="s">
        <v>11</v>
      </c>
      <c r="E509" s="2">
        <v>45857</v>
      </c>
      <c r="F509" s="55">
        <v>3669</v>
      </c>
      <c r="Q509" s="2">
        <v>45857</v>
      </c>
      <c r="R509" s="3">
        <v>6669</v>
      </c>
      <c r="AC509" s="19">
        <v>45857</v>
      </c>
      <c r="AD509" s="4">
        <f>F509+R509</f>
        <v>10338</v>
      </c>
    </row>
    <row r="510" spans="1:73" hidden="true">
      <c r="D510" s="9" t="s">
        <v>12</v>
      </c>
      <c r="E510" s="2">
        <v>45858</v>
      </c>
      <c r="F510" s="55">
        <v>3670</v>
      </c>
      <c r="Q510" s="2">
        <v>45858</v>
      </c>
      <c r="R510" s="3">
        <v>6670</v>
      </c>
      <c r="AC510" s="19">
        <v>45858</v>
      </c>
      <c r="AD510" s="4">
        <f>F510+R510</f>
        <v>10340</v>
      </c>
    </row>
    <row r="511" spans="1:73" hidden="true">
      <c r="D511" s="9" t="s">
        <v>13</v>
      </c>
      <c r="E511" s="2">
        <v>45859</v>
      </c>
      <c r="F511" s="55">
        <v>3671</v>
      </c>
      <c r="Q511" s="2">
        <v>45859</v>
      </c>
      <c r="R511" s="3">
        <v>6671</v>
      </c>
      <c r="AC511" s="19">
        <v>45859</v>
      </c>
      <c r="AD511" s="4">
        <f>F511+R511</f>
        <v>10342</v>
      </c>
    </row>
    <row r="512" spans="1:73" hidden="true">
      <c r="D512" s="9" t="s">
        <v>14</v>
      </c>
      <c r="E512" s="2">
        <v>45860</v>
      </c>
      <c r="F512" s="55">
        <v>3672</v>
      </c>
      <c r="Q512" s="2">
        <v>45860</v>
      </c>
      <c r="R512" s="3">
        <v>6672</v>
      </c>
      <c r="AC512" s="19">
        <v>45860</v>
      </c>
      <c r="AD512" s="4">
        <f>F512+R512</f>
        <v>10344</v>
      </c>
    </row>
    <row r="513" spans="1:73" hidden="true">
      <c r="D513" s="9" t="s">
        <v>15</v>
      </c>
      <c r="E513" s="2">
        <v>45861</v>
      </c>
      <c r="F513" s="55">
        <v>3673</v>
      </c>
      <c r="Q513" s="2">
        <v>45861</v>
      </c>
      <c r="R513" s="3">
        <v>6673</v>
      </c>
      <c r="AC513" s="19">
        <v>45861</v>
      </c>
      <c r="AD513" s="4">
        <f>F513+R513</f>
        <v>10346</v>
      </c>
    </row>
    <row r="514" spans="1:73" hidden="true">
      <c r="D514" s="9" t="s">
        <v>16</v>
      </c>
      <c r="E514" s="2">
        <v>45862</v>
      </c>
      <c r="F514" s="55">
        <v>3674</v>
      </c>
      <c r="Q514" s="2">
        <v>45862</v>
      </c>
      <c r="R514" s="3">
        <v>6674</v>
      </c>
      <c r="AC514" s="19">
        <v>45862</v>
      </c>
      <c r="AD514" s="4">
        <f>F514+R514</f>
        <v>10348</v>
      </c>
    </row>
    <row r="515" spans="1:73" hidden="true">
      <c r="D515" s="9" t="s">
        <v>10</v>
      </c>
      <c r="E515" s="2">
        <v>45863</v>
      </c>
      <c r="F515" s="55">
        <v>3675</v>
      </c>
      <c r="Q515" s="2">
        <v>45863</v>
      </c>
      <c r="R515" s="3">
        <v>6675</v>
      </c>
      <c r="AC515" s="19">
        <v>45863</v>
      </c>
      <c r="AD515" s="4">
        <f>F515+R515</f>
        <v>10350</v>
      </c>
    </row>
    <row r="516" spans="1:73" hidden="true">
      <c r="D516" s="9" t="s">
        <v>11</v>
      </c>
      <c r="E516" s="2">
        <v>45864</v>
      </c>
      <c r="F516" s="55">
        <v>3676</v>
      </c>
      <c r="Q516" s="2">
        <v>45864</v>
      </c>
      <c r="R516" s="3">
        <v>6676</v>
      </c>
      <c r="AC516" s="19">
        <v>45864</v>
      </c>
      <c r="AD516" s="4">
        <f>F516+R516</f>
        <v>10352</v>
      </c>
    </row>
    <row r="517" spans="1:73" hidden="true">
      <c r="D517" s="9" t="s">
        <v>12</v>
      </c>
      <c r="E517" s="2">
        <v>45865</v>
      </c>
      <c r="F517" s="55">
        <v>3677</v>
      </c>
      <c r="Q517" s="2">
        <v>45865</v>
      </c>
      <c r="R517" s="3">
        <v>6677</v>
      </c>
      <c r="AC517" s="19">
        <v>45865</v>
      </c>
      <c r="AD517" s="4">
        <f>F517+R517</f>
        <v>10354</v>
      </c>
    </row>
    <row r="518" spans="1:73" hidden="true">
      <c r="D518" s="9" t="s">
        <v>13</v>
      </c>
      <c r="E518" s="2">
        <v>45866</v>
      </c>
      <c r="F518" s="55">
        <v>3678</v>
      </c>
      <c r="Q518" s="2">
        <v>45866</v>
      </c>
      <c r="R518" s="3">
        <v>6678</v>
      </c>
      <c r="AC518" s="19">
        <v>45866</v>
      </c>
      <c r="AD518" s="4">
        <f>F518+R518</f>
        <v>10356</v>
      </c>
    </row>
    <row r="519" spans="1:73" hidden="true">
      <c r="D519" s="9" t="s">
        <v>14</v>
      </c>
      <c r="E519" s="2">
        <v>45867</v>
      </c>
      <c r="F519" s="55">
        <v>3679</v>
      </c>
      <c r="Q519" s="2">
        <v>45867</v>
      </c>
      <c r="R519" s="3">
        <v>6679</v>
      </c>
      <c r="AC519" s="19">
        <v>45867</v>
      </c>
      <c r="AD519" s="4">
        <f>F519+R519</f>
        <v>10358</v>
      </c>
    </row>
    <row r="520" spans="1:73" hidden="true">
      <c r="D520" s="9" t="s">
        <v>15</v>
      </c>
      <c r="E520" s="2">
        <v>45868</v>
      </c>
      <c r="F520" s="55">
        <v>3680</v>
      </c>
      <c r="Q520" s="2">
        <v>45868</v>
      </c>
      <c r="R520" s="3">
        <v>6680</v>
      </c>
      <c r="AC520" s="19">
        <v>45868</v>
      </c>
      <c r="AD520" s="4">
        <f>F520+R520</f>
        <v>10360</v>
      </c>
    </row>
    <row r="521" spans="1:73" hidden="true">
      <c r="D521" s="9" t="s">
        <v>16</v>
      </c>
      <c r="E521" s="2">
        <v>45869</v>
      </c>
      <c r="F521" s="55">
        <v>3681</v>
      </c>
      <c r="Q521" s="2">
        <v>45869</v>
      </c>
      <c r="R521" s="3">
        <v>6681</v>
      </c>
      <c r="AC521" s="19">
        <v>45869</v>
      </c>
      <c r="AD521" s="4">
        <f>F521+R521</f>
        <v>10362</v>
      </c>
    </row>
    <row r="522" spans="1:73" hidden="true">
      <c r="D522" s="9" t="s">
        <v>10</v>
      </c>
      <c r="E522" s="2">
        <v>45870</v>
      </c>
      <c r="F522" s="55">
        <v>3682</v>
      </c>
      <c r="Q522" s="2">
        <v>45870</v>
      </c>
      <c r="R522" s="3">
        <v>6682</v>
      </c>
      <c r="AC522" s="19">
        <v>45870</v>
      </c>
      <c r="AD522" s="4">
        <f>F522+R522</f>
        <v>10364</v>
      </c>
    </row>
    <row r="523" spans="1:73" hidden="true">
      <c r="D523" s="9" t="s">
        <v>11</v>
      </c>
      <c r="E523" s="2">
        <v>45871</v>
      </c>
      <c r="F523" s="55">
        <v>3683</v>
      </c>
      <c r="Q523" s="2">
        <v>45871</v>
      </c>
      <c r="R523" s="3">
        <v>6683</v>
      </c>
      <c r="AC523" s="19">
        <v>45871</v>
      </c>
      <c r="AD523" s="4">
        <f>F523+R523</f>
        <v>10366</v>
      </c>
    </row>
    <row r="524" spans="1:73" hidden="true">
      <c r="D524" s="9" t="s">
        <v>12</v>
      </c>
      <c r="E524" s="2">
        <v>45872</v>
      </c>
      <c r="F524" s="55">
        <v>3684</v>
      </c>
      <c r="Q524" s="2">
        <v>45872</v>
      </c>
      <c r="R524" s="3">
        <v>6684</v>
      </c>
      <c r="AC524" s="19">
        <v>45872</v>
      </c>
      <c r="AD524" s="4">
        <f>F524+R524</f>
        <v>10368</v>
      </c>
    </row>
    <row r="525" spans="1:73" hidden="true">
      <c r="D525" s="9" t="s">
        <v>13</v>
      </c>
      <c r="E525" s="2">
        <v>45873</v>
      </c>
      <c r="F525" s="55">
        <v>3685</v>
      </c>
      <c r="Q525" s="2">
        <v>45873</v>
      </c>
      <c r="R525" s="3">
        <v>6685</v>
      </c>
      <c r="AC525" s="19">
        <v>45873</v>
      </c>
      <c r="AD525" s="4">
        <f>F525+R525</f>
        <v>10370</v>
      </c>
    </row>
    <row r="526" spans="1:73" hidden="true">
      <c r="D526" s="9" t="s">
        <v>14</v>
      </c>
      <c r="E526" s="2">
        <v>45874</v>
      </c>
      <c r="F526" s="55">
        <v>3686</v>
      </c>
      <c r="Q526" s="2">
        <v>45874</v>
      </c>
      <c r="R526" s="3">
        <v>6686</v>
      </c>
      <c r="AC526" s="19">
        <v>45874</v>
      </c>
      <c r="AD526" s="4">
        <f>F526+R526</f>
        <v>10372</v>
      </c>
    </row>
    <row r="527" spans="1:73" hidden="true">
      <c r="D527" s="9" t="s">
        <v>15</v>
      </c>
      <c r="E527" s="2">
        <v>45875</v>
      </c>
      <c r="F527" s="55">
        <v>3687</v>
      </c>
      <c r="Q527" s="2">
        <v>45875</v>
      </c>
      <c r="R527" s="3">
        <v>6687</v>
      </c>
      <c r="AC527" s="19">
        <v>45875</v>
      </c>
      <c r="AD527" s="4">
        <f>F527+R527</f>
        <v>10374</v>
      </c>
    </row>
    <row r="528" spans="1:73" hidden="true">
      <c r="D528" s="9" t="s">
        <v>16</v>
      </c>
      <c r="E528" s="2">
        <v>45876</v>
      </c>
      <c r="F528" s="55">
        <v>3688</v>
      </c>
      <c r="Q528" s="2">
        <v>45876</v>
      </c>
      <c r="R528" s="3">
        <v>6688</v>
      </c>
      <c r="AC528" s="19">
        <v>45876</v>
      </c>
      <c r="AD528" s="4">
        <f>F528+R528</f>
        <v>10376</v>
      </c>
    </row>
    <row r="529" spans="1:73" hidden="true">
      <c r="D529" s="9" t="s">
        <v>10</v>
      </c>
      <c r="E529" s="2">
        <v>45877</v>
      </c>
      <c r="F529" s="55">
        <v>3689</v>
      </c>
      <c r="Q529" s="2">
        <v>45877</v>
      </c>
      <c r="R529" s="3">
        <v>6689</v>
      </c>
      <c r="AC529" s="19">
        <v>45877</v>
      </c>
      <c r="AD529" s="4">
        <f>F529+R529</f>
        <v>10378</v>
      </c>
    </row>
    <row r="530" spans="1:73" hidden="true">
      <c r="D530" s="9" t="s">
        <v>11</v>
      </c>
      <c r="E530" s="2">
        <v>45878</v>
      </c>
      <c r="F530" s="55">
        <v>3690</v>
      </c>
      <c r="Q530" s="2">
        <v>45878</v>
      </c>
      <c r="R530" s="3">
        <v>6690</v>
      </c>
      <c r="AC530" s="19">
        <v>45878</v>
      </c>
      <c r="AD530" s="4">
        <f>F530+R530</f>
        <v>10380</v>
      </c>
    </row>
    <row r="531" spans="1:73" hidden="true">
      <c r="D531" s="9" t="s">
        <v>12</v>
      </c>
      <c r="E531" s="2">
        <v>45879</v>
      </c>
      <c r="F531" s="55">
        <v>3691</v>
      </c>
      <c r="Q531" s="2">
        <v>45879</v>
      </c>
      <c r="R531" s="3">
        <v>6691</v>
      </c>
      <c r="AC531" s="19">
        <v>45879</v>
      </c>
      <c r="AD531" s="4">
        <f>F531+R531</f>
        <v>10382</v>
      </c>
    </row>
    <row r="532" spans="1:73" hidden="true">
      <c r="D532" s="9" t="s">
        <v>13</v>
      </c>
      <c r="E532" s="2">
        <v>45880</v>
      </c>
      <c r="F532" s="55">
        <v>3692</v>
      </c>
      <c r="Q532" s="2">
        <v>45880</v>
      </c>
      <c r="R532" s="3">
        <v>6692</v>
      </c>
      <c r="AC532" s="19">
        <v>45880</v>
      </c>
      <c r="AD532" s="4">
        <f>F532+R532</f>
        <v>10384</v>
      </c>
    </row>
    <row r="533" spans="1:73" hidden="true">
      <c r="D533" s="9" t="s">
        <v>14</v>
      </c>
      <c r="E533" s="2">
        <v>45881</v>
      </c>
      <c r="F533" s="55">
        <v>3693</v>
      </c>
      <c r="Q533" s="2">
        <v>45881</v>
      </c>
      <c r="R533" s="3">
        <v>6693</v>
      </c>
      <c r="AC533" s="19">
        <v>45881</v>
      </c>
      <c r="AD533" s="4">
        <f>F533+R533</f>
        <v>10386</v>
      </c>
    </row>
    <row r="534" spans="1:73" hidden="true">
      <c r="D534" s="9" t="s">
        <v>15</v>
      </c>
      <c r="E534" s="2">
        <v>45882</v>
      </c>
      <c r="F534" s="55">
        <v>3694</v>
      </c>
      <c r="Q534" s="2">
        <v>45882</v>
      </c>
      <c r="R534" s="3">
        <v>6694</v>
      </c>
      <c r="AC534" s="19">
        <v>45882</v>
      </c>
      <c r="AD534" s="4">
        <f>F534+R534</f>
        <v>10388</v>
      </c>
    </row>
    <row r="535" spans="1:73" hidden="true">
      <c r="D535" s="9" t="s">
        <v>16</v>
      </c>
      <c r="E535" s="2">
        <v>45883</v>
      </c>
      <c r="F535" s="55">
        <v>3695</v>
      </c>
      <c r="Q535" s="2">
        <v>45883</v>
      </c>
      <c r="R535" s="3">
        <v>6695</v>
      </c>
      <c r="AC535" s="19">
        <v>45883</v>
      </c>
      <c r="AD535" s="4">
        <f>F535+R535</f>
        <v>10390</v>
      </c>
    </row>
    <row r="536" spans="1:73" hidden="true">
      <c r="D536" s="9" t="s">
        <v>10</v>
      </c>
      <c r="E536" s="2">
        <v>45884</v>
      </c>
      <c r="F536" s="55">
        <v>3696</v>
      </c>
      <c r="Q536" s="2">
        <v>45884</v>
      </c>
      <c r="R536" s="3">
        <v>6696</v>
      </c>
      <c r="AC536" s="19">
        <v>45884</v>
      </c>
      <c r="AD536" s="4">
        <f>F536+R536</f>
        <v>10392</v>
      </c>
    </row>
    <row r="537" spans="1:73" hidden="true">
      <c r="D537" s="9" t="s">
        <v>11</v>
      </c>
      <c r="E537" s="2">
        <v>45885</v>
      </c>
      <c r="F537" s="55">
        <v>3697</v>
      </c>
      <c r="Q537" s="2">
        <v>45885</v>
      </c>
      <c r="R537" s="3">
        <v>6697</v>
      </c>
      <c r="AC537" s="19">
        <v>45885</v>
      </c>
      <c r="AD537" s="4">
        <f>F537+R537</f>
        <v>10394</v>
      </c>
    </row>
    <row r="538" spans="1:73" hidden="true">
      <c r="D538" s="9" t="s">
        <v>12</v>
      </c>
      <c r="E538" s="2">
        <v>45886</v>
      </c>
      <c r="F538" s="55">
        <v>3698</v>
      </c>
      <c r="Q538" s="2">
        <v>45886</v>
      </c>
      <c r="R538" s="3">
        <v>6698</v>
      </c>
      <c r="AC538" s="19">
        <v>45886</v>
      </c>
      <c r="AD538" s="4">
        <f>F538+R538</f>
        <v>10396</v>
      </c>
    </row>
    <row r="539" spans="1:73" hidden="true">
      <c r="D539" s="9" t="s">
        <v>13</v>
      </c>
      <c r="E539" s="2">
        <v>45887</v>
      </c>
      <c r="F539" s="55">
        <v>3699</v>
      </c>
      <c r="Q539" s="2">
        <v>45887</v>
      </c>
      <c r="R539" s="3">
        <v>6699</v>
      </c>
      <c r="AC539" s="19">
        <v>45887</v>
      </c>
      <c r="AD539" s="4">
        <f>F539+R539</f>
        <v>10398</v>
      </c>
    </row>
    <row r="540" spans="1:73" hidden="true">
      <c r="D540" s="9" t="s">
        <v>14</v>
      </c>
      <c r="E540" s="2">
        <v>45888</v>
      </c>
      <c r="F540" s="55">
        <v>3700</v>
      </c>
      <c r="Q540" s="2">
        <v>45888</v>
      </c>
      <c r="R540" s="3">
        <v>6700</v>
      </c>
      <c r="AC540" s="19">
        <v>45888</v>
      </c>
      <c r="AD540" s="4">
        <f>F540+R540</f>
        <v>10400</v>
      </c>
    </row>
    <row r="541" spans="1:73" hidden="true">
      <c r="D541" s="9" t="s">
        <v>15</v>
      </c>
      <c r="E541" s="2">
        <v>45889</v>
      </c>
      <c r="F541" s="55">
        <v>3701</v>
      </c>
      <c r="Q541" s="2">
        <v>45889</v>
      </c>
      <c r="R541" s="3">
        <v>6701</v>
      </c>
      <c r="AC541" s="19">
        <v>45889</v>
      </c>
      <c r="AD541" s="4">
        <f>F541+R541</f>
        <v>10402</v>
      </c>
    </row>
    <row r="542" spans="1:73" hidden="true">
      <c r="D542" s="9" t="s">
        <v>16</v>
      </c>
      <c r="E542" s="2">
        <v>45890</v>
      </c>
      <c r="F542" s="55">
        <v>3702</v>
      </c>
      <c r="Q542" s="2">
        <v>45890</v>
      </c>
      <c r="R542" s="3">
        <v>6702</v>
      </c>
      <c r="AC542" s="19">
        <v>45890</v>
      </c>
      <c r="AD542" s="4">
        <f>F542+R542</f>
        <v>10404</v>
      </c>
    </row>
    <row r="543" spans="1:73" hidden="true">
      <c r="D543" s="9" t="s">
        <v>10</v>
      </c>
      <c r="E543" s="2">
        <v>45891</v>
      </c>
      <c r="F543" s="55">
        <v>3703</v>
      </c>
      <c r="Q543" s="2">
        <v>45891</v>
      </c>
      <c r="R543" s="3">
        <v>6703</v>
      </c>
      <c r="AC543" s="19">
        <v>45891</v>
      </c>
      <c r="AD543" s="4">
        <f>F543+R543</f>
        <v>10406</v>
      </c>
    </row>
    <row r="544" spans="1:73" hidden="true">
      <c r="D544" s="9" t="s">
        <v>11</v>
      </c>
      <c r="E544" s="2">
        <v>45892</v>
      </c>
      <c r="F544" s="55">
        <v>3704</v>
      </c>
      <c r="Q544" s="2">
        <v>45892</v>
      </c>
      <c r="R544" s="3">
        <v>6704</v>
      </c>
      <c r="AC544" s="19">
        <v>45892</v>
      </c>
      <c r="AD544" s="4">
        <f>F544+R544</f>
        <v>10408</v>
      </c>
    </row>
    <row r="545" spans="1:73" hidden="true">
      <c r="D545" s="9" t="s">
        <v>12</v>
      </c>
      <c r="E545" s="2">
        <v>45893</v>
      </c>
      <c r="F545" s="55">
        <v>3705</v>
      </c>
      <c r="Q545" s="2">
        <v>45893</v>
      </c>
      <c r="R545" s="3">
        <v>6705</v>
      </c>
      <c r="AC545" s="19">
        <v>45893</v>
      </c>
      <c r="AD545" s="4">
        <f>F545+R545</f>
        <v>10410</v>
      </c>
    </row>
    <row r="546" spans="1:73" hidden="true">
      <c r="D546" s="9" t="s">
        <v>13</v>
      </c>
      <c r="E546" s="2">
        <v>45894</v>
      </c>
      <c r="F546" s="55">
        <v>3706</v>
      </c>
      <c r="Q546" s="2">
        <v>45894</v>
      </c>
      <c r="R546" s="3">
        <v>6706</v>
      </c>
      <c r="AC546" s="19">
        <v>45894</v>
      </c>
      <c r="AD546" s="4">
        <f>F546+R546</f>
        <v>10412</v>
      </c>
    </row>
    <row r="547" spans="1:73" hidden="true">
      <c r="D547" s="9" t="s">
        <v>14</v>
      </c>
      <c r="E547" s="2">
        <v>45895</v>
      </c>
      <c r="F547" s="55">
        <v>3707</v>
      </c>
      <c r="Q547" s="2">
        <v>45895</v>
      </c>
      <c r="R547" s="3">
        <v>6707</v>
      </c>
      <c r="AC547" s="19">
        <v>45895</v>
      </c>
      <c r="AD547" s="4">
        <f>F547+R547</f>
        <v>10414</v>
      </c>
    </row>
    <row r="548" spans="1:73" hidden="true">
      <c r="D548" s="9" t="s">
        <v>15</v>
      </c>
      <c r="E548" s="2">
        <v>45896</v>
      </c>
      <c r="F548" s="55">
        <v>3708</v>
      </c>
      <c r="Q548" s="2">
        <v>45896</v>
      </c>
      <c r="R548" s="3">
        <v>6708</v>
      </c>
      <c r="AC548" s="19">
        <v>45896</v>
      </c>
      <c r="AD548" s="4">
        <f>F548+R548</f>
        <v>10416</v>
      </c>
    </row>
    <row r="549" spans="1:73" hidden="true">
      <c r="D549" s="9" t="s">
        <v>16</v>
      </c>
      <c r="E549" s="2">
        <v>45897</v>
      </c>
      <c r="F549" s="55">
        <v>3709</v>
      </c>
      <c r="Q549" s="2">
        <v>45897</v>
      </c>
      <c r="R549" s="3">
        <v>6709</v>
      </c>
      <c r="AC549" s="19">
        <v>45897</v>
      </c>
      <c r="AD549" s="4">
        <f>F549+R549</f>
        <v>10418</v>
      </c>
    </row>
    <row r="550" spans="1:73" hidden="true">
      <c r="D550" s="9" t="s">
        <v>10</v>
      </c>
      <c r="E550" s="2">
        <v>45898</v>
      </c>
      <c r="F550" s="55">
        <v>3710</v>
      </c>
      <c r="Q550" s="2">
        <v>45898</v>
      </c>
      <c r="R550" s="3">
        <v>6710</v>
      </c>
      <c r="AC550" s="19">
        <v>45898</v>
      </c>
      <c r="AD550" s="4">
        <f>F550+R550</f>
        <v>10420</v>
      </c>
    </row>
    <row r="551" spans="1:73" hidden="true">
      <c r="D551" s="9" t="s">
        <v>11</v>
      </c>
      <c r="E551" s="2">
        <v>45899</v>
      </c>
      <c r="F551" s="55">
        <v>3711</v>
      </c>
      <c r="Q551" s="2">
        <v>45899</v>
      </c>
      <c r="R551" s="3">
        <v>6711</v>
      </c>
      <c r="AC551" s="19">
        <v>45899</v>
      </c>
      <c r="AD551" s="4">
        <f>F551+R551</f>
        <v>10422</v>
      </c>
    </row>
    <row r="552" spans="1:73" hidden="true">
      <c r="D552" s="9" t="s">
        <v>12</v>
      </c>
      <c r="E552" s="2">
        <v>45900</v>
      </c>
      <c r="F552" s="55">
        <v>3712</v>
      </c>
      <c r="Q552" s="2">
        <v>45900</v>
      </c>
      <c r="R552" s="3">
        <v>6712</v>
      </c>
      <c r="AC552" s="19">
        <v>45900</v>
      </c>
      <c r="AD552" s="4">
        <f>F552+R552</f>
        <v>10424</v>
      </c>
    </row>
    <row r="553" spans="1:73">
      <c r="D553" s="9" t="s">
        <v>13</v>
      </c>
      <c r="E553" s="2">
        <v>45901</v>
      </c>
      <c r="F553" s="55">
        <v>3713</v>
      </c>
      <c r="Q553" s="2">
        <v>45901</v>
      </c>
      <c r="R553" s="3">
        <v>6713</v>
      </c>
      <c r="S553" s="4"/>
      <c r="AC553" s="19">
        <v>45901</v>
      </c>
      <c r="AD553" s="4">
        <f>F553+R553</f>
        <v>10426</v>
      </c>
    </row>
    <row r="554" spans="1:73">
      <c r="D554" s="9" t="s">
        <v>14</v>
      </c>
      <c r="E554" s="2">
        <v>45902</v>
      </c>
      <c r="F554" s="55">
        <v>3714</v>
      </c>
      <c r="Q554" s="2">
        <v>45902</v>
      </c>
      <c r="R554" s="3">
        <v>6714</v>
      </c>
      <c r="S554" s="4"/>
      <c r="AC554" s="19">
        <v>45902</v>
      </c>
      <c r="AD554" s="4">
        <f>F554+R554</f>
        <v>10428</v>
      </c>
    </row>
    <row r="555" spans="1:73">
      <c r="D555" s="9" t="s">
        <v>15</v>
      </c>
      <c r="E555" s="2">
        <v>45903</v>
      </c>
      <c r="F555" s="55">
        <v>3715</v>
      </c>
      <c r="Q555" s="2">
        <v>45903</v>
      </c>
      <c r="R555" s="3">
        <v>6715</v>
      </c>
      <c r="S555" s="4"/>
      <c r="AC555" s="19">
        <v>45903</v>
      </c>
      <c r="AD555" s="4">
        <f>F555+R555</f>
        <v>10430</v>
      </c>
    </row>
    <row r="556" spans="1:73">
      <c r="D556" s="9" t="s">
        <v>16</v>
      </c>
      <c r="E556" s="2">
        <v>45904</v>
      </c>
      <c r="F556" s="55">
        <v>3716</v>
      </c>
      <c r="Q556" s="2">
        <v>45904</v>
      </c>
      <c r="R556" s="3">
        <v>6716</v>
      </c>
      <c r="S556" s="4"/>
      <c r="AC556" s="19">
        <v>45904</v>
      </c>
      <c r="AD556" s="4">
        <f>F556+R556</f>
        <v>10432</v>
      </c>
    </row>
    <row r="557" spans="1:73">
      <c r="D557" s="9" t="s">
        <v>10</v>
      </c>
      <c r="E557" s="2">
        <v>45905</v>
      </c>
      <c r="F557" s="55">
        <v>3717</v>
      </c>
      <c r="Q557" s="2">
        <v>45905</v>
      </c>
      <c r="R557" s="3">
        <v>6717</v>
      </c>
      <c r="S557" s="4"/>
      <c r="AC557" s="19">
        <v>45905</v>
      </c>
      <c r="AD557" s="4">
        <f>F557+R557</f>
        <v>10434</v>
      </c>
    </row>
    <row r="558" spans="1:73">
      <c r="D558" s="9" t="s">
        <v>11</v>
      </c>
      <c r="E558" s="2">
        <v>45906</v>
      </c>
      <c r="F558" s="55">
        <v>3718</v>
      </c>
      <c r="Q558" s="2">
        <v>45906</v>
      </c>
      <c r="R558" s="3">
        <v>6718</v>
      </c>
      <c r="S558" s="4"/>
      <c r="AC558" s="19">
        <v>45906</v>
      </c>
      <c r="AD558" s="4">
        <f>F558+R558</f>
        <v>10436</v>
      </c>
    </row>
    <row r="559" spans="1:73">
      <c r="D559" s="9" t="s">
        <v>12</v>
      </c>
      <c r="E559" s="2">
        <v>45907</v>
      </c>
      <c r="F559" s="55">
        <v>3719</v>
      </c>
      <c r="Q559" s="2">
        <v>45907</v>
      </c>
      <c r="R559" s="3">
        <v>6719</v>
      </c>
      <c r="S559" s="4"/>
      <c r="AC559" s="19">
        <v>45907</v>
      </c>
      <c r="AD559" s="4">
        <f>F559+R559</f>
        <v>10438</v>
      </c>
    </row>
    <row r="560" spans="1:73">
      <c r="D560" s="9" t="s">
        <v>13</v>
      </c>
      <c r="E560" s="2">
        <v>45908</v>
      </c>
      <c r="F560" s="55">
        <v>3720</v>
      </c>
      <c r="Q560" s="2">
        <v>45908</v>
      </c>
      <c r="R560" s="3">
        <v>6720</v>
      </c>
      <c r="S560" s="4"/>
      <c r="AC560" s="19">
        <v>45908</v>
      </c>
      <c r="AD560" s="4">
        <f>F560+R560</f>
        <v>10440</v>
      </c>
    </row>
    <row r="561" spans="1:73">
      <c r="D561" s="9" t="s">
        <v>14</v>
      </c>
      <c r="E561" s="2">
        <v>45909</v>
      </c>
      <c r="F561" s="55">
        <v>3721</v>
      </c>
      <c r="Q561" s="2">
        <v>45909</v>
      </c>
      <c r="R561" s="3">
        <v>6721</v>
      </c>
      <c r="S561" s="4"/>
      <c r="AC561" s="19">
        <v>45909</v>
      </c>
      <c r="AD561" s="4">
        <f>F561+R561</f>
        <v>10442</v>
      </c>
    </row>
    <row r="562" spans="1:73">
      <c r="D562" s="9" t="s">
        <v>15</v>
      </c>
      <c r="E562" s="2">
        <v>45910</v>
      </c>
      <c r="F562" s="55">
        <v>3722</v>
      </c>
      <c r="Q562" s="2">
        <v>45910</v>
      </c>
      <c r="R562" s="3">
        <v>6722</v>
      </c>
      <c r="S562" s="4"/>
      <c r="AC562" s="19">
        <v>45910</v>
      </c>
      <c r="AD562" s="4">
        <f>F562+R562</f>
        <v>10444</v>
      </c>
    </row>
    <row r="563" spans="1:73">
      <c r="D563" s="9" t="s">
        <v>16</v>
      </c>
      <c r="E563" s="2">
        <v>45911</v>
      </c>
      <c r="F563" s="55">
        <v>3723</v>
      </c>
      <c r="Q563" s="2">
        <v>45911</v>
      </c>
      <c r="R563" s="3">
        <v>6723</v>
      </c>
      <c r="S563" s="4"/>
      <c r="AC563" s="19">
        <v>45911</v>
      </c>
      <c r="AD563" s="4">
        <f>F563+R563</f>
        <v>10446</v>
      </c>
    </row>
    <row r="564" spans="1:73">
      <c r="D564" s="9" t="s">
        <v>10</v>
      </c>
      <c r="E564" s="2">
        <v>45912</v>
      </c>
      <c r="F564" s="55">
        <v>3724</v>
      </c>
      <c r="Q564" s="2">
        <v>45912</v>
      </c>
      <c r="R564" s="3">
        <v>6724</v>
      </c>
      <c r="S564" s="4"/>
      <c r="AC564" s="19">
        <v>45912</v>
      </c>
      <c r="AD564" s="4">
        <f>F564+R564</f>
        <v>10448</v>
      </c>
    </row>
    <row r="565" spans="1:73">
      <c r="D565" s="9" t="s">
        <v>11</v>
      </c>
      <c r="E565" s="2">
        <v>45913</v>
      </c>
      <c r="F565" s="55">
        <v>3725</v>
      </c>
      <c r="Q565" s="2">
        <v>45913</v>
      </c>
      <c r="R565" s="3">
        <v>6725</v>
      </c>
      <c r="S565" s="4"/>
      <c r="AC565" s="19">
        <v>45913</v>
      </c>
      <c r="AD565" s="4">
        <f>F565+R565</f>
        <v>10450</v>
      </c>
    </row>
    <row r="566" spans="1:73">
      <c r="D566" s="9" t="s">
        <v>12</v>
      </c>
      <c r="E566" s="2">
        <v>45914</v>
      </c>
      <c r="F566" s="55">
        <v>3726</v>
      </c>
      <c r="I566" s="117">
        <v>3000</v>
      </c>
      <c r="Q566" s="2">
        <v>45914</v>
      </c>
      <c r="R566" s="3">
        <v>6726</v>
      </c>
      <c r="S566" s="4">
        <v>2000</v>
      </c>
      <c r="AC566" s="19">
        <v>45914</v>
      </c>
      <c r="AD566" s="4">
        <f>F566+R566</f>
        <v>10452</v>
      </c>
    </row>
    <row r="567" spans="1:73">
      <c r="D567" s="9" t="s">
        <v>13</v>
      </c>
      <c r="E567" s="2">
        <v>45915</v>
      </c>
      <c r="F567" s="55">
        <v>3727</v>
      </c>
      <c r="I567" s="117">
        <v>20000</v>
      </c>
      <c r="Q567" s="2">
        <v>45915</v>
      </c>
      <c r="R567" s="3">
        <v>6727</v>
      </c>
      <c r="S567" s="4">
        <v>1000</v>
      </c>
      <c r="AC567" s="19">
        <v>45915</v>
      </c>
      <c r="AD567" s="4">
        <f>F567+R567</f>
        <v>10454</v>
      </c>
    </row>
    <row r="568" spans="1:73">
      <c r="D568" s="9" t="s">
        <v>14</v>
      </c>
      <c r="E568" s="2">
        <v>45916</v>
      </c>
      <c r="F568" s="55">
        <v>3728</v>
      </c>
      <c r="Q568" s="2">
        <v>45916</v>
      </c>
      <c r="R568" s="3">
        <v>6728</v>
      </c>
      <c r="S568" s="4">
        <v>500</v>
      </c>
      <c r="AC568" s="19">
        <v>45916</v>
      </c>
      <c r="AD568" s="4">
        <f>F568+R568</f>
        <v>10456</v>
      </c>
    </row>
    <row r="569" spans="1:73">
      <c r="D569" s="9" t="s">
        <v>15</v>
      </c>
      <c r="E569" s="2">
        <v>45917</v>
      </c>
      <c r="F569" s="55">
        <v>3729</v>
      </c>
      <c r="Q569" s="2">
        <v>45917</v>
      </c>
      <c r="R569" s="3">
        <v>6729</v>
      </c>
      <c r="S569" s="4"/>
      <c r="AC569" s="19">
        <v>45917</v>
      </c>
      <c r="AD569" s="4">
        <f>F569+R569</f>
        <v>10458</v>
      </c>
    </row>
    <row r="570" spans="1:73">
      <c r="D570" s="9" t="s">
        <v>16</v>
      </c>
      <c r="E570" s="2">
        <v>45918</v>
      </c>
      <c r="F570" s="55">
        <v>3730</v>
      </c>
      <c r="Q570" s="2">
        <v>45918</v>
      </c>
      <c r="R570" s="3">
        <v>6730</v>
      </c>
      <c r="S570" s="4"/>
      <c r="AC570" s="19">
        <v>45918</v>
      </c>
      <c r="AD570" s="4">
        <f>F570+R570</f>
        <v>10460</v>
      </c>
    </row>
    <row r="571" spans="1:73">
      <c r="D571" s="9" t="s">
        <v>10</v>
      </c>
      <c r="E571" s="2">
        <v>45919</v>
      </c>
      <c r="F571" s="55">
        <v>3731</v>
      </c>
      <c r="Q571" s="2">
        <v>45919</v>
      </c>
      <c r="R571" s="3">
        <v>6731</v>
      </c>
      <c r="S571" s="4"/>
      <c r="AC571" s="19">
        <v>45919</v>
      </c>
      <c r="AD571" s="4">
        <f>F571+R571</f>
        <v>10462</v>
      </c>
    </row>
    <row r="572" spans="1:73">
      <c r="D572" s="9" t="s">
        <v>11</v>
      </c>
      <c r="E572" s="2">
        <v>45920</v>
      </c>
      <c r="F572" s="55">
        <v>3732</v>
      </c>
      <c r="Q572" s="2">
        <v>45920</v>
      </c>
      <c r="R572" s="3">
        <v>6732</v>
      </c>
      <c r="S572" s="4"/>
      <c r="AC572" s="19">
        <v>45920</v>
      </c>
      <c r="AD572" s="4">
        <f>F572+R572</f>
        <v>10464</v>
      </c>
    </row>
    <row r="573" spans="1:73">
      <c r="D573" s="9" t="s">
        <v>12</v>
      </c>
      <c r="E573" s="2">
        <v>45921</v>
      </c>
      <c r="F573" s="55">
        <v>3733</v>
      </c>
      <c r="Q573" s="2">
        <v>45921</v>
      </c>
      <c r="R573" s="3">
        <v>6733</v>
      </c>
      <c r="S573" s="4"/>
      <c r="AC573" s="19">
        <v>45921</v>
      </c>
      <c r="AD573" s="4">
        <f>F573+R573</f>
        <v>10466</v>
      </c>
    </row>
    <row r="574" spans="1:73">
      <c r="D574" s="9" t="s">
        <v>13</v>
      </c>
      <c r="E574" s="2">
        <v>45922</v>
      </c>
      <c r="F574" s="55">
        <v>3734</v>
      </c>
      <c r="Q574" s="2">
        <v>45922</v>
      </c>
      <c r="R574" s="3">
        <v>6734</v>
      </c>
      <c r="S574" s="4"/>
      <c r="AC574" s="19">
        <v>45922</v>
      </c>
      <c r="AD574" s="4">
        <f>F574+R574</f>
        <v>10468</v>
      </c>
    </row>
    <row r="575" spans="1:73">
      <c r="D575" s="9" t="s">
        <v>14</v>
      </c>
      <c r="E575" s="2">
        <v>45923</v>
      </c>
      <c r="F575" s="55">
        <v>3735</v>
      </c>
      <c r="Q575" s="2">
        <v>45923</v>
      </c>
      <c r="R575" s="3">
        <v>6735</v>
      </c>
      <c r="S575" s="4"/>
      <c r="AC575" s="19">
        <v>45923</v>
      </c>
      <c r="AD575" s="4">
        <f>F575+R575</f>
        <v>10470</v>
      </c>
    </row>
    <row r="576" spans="1:73">
      <c r="D576" s="9" t="s">
        <v>15</v>
      </c>
      <c r="E576" s="2">
        <v>45924</v>
      </c>
      <c r="F576" s="55">
        <v>3736</v>
      </c>
      <c r="Q576" s="2">
        <v>45924</v>
      </c>
      <c r="R576" s="3">
        <v>6736</v>
      </c>
      <c r="S576" s="4"/>
      <c r="AC576" s="19">
        <v>45924</v>
      </c>
      <c r="AD576" s="4">
        <f>F576+R576</f>
        <v>10472</v>
      </c>
    </row>
    <row r="577" spans="1:73">
      <c r="D577" s="9" t="s">
        <v>16</v>
      </c>
      <c r="E577" s="2">
        <v>45925</v>
      </c>
      <c r="F577" s="55">
        <v>3737</v>
      </c>
      <c r="Q577" s="2">
        <v>45925</v>
      </c>
      <c r="R577" s="3">
        <v>6737</v>
      </c>
      <c r="S577" s="4"/>
      <c r="AC577" s="19">
        <v>45925</v>
      </c>
      <c r="AD577" s="4">
        <f>F577+R577</f>
        <v>10474</v>
      </c>
    </row>
    <row r="578" spans="1:73">
      <c r="D578" s="9" t="s">
        <v>10</v>
      </c>
      <c r="E578" s="2">
        <v>45926</v>
      </c>
      <c r="F578" s="55">
        <v>3738</v>
      </c>
      <c r="Q578" s="2">
        <v>45926</v>
      </c>
      <c r="R578" s="3">
        <v>6738</v>
      </c>
      <c r="S578" s="4"/>
      <c r="AC578" s="19">
        <v>45926</v>
      </c>
      <c r="AD578" s="4">
        <f>F578+R578</f>
        <v>10476</v>
      </c>
    </row>
    <row r="579" spans="1:73">
      <c r="D579" s="9" t="s">
        <v>11</v>
      </c>
      <c r="E579" s="2">
        <v>45927</v>
      </c>
      <c r="F579" s="55">
        <v>3739</v>
      </c>
      <c r="Q579" s="2">
        <v>45927</v>
      </c>
      <c r="R579" s="3">
        <v>6739</v>
      </c>
      <c r="S579" s="4"/>
      <c r="AC579" s="19">
        <v>45927</v>
      </c>
      <c r="AD579" s="4">
        <f>F579+R579</f>
        <v>10478</v>
      </c>
    </row>
    <row r="580" spans="1:73">
      <c r="D580" s="9" t="s">
        <v>12</v>
      </c>
      <c r="E580" s="2">
        <v>45928</v>
      </c>
      <c r="F580" s="55">
        <v>3740</v>
      </c>
      <c r="Q580" s="2">
        <v>45928</v>
      </c>
      <c r="R580" s="3">
        <v>6740</v>
      </c>
      <c r="S580" s="4"/>
      <c r="AC580" s="19">
        <v>45928</v>
      </c>
      <c r="AD580" s="4">
        <f>F580+R580</f>
        <v>10480</v>
      </c>
    </row>
    <row r="581" spans="1:73">
      <c r="D581" s="9" t="s">
        <v>13</v>
      </c>
      <c r="E581" s="2">
        <v>45929</v>
      </c>
      <c r="F581" s="55">
        <v>3741</v>
      </c>
      <c r="Q581" s="2">
        <v>45929</v>
      </c>
      <c r="R581" s="3">
        <v>6741</v>
      </c>
      <c r="S581" s="4"/>
      <c r="AC581" s="19">
        <v>45929</v>
      </c>
      <c r="AD581" s="4">
        <f>F581+R581</f>
        <v>10482</v>
      </c>
    </row>
    <row r="582" spans="1:73">
      <c r="D582" s="9" t="s">
        <v>14</v>
      </c>
      <c r="E582" s="2">
        <v>45930</v>
      </c>
      <c r="F582" s="55">
        <v>3742</v>
      </c>
      <c r="Q582" s="2">
        <v>45930</v>
      </c>
      <c r="R582" s="3">
        <v>6742</v>
      </c>
      <c r="S582" s="4"/>
      <c r="AC582" s="19">
        <v>45930</v>
      </c>
      <c r="AD582" s="4">
        <f>F582+R582</f>
        <v>10484</v>
      </c>
    </row>
    <row r="583" spans="1:73">
      <c r="D583" s="9" t="s">
        <v>15</v>
      </c>
      <c r="E583" s="2">
        <v>45931</v>
      </c>
      <c r="F583" s="55">
        <v>3743</v>
      </c>
      <c r="Q583" s="2">
        <v>45931</v>
      </c>
      <c r="R583" s="3">
        <v>6743</v>
      </c>
      <c r="S583" s="4"/>
      <c r="AC583" s="19">
        <v>45931</v>
      </c>
      <c r="AD583" s="4">
        <f>F583+R583</f>
        <v>10486</v>
      </c>
    </row>
    <row r="584" spans="1:73">
      <c r="D584" s="9" t="s">
        <v>16</v>
      </c>
      <c r="E584" s="2">
        <v>45932</v>
      </c>
      <c r="F584" s="55">
        <v>3744</v>
      </c>
      <c r="Q584" s="2">
        <v>45932</v>
      </c>
      <c r="R584" s="3">
        <v>6744</v>
      </c>
      <c r="S584" s="4"/>
      <c r="AC584" s="19">
        <v>45932</v>
      </c>
      <c r="AD584" s="4">
        <f>F584+R584</f>
        <v>10488</v>
      </c>
    </row>
    <row r="585" spans="1:73">
      <c r="D585" s="9" t="s">
        <v>10</v>
      </c>
      <c r="E585" s="2">
        <v>45933</v>
      </c>
      <c r="F585" s="55">
        <v>3745</v>
      </c>
      <c r="Q585" s="2">
        <v>45933</v>
      </c>
      <c r="R585" s="3">
        <v>6745</v>
      </c>
      <c r="S585" s="4"/>
      <c r="AC585" s="19">
        <v>45933</v>
      </c>
      <c r="AD585" s="4">
        <f>F585+R585</f>
        <v>10490</v>
      </c>
    </row>
    <row r="586" spans="1:73">
      <c r="D586" s="9" t="s">
        <v>11</v>
      </c>
      <c r="E586" s="2">
        <v>45934</v>
      </c>
      <c r="F586" s="55">
        <v>3746</v>
      </c>
      <c r="Q586" s="2">
        <v>45934</v>
      </c>
      <c r="R586" s="3">
        <v>6746</v>
      </c>
      <c r="S586" s="4"/>
      <c r="AC586" s="19">
        <v>45934</v>
      </c>
      <c r="AD586" s="4">
        <f>F586+R586</f>
        <v>10492</v>
      </c>
    </row>
    <row r="587" spans="1:73">
      <c r="D587" s="9" t="s">
        <v>12</v>
      </c>
      <c r="E587" s="2">
        <v>45935</v>
      </c>
      <c r="F587" s="55">
        <v>3747</v>
      </c>
      <c r="Q587" s="2">
        <v>45935</v>
      </c>
      <c r="R587" s="3">
        <v>6747</v>
      </c>
      <c r="S587" s="4"/>
      <c r="AC587" s="19">
        <v>45935</v>
      </c>
      <c r="AD587" s="4">
        <f>F587+R587</f>
        <v>10494</v>
      </c>
    </row>
    <row r="588" spans="1:73">
      <c r="D588" s="9" t="s">
        <v>13</v>
      </c>
      <c r="E588" s="2">
        <v>45936</v>
      </c>
      <c r="F588" s="55">
        <v>3748</v>
      </c>
      <c r="Q588" s="2">
        <v>45936</v>
      </c>
      <c r="R588" s="3">
        <v>6748</v>
      </c>
      <c r="S588" s="4"/>
      <c r="AC588" s="19">
        <v>45936</v>
      </c>
      <c r="AD588" s="4">
        <f>F588+R588</f>
        <v>10496</v>
      </c>
    </row>
    <row r="589" spans="1:73">
      <c r="D589" s="9" t="s">
        <v>14</v>
      </c>
      <c r="E589" s="2">
        <v>45937</v>
      </c>
      <c r="F589" s="55">
        <v>3749</v>
      </c>
      <c r="Q589" s="2">
        <v>45937</v>
      </c>
      <c r="R589" s="3">
        <v>6749</v>
      </c>
      <c r="S589" s="4"/>
      <c r="AC589" s="19">
        <v>45937</v>
      </c>
      <c r="AD589" s="4">
        <f>F589+R589</f>
        <v>10498</v>
      </c>
    </row>
    <row r="590" spans="1:73">
      <c r="D590" s="9" t="s">
        <v>15</v>
      </c>
      <c r="E590" s="2">
        <v>45938</v>
      </c>
      <c r="F590" s="55">
        <v>3750</v>
      </c>
      <c r="Q590" s="2">
        <v>45938</v>
      </c>
      <c r="R590" s="3">
        <v>6750</v>
      </c>
      <c r="S590" s="4"/>
      <c r="AC590" s="19">
        <v>45938</v>
      </c>
      <c r="AD590" s="4">
        <f>F590+R590</f>
        <v>10500</v>
      </c>
    </row>
    <row r="591" spans="1:73">
      <c r="D591" s="9" t="s">
        <v>16</v>
      </c>
      <c r="E591" s="2">
        <v>45939</v>
      </c>
      <c r="F591" s="55">
        <v>3751</v>
      </c>
      <c r="Q591" s="2">
        <v>45939</v>
      </c>
      <c r="R591" s="3">
        <v>6751</v>
      </c>
      <c r="S591" s="4"/>
      <c r="AC591" s="19">
        <v>45939</v>
      </c>
      <c r="AD591" s="4">
        <f>F591+R591</f>
        <v>10502</v>
      </c>
    </row>
    <row r="592" spans="1:73">
      <c r="D592" s="9" t="s">
        <v>10</v>
      </c>
      <c r="E592" s="2">
        <v>45940</v>
      </c>
      <c r="F592" s="55">
        <v>3752</v>
      </c>
      <c r="Q592" s="2">
        <v>45940</v>
      </c>
      <c r="R592" s="3">
        <v>6752</v>
      </c>
      <c r="S592" s="4"/>
      <c r="AC592" s="19">
        <v>45940</v>
      </c>
      <c r="AD592" s="4">
        <f>F592+R592</f>
        <v>10504</v>
      </c>
    </row>
    <row r="593" spans="1:73">
      <c r="D593" s="9" t="s">
        <v>11</v>
      </c>
      <c r="E593" s="2">
        <v>45941</v>
      </c>
      <c r="F593" s="55">
        <v>3753</v>
      </c>
      <c r="Q593" s="2">
        <v>45941</v>
      </c>
      <c r="R593" s="3">
        <v>6753</v>
      </c>
      <c r="S593" s="4"/>
      <c r="AC593" s="19">
        <v>45941</v>
      </c>
      <c r="AD593" s="4">
        <f>F593+R593</f>
        <v>10506</v>
      </c>
    </row>
    <row r="594" spans="1:73">
      <c r="D594" s="9" t="s">
        <v>12</v>
      </c>
      <c r="E594" s="2">
        <v>45942</v>
      </c>
      <c r="F594" s="55">
        <v>3754</v>
      </c>
      <c r="Q594" s="2">
        <v>45942</v>
      </c>
      <c r="R594" s="3">
        <v>6754</v>
      </c>
      <c r="S594" s="4"/>
      <c r="AC594" s="19">
        <v>45942</v>
      </c>
      <c r="AD594" s="4">
        <f>F594+R594</f>
        <v>10508</v>
      </c>
    </row>
    <row r="595" spans="1:73">
      <c r="D595" s="9" t="s">
        <v>13</v>
      </c>
      <c r="E595" s="2">
        <v>45943</v>
      </c>
      <c r="F595" s="55">
        <v>3755</v>
      </c>
      <c r="Q595" s="2">
        <v>45943</v>
      </c>
      <c r="R595" s="3">
        <v>6755</v>
      </c>
      <c r="S595" s="4"/>
      <c r="AC595" s="19">
        <v>45943</v>
      </c>
      <c r="AD595" s="4">
        <f>F595+R595</f>
        <v>10510</v>
      </c>
    </row>
    <row r="596" spans="1:73">
      <c r="D596" s="9" t="s">
        <v>14</v>
      </c>
      <c r="E596" s="2">
        <v>45944</v>
      </c>
      <c r="F596" s="55">
        <v>3756</v>
      </c>
      <c r="Q596" s="2">
        <v>45944</v>
      </c>
      <c r="R596" s="3">
        <v>6756</v>
      </c>
      <c r="S596" s="4"/>
      <c r="AC596" s="19">
        <v>45944</v>
      </c>
      <c r="AD596" s="4">
        <f>F596+R596</f>
        <v>10512</v>
      </c>
    </row>
    <row r="597" spans="1:73">
      <c r="D597" s="9" t="s">
        <v>15</v>
      </c>
      <c r="E597" s="2">
        <v>45945</v>
      </c>
      <c r="F597" s="55">
        <v>3757</v>
      </c>
      <c r="Q597" s="2">
        <v>45945</v>
      </c>
      <c r="R597" s="3">
        <v>6757</v>
      </c>
      <c r="S597" s="4"/>
      <c r="AC597" s="19">
        <v>45945</v>
      </c>
      <c r="AD597" s="4">
        <f>F597+R597</f>
        <v>10514</v>
      </c>
    </row>
    <row r="598" spans="1:73">
      <c r="D598" s="9" t="s">
        <v>16</v>
      </c>
      <c r="E598" s="2">
        <v>45946</v>
      </c>
      <c r="F598" s="55">
        <v>3758</v>
      </c>
      <c r="Q598" s="2">
        <v>45946</v>
      </c>
      <c r="R598" s="3">
        <v>6758</v>
      </c>
      <c r="S598" s="4"/>
      <c r="AC598" s="19">
        <v>45946</v>
      </c>
      <c r="AD598" s="4">
        <f>F598+R598</f>
        <v>10516</v>
      </c>
    </row>
    <row r="599" spans="1:73">
      <c r="D599" s="9" t="s">
        <v>10</v>
      </c>
      <c r="E599" s="2">
        <v>45947</v>
      </c>
      <c r="F599" s="55">
        <v>3759</v>
      </c>
      <c r="Q599" s="2">
        <v>45947</v>
      </c>
      <c r="R599" s="3">
        <v>6759</v>
      </c>
      <c r="S599" s="4"/>
      <c r="AC599" s="19">
        <v>45947</v>
      </c>
      <c r="AD599" s="4">
        <f>F599+R599</f>
        <v>10518</v>
      </c>
    </row>
    <row r="600" spans="1:73">
      <c r="D600" s="9" t="s">
        <v>11</v>
      </c>
      <c r="E600" s="2">
        <v>45948</v>
      </c>
      <c r="F600" s="55">
        <v>3760</v>
      </c>
      <c r="Q600" s="2">
        <v>45948</v>
      </c>
      <c r="R600" s="3">
        <v>6760</v>
      </c>
      <c r="S600" s="4"/>
      <c r="AC600" s="19">
        <v>45948</v>
      </c>
      <c r="AD600" s="4">
        <f>F600+R600</f>
        <v>10520</v>
      </c>
    </row>
    <row r="601" spans="1:73">
      <c r="D601" s="9" t="s">
        <v>12</v>
      </c>
      <c r="E601" s="2">
        <v>45949</v>
      </c>
      <c r="F601" s="55">
        <v>3761</v>
      </c>
      <c r="Q601" s="2">
        <v>45949</v>
      </c>
      <c r="R601" s="3">
        <v>6761</v>
      </c>
      <c r="S601" s="4"/>
      <c r="AC601" s="19">
        <v>45949</v>
      </c>
      <c r="AD601" s="4">
        <f>F601+R601</f>
        <v>10522</v>
      </c>
    </row>
    <row r="602" spans="1:73">
      <c r="D602" s="9" t="s">
        <v>13</v>
      </c>
      <c r="E602" s="2">
        <v>45950</v>
      </c>
      <c r="F602" s="55">
        <v>3762</v>
      </c>
      <c r="Q602" s="2">
        <v>45950</v>
      </c>
      <c r="R602" s="3">
        <v>6762</v>
      </c>
      <c r="S602" s="4"/>
      <c r="AC602" s="19">
        <v>45950</v>
      </c>
      <c r="AD602" s="4">
        <f>F602+R602</f>
        <v>10524</v>
      </c>
    </row>
    <row r="603" spans="1:73">
      <c r="D603" s="9" t="s">
        <v>14</v>
      </c>
      <c r="E603" s="2">
        <v>45951</v>
      </c>
      <c r="F603" s="55">
        <v>3763</v>
      </c>
      <c r="Q603" s="2">
        <v>45951</v>
      </c>
      <c r="R603" s="3">
        <v>6763</v>
      </c>
      <c r="S603" s="4"/>
      <c r="AC603" s="19">
        <v>45951</v>
      </c>
      <c r="AD603" s="4">
        <f>F603+R603</f>
        <v>10526</v>
      </c>
    </row>
    <row r="604" spans="1:73">
      <c r="D604" s="9" t="s">
        <v>15</v>
      </c>
      <c r="E604" s="2">
        <v>45952</v>
      </c>
      <c r="F604" s="55">
        <v>3764</v>
      </c>
      <c r="Q604" s="2">
        <v>45952</v>
      </c>
      <c r="R604" s="3">
        <v>6764</v>
      </c>
      <c r="S604" s="4"/>
      <c r="AC604" s="19">
        <v>45952</v>
      </c>
      <c r="AD604" s="4">
        <f>F604+R604</f>
        <v>10528</v>
      </c>
    </row>
    <row r="605" spans="1:73">
      <c r="D605" s="9" t="s">
        <v>16</v>
      </c>
      <c r="E605" s="2">
        <v>45953</v>
      </c>
      <c r="F605" s="55">
        <v>3765</v>
      </c>
      <c r="Q605" s="2">
        <v>45953</v>
      </c>
      <c r="R605" s="3">
        <v>6765</v>
      </c>
      <c r="S605" s="4"/>
      <c r="AC605" s="19">
        <v>45953</v>
      </c>
      <c r="AD605" s="4">
        <f>F605+R605</f>
        <v>10530</v>
      </c>
    </row>
    <row r="606" spans="1:73">
      <c r="D606" s="9" t="s">
        <v>10</v>
      </c>
      <c r="E606" s="2">
        <v>45954</v>
      </c>
      <c r="F606" s="55">
        <v>3766</v>
      </c>
      <c r="Q606" s="2">
        <v>45954</v>
      </c>
      <c r="R606" s="3">
        <v>6766</v>
      </c>
      <c r="S606" s="4"/>
      <c r="AC606" s="19">
        <v>45954</v>
      </c>
      <c r="AD606" s="4">
        <f>F606+R606</f>
        <v>10532</v>
      </c>
    </row>
    <row r="607" spans="1:73">
      <c r="D607" s="9" t="s">
        <v>11</v>
      </c>
      <c r="E607" s="2">
        <v>45955</v>
      </c>
      <c r="F607" s="55">
        <v>3767</v>
      </c>
      <c r="Q607" s="2">
        <v>45955</v>
      </c>
      <c r="R607" s="3">
        <v>6767</v>
      </c>
      <c r="S607" s="4"/>
      <c r="AC607" s="19">
        <v>45955</v>
      </c>
      <c r="AD607" s="4">
        <f>F607+R607</f>
        <v>10534</v>
      </c>
    </row>
    <row r="608" spans="1:73">
      <c r="D608" s="9" t="s">
        <v>12</v>
      </c>
      <c r="E608" s="2">
        <v>45956</v>
      </c>
      <c r="F608" s="55">
        <v>3768</v>
      </c>
      <c r="Q608" s="2">
        <v>45956</v>
      </c>
      <c r="R608" s="3">
        <v>6768</v>
      </c>
      <c r="S608" s="4"/>
      <c r="AC608" s="19">
        <v>45956</v>
      </c>
      <c r="AD608" s="4">
        <f>F608+R608</f>
        <v>10536</v>
      </c>
    </row>
    <row r="609" spans="1:73">
      <c r="D609" s="9" t="s">
        <v>13</v>
      </c>
      <c r="E609" s="2">
        <v>45957</v>
      </c>
      <c r="F609" s="55">
        <v>3769</v>
      </c>
      <c r="Q609" s="2">
        <v>45957</v>
      </c>
      <c r="R609" s="3">
        <v>6769</v>
      </c>
      <c r="S609" s="4"/>
      <c r="AC609" s="19">
        <v>45957</v>
      </c>
      <c r="AD609" s="4">
        <f>F609+R609</f>
        <v>10538</v>
      </c>
    </row>
    <row r="610" spans="1:73">
      <c r="D610" s="9" t="s">
        <v>14</v>
      </c>
      <c r="E610" s="2">
        <v>45958</v>
      </c>
      <c r="F610" s="55">
        <v>3770</v>
      </c>
      <c r="Q610" s="2">
        <v>45958</v>
      </c>
      <c r="R610" s="3">
        <v>6770</v>
      </c>
      <c r="S610" s="4"/>
      <c r="AC610" s="19">
        <v>45958</v>
      </c>
      <c r="AD610" s="4">
        <f>F610+R610</f>
        <v>10540</v>
      </c>
    </row>
    <row r="611" spans="1:73">
      <c r="D611" s="9" t="s">
        <v>15</v>
      </c>
      <c r="E611" s="2">
        <v>45959</v>
      </c>
      <c r="F611" s="55">
        <v>3771</v>
      </c>
      <c r="Q611" s="2">
        <v>45959</v>
      </c>
      <c r="R611" s="3">
        <v>6771</v>
      </c>
      <c r="S611" s="4"/>
      <c r="AC611" s="19">
        <v>45959</v>
      </c>
      <c r="AD611" s="4">
        <f>F611+R611</f>
        <v>10542</v>
      </c>
    </row>
    <row r="612" spans="1:73">
      <c r="D612" s="9" t="s">
        <v>16</v>
      </c>
      <c r="E612" s="2">
        <v>45960</v>
      </c>
      <c r="F612" s="55">
        <v>3772</v>
      </c>
      <c r="Q612" s="2">
        <v>45960</v>
      </c>
      <c r="R612" s="3">
        <v>6772</v>
      </c>
      <c r="S612" s="4"/>
      <c r="AC612" s="19">
        <v>45960</v>
      </c>
      <c r="AD612" s="4">
        <f>F612+R612</f>
        <v>10544</v>
      </c>
    </row>
    <row r="613" spans="1:73">
      <c r="D613" s="9" t="s">
        <v>10</v>
      </c>
      <c r="E613" s="2">
        <v>45961</v>
      </c>
      <c r="F613" s="55">
        <v>3773</v>
      </c>
      <c r="Q613" s="2">
        <v>45961</v>
      </c>
      <c r="R613" s="3">
        <v>6773</v>
      </c>
      <c r="S613" s="4"/>
      <c r="AC613" s="19">
        <v>45961</v>
      </c>
      <c r="AD613" s="4">
        <f>F613+R613</f>
        <v>10546</v>
      </c>
    </row>
    <row r="614" spans="1:73">
      <c r="D614" s="9" t="s">
        <v>11</v>
      </c>
      <c r="E614" s="2">
        <v>45962</v>
      </c>
      <c r="F614" s="55">
        <v>3774</v>
      </c>
      <c r="Q614" s="2">
        <v>45962</v>
      </c>
      <c r="R614" s="3">
        <v>6774</v>
      </c>
      <c r="S614" s="4"/>
      <c r="AC614" s="19">
        <v>45962</v>
      </c>
      <c r="AD614" s="4">
        <f>F614+R614</f>
        <v>10548</v>
      </c>
    </row>
    <row r="615" spans="1:73">
      <c r="D615" s="9" t="s">
        <v>12</v>
      </c>
      <c r="E615" s="2">
        <v>45963</v>
      </c>
      <c r="F615" s="55">
        <v>3775</v>
      </c>
      <c r="Q615" s="2">
        <v>45963</v>
      </c>
      <c r="R615" s="3">
        <v>6775</v>
      </c>
      <c r="S615" s="4"/>
      <c r="AC615" s="19">
        <v>45963</v>
      </c>
      <c r="AD615" s="4">
        <f>F615+R615</f>
        <v>10550</v>
      </c>
    </row>
    <row r="616" spans="1:73">
      <c r="D616" s="9" t="s">
        <v>13</v>
      </c>
      <c r="E616" s="2">
        <v>45964</v>
      </c>
      <c r="F616" s="55">
        <v>3776</v>
      </c>
      <c r="Q616" s="2">
        <v>45964</v>
      </c>
      <c r="R616" s="3">
        <v>6776</v>
      </c>
      <c r="S616" s="4"/>
      <c r="AC616" s="19">
        <v>45964</v>
      </c>
      <c r="AD616" s="4">
        <f>F616+R616</f>
        <v>10552</v>
      </c>
    </row>
    <row r="617" spans="1:73">
      <c r="D617" s="9" t="s">
        <v>14</v>
      </c>
      <c r="E617" s="2">
        <v>45965</v>
      </c>
      <c r="F617" s="55">
        <v>3777</v>
      </c>
      <c r="Q617" s="2">
        <v>45965</v>
      </c>
      <c r="R617" s="3">
        <v>6777</v>
      </c>
      <c r="S617" s="4"/>
      <c r="AC617" s="19">
        <v>45965</v>
      </c>
      <c r="AD617" s="4">
        <f>F617+R617</f>
        <v>10554</v>
      </c>
    </row>
    <row r="618" spans="1:73">
      <c r="D618" s="9" t="s">
        <v>15</v>
      </c>
      <c r="E618" s="2">
        <v>45966</v>
      </c>
      <c r="F618" s="55">
        <v>3778</v>
      </c>
      <c r="Q618" s="2">
        <v>45966</v>
      </c>
      <c r="R618" s="3">
        <v>6778</v>
      </c>
      <c r="S618" s="4"/>
      <c r="AC618" s="19">
        <v>45966</v>
      </c>
      <c r="AD618" s="4">
        <f>F618+R618</f>
        <v>10556</v>
      </c>
    </row>
    <row r="619" spans="1:73">
      <c r="D619" s="9" t="s">
        <v>16</v>
      </c>
      <c r="E619" s="2">
        <v>45967</v>
      </c>
      <c r="F619" s="55">
        <v>3779</v>
      </c>
      <c r="Q619" s="2">
        <v>45967</v>
      </c>
      <c r="R619" s="3">
        <v>6779</v>
      </c>
      <c r="S619" s="4"/>
      <c r="AC619" s="19">
        <v>45967</v>
      </c>
      <c r="AD619" s="4">
        <f>F619+R619</f>
        <v>10558</v>
      </c>
    </row>
    <row r="620" spans="1:73">
      <c r="D620" s="9" t="s">
        <v>10</v>
      </c>
      <c r="E620" s="2">
        <v>45968</v>
      </c>
      <c r="F620" s="55">
        <v>3780</v>
      </c>
      <c r="Q620" s="2">
        <v>45968</v>
      </c>
      <c r="R620" s="3">
        <v>6780</v>
      </c>
      <c r="S620" s="4"/>
      <c r="AC620" s="19">
        <v>45968</v>
      </c>
      <c r="AD620" s="4">
        <f>F620+R620</f>
        <v>10560</v>
      </c>
    </row>
    <row r="621" spans="1:73">
      <c r="D621" s="9" t="s">
        <v>11</v>
      </c>
      <c r="E621" s="2">
        <v>45969</v>
      </c>
      <c r="F621" s="55">
        <v>3781</v>
      </c>
      <c r="Q621" s="2">
        <v>45969</v>
      </c>
      <c r="R621" s="3">
        <v>6781</v>
      </c>
      <c r="S621" s="4"/>
      <c r="AC621" s="19">
        <v>45969</v>
      </c>
      <c r="AD621" s="4">
        <f>F621+R621</f>
        <v>10562</v>
      </c>
    </row>
    <row r="622" spans="1:73">
      <c r="D622" s="9" t="s">
        <v>12</v>
      </c>
      <c r="E622" s="2">
        <v>45970</v>
      </c>
      <c r="F622" s="55">
        <v>3782</v>
      </c>
      <c r="Q622" s="2">
        <v>45970</v>
      </c>
      <c r="R622" s="3">
        <v>6782</v>
      </c>
      <c r="S622" s="4"/>
      <c r="AC622" s="19">
        <v>45970</v>
      </c>
      <c r="AD622" s="4">
        <f>F622+R622</f>
        <v>10564</v>
      </c>
    </row>
    <row r="623" spans="1:73">
      <c r="D623" s="9" t="s">
        <v>13</v>
      </c>
      <c r="E623" s="2">
        <v>45971</v>
      </c>
      <c r="F623" s="55">
        <v>3783</v>
      </c>
      <c r="Q623" s="2">
        <v>45971</v>
      </c>
      <c r="R623" s="3">
        <v>6783</v>
      </c>
      <c r="S623" s="4"/>
      <c r="AC623" s="19">
        <v>45971</v>
      </c>
      <c r="AD623" s="4">
        <f>F623+R623</f>
        <v>10566</v>
      </c>
    </row>
    <row r="624" spans="1:73">
      <c r="D624" s="9" t="s">
        <v>14</v>
      </c>
      <c r="E624" s="2">
        <v>45972</v>
      </c>
      <c r="F624" s="55">
        <v>3784</v>
      </c>
      <c r="Q624" s="2">
        <v>45972</v>
      </c>
      <c r="R624" s="3">
        <v>6784</v>
      </c>
      <c r="S624" s="4"/>
      <c r="AC624" s="19">
        <v>45972</v>
      </c>
      <c r="AD624" s="4">
        <f>F624+R624</f>
        <v>10568</v>
      </c>
    </row>
    <row r="625" spans="1:73">
      <c r="D625" s="9" t="s">
        <v>15</v>
      </c>
      <c r="E625" s="2">
        <v>45973</v>
      </c>
      <c r="F625" s="55">
        <v>3785</v>
      </c>
      <c r="Q625" s="2">
        <v>45973</v>
      </c>
      <c r="R625" s="3">
        <v>6785</v>
      </c>
      <c r="S625" s="4"/>
      <c r="AC625" s="19">
        <v>45973</v>
      </c>
      <c r="AD625" s="4">
        <f>F625+R625</f>
        <v>10570</v>
      </c>
    </row>
    <row r="626" spans="1:73">
      <c r="D626" s="9" t="s">
        <v>16</v>
      </c>
      <c r="E626" s="2">
        <v>45974</v>
      </c>
      <c r="F626" s="55">
        <v>3786</v>
      </c>
      <c r="Q626" s="2">
        <v>45974</v>
      </c>
      <c r="R626" s="3">
        <v>6786</v>
      </c>
      <c r="S626" s="4"/>
      <c r="AC626" s="19">
        <v>45974</v>
      </c>
      <c r="AD626" s="4">
        <f>F626+R626</f>
        <v>10572</v>
      </c>
    </row>
    <row r="627" spans="1:73">
      <c r="D627" s="9" t="s">
        <v>10</v>
      </c>
      <c r="E627" s="2">
        <v>45975</v>
      </c>
      <c r="F627" s="55">
        <v>3787</v>
      </c>
      <c r="Q627" s="2">
        <v>45975</v>
      </c>
      <c r="R627" s="3">
        <v>6787</v>
      </c>
      <c r="S627" s="4"/>
      <c r="AC627" s="19">
        <v>45975</v>
      </c>
      <c r="AD627" s="4">
        <f>F627+R627</f>
        <v>10574</v>
      </c>
    </row>
    <row r="628" spans="1:73">
      <c r="D628" s="9" t="s">
        <v>11</v>
      </c>
      <c r="E628" s="2">
        <v>45976</v>
      </c>
      <c r="F628" s="55">
        <v>3788</v>
      </c>
      <c r="Q628" s="2">
        <v>45976</v>
      </c>
      <c r="R628" s="3">
        <v>6788</v>
      </c>
      <c r="S628" s="4"/>
      <c r="AC628" s="19">
        <v>45976</v>
      </c>
      <c r="AD628" s="4">
        <f>F628+R628</f>
        <v>10576</v>
      </c>
    </row>
    <row r="629" spans="1:73">
      <c r="D629" s="9" t="s">
        <v>12</v>
      </c>
      <c r="E629" s="2">
        <v>45977</v>
      </c>
      <c r="F629" s="55">
        <v>3789</v>
      </c>
      <c r="Q629" s="2">
        <v>45977</v>
      </c>
      <c r="R629" s="3">
        <v>6789</v>
      </c>
      <c r="S629" s="4"/>
      <c r="AC629" s="19">
        <v>45977</v>
      </c>
      <c r="AD629" s="4">
        <f>F629+R629</f>
        <v>10578</v>
      </c>
    </row>
    <row r="630" spans="1:73">
      <c r="D630" s="9" t="s">
        <v>13</v>
      </c>
      <c r="E630" s="2">
        <v>45978</v>
      </c>
      <c r="F630" s="55">
        <v>3790</v>
      </c>
      <c r="Q630" s="2">
        <v>45978</v>
      </c>
      <c r="R630" s="3">
        <v>6790</v>
      </c>
      <c r="S630" s="4"/>
      <c r="AC630" s="19">
        <v>45978</v>
      </c>
      <c r="AD630" s="4">
        <f>F630+R630</f>
        <v>10580</v>
      </c>
    </row>
    <row r="631" spans="1:73">
      <c r="D631" s="9" t="s">
        <v>14</v>
      </c>
      <c r="E631" s="2">
        <v>45979</v>
      </c>
      <c r="F631" s="55">
        <v>3791</v>
      </c>
      <c r="Q631" s="2">
        <v>45979</v>
      </c>
      <c r="R631" s="3">
        <v>6791</v>
      </c>
      <c r="S631" s="4"/>
      <c r="AC631" s="19">
        <v>45979</v>
      </c>
      <c r="AD631" s="4">
        <f>F631+R631</f>
        <v>10582</v>
      </c>
    </row>
    <row r="632" spans="1:73">
      <c r="D632" s="9" t="s">
        <v>15</v>
      </c>
      <c r="E632" s="2">
        <v>45980</v>
      </c>
      <c r="F632" s="55">
        <v>3792</v>
      </c>
      <c r="Q632" s="2">
        <v>45980</v>
      </c>
      <c r="R632" s="3">
        <v>6792</v>
      </c>
      <c r="S632" s="4"/>
      <c r="AC632" s="19">
        <v>45980</v>
      </c>
      <c r="AD632" s="4">
        <f>F632+R632</f>
        <v>10584</v>
      </c>
    </row>
    <row r="633" spans="1:73">
      <c r="D633" s="9" t="s">
        <v>16</v>
      </c>
      <c r="E633" s="2">
        <v>45981</v>
      </c>
      <c r="F633" s="55">
        <v>3793</v>
      </c>
      <c r="Q633" s="2">
        <v>45981</v>
      </c>
      <c r="R633" s="3">
        <v>6793</v>
      </c>
      <c r="S633" s="4"/>
      <c r="AC633" s="19">
        <v>45981</v>
      </c>
      <c r="AD633" s="4">
        <f>F633+R633</f>
        <v>10586</v>
      </c>
    </row>
    <row r="634" spans="1:73">
      <c r="D634" s="9" t="s">
        <v>10</v>
      </c>
      <c r="E634" s="2">
        <v>45982</v>
      </c>
      <c r="F634" s="55">
        <v>3794</v>
      </c>
      <c r="Q634" s="2">
        <v>45982</v>
      </c>
      <c r="R634" s="3">
        <v>6794</v>
      </c>
      <c r="S634" s="4"/>
      <c r="AC634" s="19">
        <v>45982</v>
      </c>
      <c r="AD634" s="4">
        <f>F634+R634</f>
        <v>10588</v>
      </c>
    </row>
    <row r="635" spans="1:73">
      <c r="D635" s="9" t="s">
        <v>11</v>
      </c>
      <c r="E635" s="2">
        <v>45983</v>
      </c>
      <c r="F635" s="55">
        <v>3795</v>
      </c>
      <c r="Q635" s="2">
        <v>45983</v>
      </c>
      <c r="R635" s="3">
        <v>6795</v>
      </c>
      <c r="S635" s="4"/>
      <c r="AC635" s="19">
        <v>45983</v>
      </c>
      <c r="AD635" s="4">
        <f>F635+R635</f>
        <v>10590</v>
      </c>
    </row>
    <row r="636" spans="1:73">
      <c r="D636" s="9" t="s">
        <v>12</v>
      </c>
      <c r="E636" s="2">
        <v>45984</v>
      </c>
      <c r="F636" s="55">
        <v>3796</v>
      </c>
      <c r="Q636" s="2">
        <v>45984</v>
      </c>
      <c r="R636" s="3">
        <v>6796</v>
      </c>
      <c r="S636" s="4"/>
      <c r="AC636" s="19">
        <v>45984</v>
      </c>
      <c r="AD636" s="4">
        <f>F636+R636</f>
        <v>10592</v>
      </c>
    </row>
    <row r="637" spans="1:73">
      <c r="D637" s="9" t="s">
        <v>13</v>
      </c>
      <c r="E637" s="2">
        <v>45985</v>
      </c>
      <c r="F637" s="55">
        <v>3797</v>
      </c>
      <c r="Q637" s="2">
        <v>45985</v>
      </c>
      <c r="R637" s="3">
        <v>6797</v>
      </c>
      <c r="S637" s="4"/>
      <c r="AC637" s="19">
        <v>45985</v>
      </c>
      <c r="AD637" s="4">
        <f>F637+R637</f>
        <v>10594</v>
      </c>
    </row>
    <row r="638" spans="1:73">
      <c r="D638" s="9" t="s">
        <v>14</v>
      </c>
      <c r="E638" s="2">
        <v>45986</v>
      </c>
      <c r="F638" s="55">
        <v>3798</v>
      </c>
      <c r="Q638" s="2">
        <v>45986</v>
      </c>
      <c r="R638" s="3">
        <v>6798</v>
      </c>
      <c r="S638" s="4"/>
      <c r="AC638" s="19">
        <v>45986</v>
      </c>
      <c r="AD638" s="4">
        <f>F638+R638</f>
        <v>10596</v>
      </c>
    </row>
    <row r="639" spans="1:73">
      <c r="D639" s="9" t="s">
        <v>15</v>
      </c>
      <c r="E639" s="2">
        <v>45987</v>
      </c>
      <c r="F639" s="55">
        <v>3799</v>
      </c>
      <c r="Q639" s="2">
        <v>45987</v>
      </c>
      <c r="R639" s="3">
        <v>6799</v>
      </c>
      <c r="S639" s="4"/>
      <c r="AC639" s="19">
        <v>45987</v>
      </c>
      <c r="AD639" s="4">
        <f>F639+R639</f>
        <v>10598</v>
      </c>
    </row>
    <row r="640" spans="1:73">
      <c r="D640" s="9" t="s">
        <v>16</v>
      </c>
      <c r="E640" s="2">
        <v>45988</v>
      </c>
      <c r="F640" s="55">
        <v>3800</v>
      </c>
      <c r="Q640" s="2">
        <v>45988</v>
      </c>
      <c r="R640" s="3">
        <v>6800</v>
      </c>
      <c r="S640" s="4"/>
      <c r="AC640" s="19">
        <v>45988</v>
      </c>
      <c r="AD640" s="4">
        <f>F640+R640</f>
        <v>10600</v>
      </c>
    </row>
    <row r="641" spans="1:73">
      <c r="D641" s="9" t="s">
        <v>10</v>
      </c>
      <c r="E641" s="2">
        <v>45989</v>
      </c>
      <c r="F641" s="55">
        <v>3801</v>
      </c>
      <c r="Q641" s="2">
        <v>45989</v>
      </c>
      <c r="R641" s="3">
        <v>6801</v>
      </c>
      <c r="S641" s="4"/>
      <c r="AC641" s="19">
        <v>45989</v>
      </c>
      <c r="AD641" s="4">
        <f>F641+R641</f>
        <v>10602</v>
      </c>
    </row>
    <row r="642" spans="1:73">
      <c r="D642" s="9" t="s">
        <v>11</v>
      </c>
      <c r="E642" s="2">
        <v>45990</v>
      </c>
      <c r="F642" s="55">
        <v>3802</v>
      </c>
      <c r="Q642" s="2">
        <v>45990</v>
      </c>
      <c r="R642" s="3">
        <v>6802</v>
      </c>
      <c r="S642" s="4"/>
      <c r="AC642" s="19">
        <v>45990</v>
      </c>
      <c r="AD642" s="4">
        <f>F642+R642</f>
        <v>10604</v>
      </c>
    </row>
    <row r="643" spans="1:73">
      <c r="D643" s="9" t="s">
        <v>12</v>
      </c>
      <c r="E643" s="2">
        <v>45991</v>
      </c>
      <c r="F643" s="55">
        <v>3803</v>
      </c>
      <c r="Q643" s="2">
        <v>45991</v>
      </c>
      <c r="R643" s="3">
        <v>6803</v>
      </c>
      <c r="S643" s="4"/>
      <c r="AC643" s="19">
        <v>45991</v>
      </c>
      <c r="AD643" s="4">
        <f>F643+R643</f>
        <v>10606</v>
      </c>
    </row>
    <row r="644" spans="1:73">
      <c r="D644" s="9" t="s">
        <v>13</v>
      </c>
      <c r="E644" s="2">
        <v>45992</v>
      </c>
      <c r="F644" s="55">
        <v>3804</v>
      </c>
      <c r="Q644" s="2">
        <v>45992</v>
      </c>
      <c r="R644" s="3">
        <v>6804</v>
      </c>
      <c r="S644" s="4"/>
      <c r="AC644" s="19">
        <v>45992</v>
      </c>
      <c r="AD644" s="4">
        <f>F644+R644</f>
        <v>10608</v>
      </c>
    </row>
    <row r="645" spans="1:73">
      <c r="D645" s="9" t="s">
        <v>14</v>
      </c>
      <c r="E645" s="2">
        <v>45993</v>
      </c>
      <c r="F645" s="55">
        <v>3805</v>
      </c>
      <c r="Q645" s="2">
        <v>45993</v>
      </c>
      <c r="R645" s="3">
        <v>6805</v>
      </c>
      <c r="S645" s="4"/>
      <c r="AC645" s="19">
        <v>45993</v>
      </c>
      <c r="AD645" s="4">
        <f>F645+R645</f>
        <v>10610</v>
      </c>
    </row>
    <row r="646" spans="1:73">
      <c r="D646" s="9" t="s">
        <v>15</v>
      </c>
      <c r="E646" s="2">
        <v>45994</v>
      </c>
      <c r="F646" s="55">
        <v>3806</v>
      </c>
      <c r="Q646" s="2">
        <v>45994</v>
      </c>
      <c r="R646" s="3">
        <v>6806</v>
      </c>
      <c r="S646" s="4"/>
      <c r="AC646" s="19">
        <v>45994</v>
      </c>
      <c r="AD646" s="4">
        <f>F646+R646</f>
        <v>10612</v>
      </c>
    </row>
    <row r="647" spans="1:73">
      <c r="D647" s="9" t="s">
        <v>16</v>
      </c>
      <c r="E647" s="2">
        <v>45995</v>
      </c>
      <c r="F647" s="55">
        <v>3807</v>
      </c>
      <c r="Q647" s="2">
        <v>45995</v>
      </c>
      <c r="R647" s="3">
        <v>6807</v>
      </c>
      <c r="S647" s="4"/>
      <c r="AC647" s="19">
        <v>45995</v>
      </c>
      <c r="AD647" s="4">
        <f>F647+R647</f>
        <v>10614</v>
      </c>
    </row>
    <row r="648" spans="1:73">
      <c r="D648" s="9" t="s">
        <v>10</v>
      </c>
      <c r="E648" s="2">
        <v>45996</v>
      </c>
      <c r="F648" s="55">
        <v>3808</v>
      </c>
      <c r="Q648" s="2">
        <v>45996</v>
      </c>
      <c r="R648" s="3">
        <v>6808</v>
      </c>
      <c r="S648" s="4"/>
      <c r="AC648" s="19">
        <v>45996</v>
      </c>
      <c r="AD648" s="4">
        <f>F648+R648</f>
        <v>10616</v>
      </c>
    </row>
    <row r="649" spans="1:73">
      <c r="D649" s="9" t="s">
        <v>11</v>
      </c>
      <c r="E649" s="2">
        <v>45997</v>
      </c>
      <c r="F649" s="55">
        <v>3809</v>
      </c>
      <c r="Q649" s="2">
        <v>45997</v>
      </c>
      <c r="R649" s="3">
        <v>6809</v>
      </c>
      <c r="S649" s="4"/>
      <c r="AC649" s="19">
        <v>45997</v>
      </c>
      <c r="AD649" s="4">
        <f>F649+R649</f>
        <v>10618</v>
      </c>
    </row>
    <row r="650" spans="1:73">
      <c r="D650" s="9" t="s">
        <v>12</v>
      </c>
      <c r="E650" s="2">
        <v>45998</v>
      </c>
      <c r="F650" s="55">
        <v>3810</v>
      </c>
      <c r="Q650" s="2">
        <v>45998</v>
      </c>
      <c r="R650" s="3">
        <v>6810</v>
      </c>
      <c r="S650" s="4"/>
      <c r="AC650" s="19">
        <v>45998</v>
      </c>
      <c r="AD650" s="4">
        <f>F650+R650</f>
        <v>10620</v>
      </c>
    </row>
    <row r="651" spans="1:73">
      <c r="D651" s="9" t="s">
        <v>13</v>
      </c>
      <c r="E651" s="2">
        <v>45999</v>
      </c>
      <c r="F651" s="55">
        <v>3811</v>
      </c>
      <c r="Q651" s="2">
        <v>45999</v>
      </c>
      <c r="R651" s="3">
        <v>6811</v>
      </c>
      <c r="S651" s="4"/>
      <c r="AC651" s="19">
        <v>45999</v>
      </c>
      <c r="AD651" s="4">
        <f>F651+R651</f>
        <v>10622</v>
      </c>
    </row>
    <row r="652" spans="1:73">
      <c r="D652" s="9" t="s">
        <v>14</v>
      </c>
      <c r="E652" s="2">
        <v>46000</v>
      </c>
      <c r="F652" s="55">
        <v>3812</v>
      </c>
      <c r="Q652" s="2">
        <v>46000</v>
      </c>
      <c r="R652" s="3">
        <v>6812</v>
      </c>
      <c r="S652" s="4"/>
      <c r="AC652" s="19">
        <v>46000</v>
      </c>
      <c r="AD652" s="4">
        <f>F652+R652</f>
        <v>10624</v>
      </c>
    </row>
    <row r="653" spans="1:73">
      <c r="D653" s="9" t="s">
        <v>15</v>
      </c>
      <c r="E653" s="2">
        <v>46001</v>
      </c>
      <c r="F653" s="55">
        <v>3813</v>
      </c>
      <c r="Q653" s="2">
        <v>46001</v>
      </c>
      <c r="R653" s="3">
        <v>6813</v>
      </c>
      <c r="S653" s="4"/>
      <c r="AC653" s="19">
        <v>46001</v>
      </c>
      <c r="AD653" s="4">
        <f>F653+R653</f>
        <v>10626</v>
      </c>
    </row>
    <row r="654" spans="1:73">
      <c r="D654" s="9" t="s">
        <v>16</v>
      </c>
      <c r="E654" s="2">
        <v>46002</v>
      </c>
      <c r="F654" s="55">
        <v>3814</v>
      </c>
      <c r="Q654" s="2">
        <v>46002</v>
      </c>
      <c r="R654" s="3">
        <v>6814</v>
      </c>
      <c r="S654" s="4"/>
      <c r="AC654" s="19">
        <v>46002</v>
      </c>
      <c r="AD654" s="4">
        <f>F654+R654</f>
        <v>10628</v>
      </c>
    </row>
    <row r="655" spans="1:73">
      <c r="D655" s="9" t="s">
        <v>10</v>
      </c>
      <c r="E655" s="2">
        <v>46003</v>
      </c>
      <c r="F655" s="55">
        <v>3815</v>
      </c>
      <c r="Q655" s="2">
        <v>46003</v>
      </c>
      <c r="R655" s="3">
        <v>6815</v>
      </c>
      <c r="S655" s="4"/>
      <c r="AC655" s="19">
        <v>46003</v>
      </c>
      <c r="AD655" s="4">
        <f>F655+R655</f>
        <v>10630</v>
      </c>
    </row>
    <row r="656" spans="1:73">
      <c r="D656" s="9" t="s">
        <v>11</v>
      </c>
      <c r="E656" s="2">
        <v>46004</v>
      </c>
      <c r="F656" s="55">
        <v>3816</v>
      </c>
      <c r="Q656" s="2">
        <v>46004</v>
      </c>
      <c r="R656" s="3">
        <v>6816</v>
      </c>
      <c r="S656" s="4"/>
      <c r="AC656" s="19">
        <v>46004</v>
      </c>
      <c r="AD656" s="4">
        <f>F656+R656</f>
        <v>10632</v>
      </c>
    </row>
    <row r="657" spans="1:73">
      <c r="D657" s="9" t="s">
        <v>12</v>
      </c>
      <c r="E657" s="2">
        <v>46005</v>
      </c>
      <c r="F657" s="55">
        <v>3817</v>
      </c>
      <c r="Q657" s="2">
        <v>46005</v>
      </c>
      <c r="R657" s="3">
        <v>6817</v>
      </c>
      <c r="S657" s="4"/>
      <c r="AC657" s="19">
        <v>46005</v>
      </c>
      <c r="AD657" s="4">
        <f>F657+R657</f>
        <v>10634</v>
      </c>
    </row>
    <row r="658" spans="1:73">
      <c r="D658" s="9" t="s">
        <v>13</v>
      </c>
      <c r="E658" s="2">
        <v>46006</v>
      </c>
      <c r="F658" s="55">
        <v>3818</v>
      </c>
      <c r="Q658" s="2">
        <v>46006</v>
      </c>
      <c r="R658" s="3">
        <v>6818</v>
      </c>
      <c r="S658" s="4"/>
      <c r="AC658" s="19">
        <v>46006</v>
      </c>
      <c r="AD658" s="4">
        <f>F658+R658</f>
        <v>10636</v>
      </c>
    </row>
    <row r="659" spans="1:73">
      <c r="D659" s="9" t="s">
        <v>14</v>
      </c>
      <c r="E659" s="2">
        <v>46007</v>
      </c>
      <c r="F659" s="55">
        <v>3819</v>
      </c>
      <c r="Q659" s="2">
        <v>46007</v>
      </c>
      <c r="R659" s="3">
        <v>6819</v>
      </c>
      <c r="S659" s="4"/>
      <c r="AC659" s="19">
        <v>46007</v>
      </c>
      <c r="AD659" s="4">
        <f>F659+R659</f>
        <v>10638</v>
      </c>
    </row>
    <row r="660" spans="1:73">
      <c r="D660" s="9" t="s">
        <v>15</v>
      </c>
      <c r="E660" s="2">
        <v>46008</v>
      </c>
      <c r="F660" s="55">
        <v>3820</v>
      </c>
      <c r="Q660" s="2">
        <v>46008</v>
      </c>
      <c r="R660" s="3">
        <v>6820</v>
      </c>
      <c r="S660" s="4"/>
      <c r="AC660" s="19">
        <v>46008</v>
      </c>
      <c r="AD660" s="4">
        <f>F660+R660</f>
        <v>10640</v>
      </c>
    </row>
    <row r="661" spans="1:73">
      <c r="D661" s="9" t="s">
        <v>16</v>
      </c>
      <c r="E661" s="2">
        <v>46009</v>
      </c>
      <c r="F661" s="55">
        <v>3821</v>
      </c>
      <c r="Q661" s="2">
        <v>46009</v>
      </c>
      <c r="R661" s="3">
        <v>6821</v>
      </c>
      <c r="S661" s="4"/>
      <c r="AC661" s="19">
        <v>46009</v>
      </c>
      <c r="AD661" s="4">
        <f>F661+R661</f>
        <v>10642</v>
      </c>
    </row>
    <row r="662" spans="1:73">
      <c r="D662" s="9" t="s">
        <v>10</v>
      </c>
      <c r="E662" s="2">
        <v>46010</v>
      </c>
      <c r="F662" s="55">
        <v>3822</v>
      </c>
      <c r="Q662" s="2">
        <v>46010</v>
      </c>
      <c r="R662" s="3">
        <v>6822</v>
      </c>
      <c r="S662" s="4"/>
      <c r="AC662" s="19">
        <v>46010</v>
      </c>
      <c r="AD662" s="4">
        <f>F662+R662</f>
        <v>10644</v>
      </c>
    </row>
    <row r="663" spans="1:73">
      <c r="D663" s="9" t="s">
        <v>11</v>
      </c>
      <c r="E663" s="2">
        <v>46011</v>
      </c>
      <c r="F663" s="55">
        <v>3823</v>
      </c>
      <c r="Q663" s="2">
        <v>46011</v>
      </c>
      <c r="R663" s="3">
        <v>6823</v>
      </c>
      <c r="S663" s="4"/>
      <c r="AC663" s="19">
        <v>46011</v>
      </c>
      <c r="AD663" s="4">
        <f>F663+R663</f>
        <v>10646</v>
      </c>
    </row>
    <row r="664" spans="1:73">
      <c r="D664" s="9" t="s">
        <v>12</v>
      </c>
      <c r="E664" s="2">
        <v>46012</v>
      </c>
      <c r="F664" s="55">
        <v>3824</v>
      </c>
      <c r="Q664" s="2">
        <v>46012</v>
      </c>
      <c r="R664" s="3">
        <v>6824</v>
      </c>
      <c r="S664" s="4"/>
      <c r="AC664" s="19">
        <v>46012</v>
      </c>
      <c r="AD664" s="4">
        <f>F664+R664</f>
        <v>10648</v>
      </c>
    </row>
    <row r="665" spans="1:73">
      <c r="D665" s="9" t="s">
        <v>13</v>
      </c>
      <c r="E665" s="2">
        <v>46013</v>
      </c>
      <c r="F665" s="55">
        <v>3825</v>
      </c>
      <c r="Q665" s="2">
        <v>46013</v>
      </c>
      <c r="R665" s="3">
        <v>6825</v>
      </c>
      <c r="S665" s="4"/>
      <c r="AC665" s="19">
        <v>46013</v>
      </c>
      <c r="AD665" s="4">
        <f>F665+R665</f>
        <v>10650</v>
      </c>
    </row>
    <row r="666" spans="1:73">
      <c r="D666" s="9" t="s">
        <v>14</v>
      </c>
      <c r="E666" s="2">
        <v>46014</v>
      </c>
      <c r="F666" s="55">
        <v>3826</v>
      </c>
      <c r="Q666" s="2">
        <v>46014</v>
      </c>
      <c r="R666" s="3">
        <v>6826</v>
      </c>
      <c r="S666" s="4"/>
      <c r="AC666" s="19">
        <v>46014</v>
      </c>
      <c r="AD666" s="4">
        <f>F666+R666</f>
        <v>10652</v>
      </c>
    </row>
    <row r="667" spans="1:73">
      <c r="D667" s="9" t="s">
        <v>15</v>
      </c>
      <c r="E667" s="2">
        <v>46015</v>
      </c>
      <c r="F667" s="55">
        <v>3827</v>
      </c>
      <c r="Q667" s="2">
        <v>46015</v>
      </c>
      <c r="R667" s="3">
        <v>6827</v>
      </c>
      <c r="S667" s="4"/>
      <c r="AC667" s="19">
        <v>46015</v>
      </c>
      <c r="AD667" s="4">
        <f>F667+R667</f>
        <v>10654</v>
      </c>
    </row>
    <row r="668" spans="1:73">
      <c r="D668" s="9" t="s">
        <v>16</v>
      </c>
      <c r="E668" s="2">
        <v>46016</v>
      </c>
      <c r="F668" s="55">
        <v>3828</v>
      </c>
      <c r="Q668" s="2">
        <v>46016</v>
      </c>
      <c r="R668" s="3">
        <v>6828</v>
      </c>
      <c r="S668" s="4"/>
      <c r="AC668" s="19">
        <v>46016</v>
      </c>
      <c r="AD668" s="4">
        <f>F668+R668</f>
        <v>10656</v>
      </c>
    </row>
    <row r="669" spans="1:73">
      <c r="D669" s="9" t="s">
        <v>10</v>
      </c>
      <c r="E669" s="2">
        <v>46017</v>
      </c>
      <c r="F669" s="55">
        <v>3829</v>
      </c>
      <c r="Q669" s="2">
        <v>46017</v>
      </c>
      <c r="R669" s="3">
        <v>6829</v>
      </c>
      <c r="S669" s="4"/>
      <c r="AC669" s="19">
        <v>46017</v>
      </c>
      <c r="AD669" s="4">
        <f>F669+R669</f>
        <v>10658</v>
      </c>
    </row>
    <row r="670" spans="1:73">
      <c r="D670" s="9" t="s">
        <v>11</v>
      </c>
      <c r="E670" s="2">
        <v>46018</v>
      </c>
      <c r="F670" s="55">
        <v>3830</v>
      </c>
      <c r="Q670" s="2">
        <v>46018</v>
      </c>
      <c r="R670" s="3">
        <v>6830</v>
      </c>
      <c r="S670" s="4"/>
      <c r="AC670" s="19">
        <v>46018</v>
      </c>
      <c r="AD670" s="4">
        <f>F670+R670</f>
        <v>10660</v>
      </c>
    </row>
    <row r="671" spans="1:73">
      <c r="D671" s="9" t="s">
        <v>12</v>
      </c>
      <c r="E671" s="2">
        <v>46019</v>
      </c>
      <c r="F671" s="55">
        <v>3831</v>
      </c>
      <c r="Q671" s="2">
        <v>46019</v>
      </c>
      <c r="R671" s="3">
        <v>6831</v>
      </c>
      <c r="S671" s="4"/>
      <c r="AC671" s="19">
        <v>46019</v>
      </c>
      <c r="AD671" s="4">
        <f>F671+R671</f>
        <v>10662</v>
      </c>
    </row>
    <row r="672" spans="1:73">
      <c r="D672" s="9" t="s">
        <v>13</v>
      </c>
      <c r="E672" s="2">
        <v>46020</v>
      </c>
      <c r="F672" s="55">
        <v>3832</v>
      </c>
      <c r="Q672" s="2">
        <v>46020</v>
      </c>
      <c r="R672" s="3">
        <v>6832</v>
      </c>
      <c r="S672" s="4"/>
      <c r="AC672" s="19">
        <v>46020</v>
      </c>
      <c r="AD672" s="4">
        <f>F672+R672</f>
        <v>10664</v>
      </c>
    </row>
    <row r="673" spans="1:73">
      <c r="D673" s="9" t="s">
        <v>14</v>
      </c>
      <c r="E673" s="2">
        <v>46021</v>
      </c>
      <c r="F673" s="55">
        <v>3833</v>
      </c>
      <c r="Q673" s="2">
        <v>46021</v>
      </c>
      <c r="R673" s="3">
        <v>6833</v>
      </c>
      <c r="S673" s="4"/>
      <c r="AC673" s="19">
        <v>46021</v>
      </c>
      <c r="AD673" s="4">
        <f>F673+R673</f>
        <v>10666</v>
      </c>
    </row>
    <row r="674" spans="1:73">
      <c r="D674" s="9" t="s">
        <v>15</v>
      </c>
      <c r="E674" s="2">
        <v>46022</v>
      </c>
      <c r="F674" s="55">
        <v>3834</v>
      </c>
      <c r="Q674" s="2">
        <v>46022</v>
      </c>
      <c r="R674" s="3">
        <v>6834</v>
      </c>
      <c r="S674" s="4"/>
      <c r="AC674" s="19">
        <v>46022</v>
      </c>
      <c r="AD674" s="4">
        <f>F674+R674</f>
        <v>10668</v>
      </c>
    </row>
    <row r="675" spans="1:73">
      <c r="D675" s="9"/>
      <c r="E675" s="17"/>
      <c r="F675" s="43"/>
      <c r="AC675" s="17"/>
      <c r="AD675" s="1"/>
    </row>
    <row r="676" spans="1:73">
      <c r="D676" s="9"/>
      <c r="E676" s="17"/>
      <c r="F676" s="43"/>
      <c r="AC676" s="17"/>
      <c r="AD676" s="1"/>
    </row>
    <row r="677" spans="1:73"/>
    <row r="678" spans="1:73" customHeight="1" ht="27.75">
      <c r="A678" s="77"/>
      <c r="B678" s="77"/>
      <c r="C678" s="77"/>
      <c r="P678" s="175" t="s">
        <v>24</v>
      </c>
      <c r="Q678" s="176" t="s">
        <v>25</v>
      </c>
      <c r="R678" s="139"/>
      <c r="S678" s="132"/>
      <c r="T678" s="138"/>
      <c r="U678" s="133"/>
      <c r="V678" s="133"/>
      <c r="W678" s="139"/>
      <c r="X678" s="139"/>
      <c r="Y678" s="132"/>
      <c r="Z678" s="132"/>
      <c r="AA678" s="166" t="s">
        <v>26</v>
      </c>
      <c r="AC678" s="169" t="s">
        <v>25</v>
      </c>
      <c r="AD678" s="135"/>
      <c r="AE678" s="136"/>
      <c r="AF678" s="172" t="s">
        <v>27</v>
      </c>
      <c r="AG678" s="135"/>
      <c r="AH678" s="136"/>
      <c r="AI678" s="163" t="s">
        <v>28</v>
      </c>
      <c r="AJ678" s="160" t="s">
        <v>29</v>
      </c>
      <c r="AK678" s="158" t="s">
        <v>30</v>
      </c>
      <c r="AL678" s="158"/>
      <c r="AM678" s="158"/>
      <c r="AN678" s="158"/>
      <c r="AO678" s="158"/>
      <c r="AP678" s="158"/>
      <c r="AQ678" s="158"/>
      <c r="AR678" s="158"/>
      <c r="AS678" s="158"/>
      <c r="AT678" s="158"/>
      <c r="AU678" s="158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158"/>
      <c r="BH678" s="158"/>
      <c r="BI678" s="158"/>
      <c r="BJ678" s="158"/>
      <c r="BK678" s="158"/>
      <c r="BL678" s="158"/>
      <c r="BM678" s="158"/>
      <c r="BN678" s="158"/>
      <c r="BO678" s="159"/>
      <c r="BP678" s="172" t="s">
        <v>31</v>
      </c>
      <c r="BQ678" s="169" t="s">
        <v>25</v>
      </c>
    </row>
    <row r="679" spans="1:73" customHeight="1" ht="27.75">
      <c r="A679" s="77"/>
      <c r="B679" s="77"/>
      <c r="C679" s="77"/>
      <c r="D679" s="141" t="s">
        <v>24</v>
      </c>
      <c r="E679" s="146" t="s">
        <v>25</v>
      </c>
      <c r="F679" s="150" t="s">
        <v>32</v>
      </c>
      <c r="G679" s="151"/>
      <c r="H679" s="147" t="s">
        <v>27</v>
      </c>
      <c r="I679" s="148" t="s">
        <v>33</v>
      </c>
      <c r="J679" s="144" t="s">
        <v>34</v>
      </c>
      <c r="K679" s="142" t="s">
        <v>35</v>
      </c>
      <c r="L679" s="142" t="s">
        <v>36</v>
      </c>
      <c r="M679" s="137"/>
      <c r="N679" s="137" t="s">
        <v>37</v>
      </c>
      <c r="O679" s="144" t="s">
        <v>26</v>
      </c>
      <c r="P679" s="175"/>
      <c r="Q679" s="177"/>
      <c r="R679" s="152" t="s">
        <v>38</v>
      </c>
      <c r="S679" s="153"/>
      <c r="T679" s="138" t="s">
        <v>27</v>
      </c>
      <c r="U679" s="133" t="s">
        <v>33</v>
      </c>
      <c r="V679" s="133" t="s">
        <v>34</v>
      </c>
      <c r="W679" s="139" t="s">
        <v>35</v>
      </c>
      <c r="X679" s="139" t="s">
        <v>36</v>
      </c>
      <c r="Y679" s="78"/>
      <c r="Z679" s="132" t="s">
        <v>37</v>
      </c>
      <c r="AA679" s="167"/>
      <c r="AC679" s="170"/>
      <c r="AD679" s="154" t="s">
        <v>39</v>
      </c>
      <c r="AE679" s="155"/>
      <c r="AF679" s="173"/>
      <c r="AG679" s="156" t="s">
        <v>40</v>
      </c>
      <c r="AH679" s="157"/>
      <c r="AI679" s="164"/>
      <c r="AJ679" s="161"/>
      <c r="AK679" s="181" t="s">
        <v>41</v>
      </c>
      <c r="AL679" s="181"/>
      <c r="AM679" s="182" t="s">
        <v>42</v>
      </c>
      <c r="AN679" s="182"/>
      <c r="AO679" s="184" t="s">
        <v>43</v>
      </c>
      <c r="AP679" s="185"/>
      <c r="AQ679" s="184" t="s">
        <v>44</v>
      </c>
      <c r="AR679" s="185"/>
      <c r="AS679" s="184" t="s">
        <v>45</v>
      </c>
      <c r="AT679" s="185"/>
      <c r="AU679" s="184" t="s">
        <v>46</v>
      </c>
      <c r="AV679" s="185"/>
      <c r="AW679" s="184" t="s">
        <v>47</v>
      </c>
      <c r="AX679" s="185"/>
      <c r="AY679" s="183" t="s">
        <v>48</v>
      </c>
      <c r="AZ679" s="183"/>
      <c r="BA679" s="183" t="s">
        <v>49</v>
      </c>
      <c r="BB679" s="183"/>
      <c r="BC679" s="184" t="s">
        <v>50</v>
      </c>
      <c r="BD679" s="185"/>
      <c r="BE679" s="184" t="s">
        <v>51</v>
      </c>
      <c r="BF679" s="185"/>
      <c r="BG679" s="186" t="s">
        <v>52</v>
      </c>
      <c r="BH679" s="187"/>
      <c r="BI679" s="183" t="s">
        <v>53</v>
      </c>
      <c r="BJ679" s="183"/>
      <c r="BK679" s="183" t="s">
        <v>54</v>
      </c>
      <c r="BL679" s="184"/>
      <c r="BM679" s="129" t="s">
        <v>55</v>
      </c>
      <c r="BN679" s="130"/>
      <c r="BO679" s="131" t="s">
        <v>56</v>
      </c>
      <c r="BP679" s="179"/>
      <c r="BQ679" s="170"/>
    </row>
    <row r="680" spans="1:73">
      <c r="A680" s="77"/>
      <c r="B680" s="77"/>
      <c r="C680" s="77"/>
      <c r="D680" s="141"/>
      <c r="E680" s="84"/>
      <c r="F680" s="83" t="s">
        <v>57</v>
      </c>
      <c r="G680" s="84" t="s">
        <v>58</v>
      </c>
      <c r="H680" s="84"/>
      <c r="I680" s="149"/>
      <c r="J680" s="145"/>
      <c r="K680" s="143"/>
      <c r="L680" s="85" t="s">
        <v>57</v>
      </c>
      <c r="M680" s="85" t="s">
        <v>58</v>
      </c>
      <c r="N680" s="83"/>
      <c r="O680" s="145"/>
      <c r="P680" s="175"/>
      <c r="Q680" s="178"/>
      <c r="R680" s="78" t="s">
        <v>57</v>
      </c>
      <c r="S680" s="79" t="s">
        <v>58</v>
      </c>
      <c r="T680" s="79"/>
      <c r="U680" s="134"/>
      <c r="V680" s="134"/>
      <c r="W680" s="140"/>
      <c r="X680" s="80" t="s">
        <v>57</v>
      </c>
      <c r="Y680" s="80" t="s">
        <v>58</v>
      </c>
      <c r="Z680" s="78"/>
      <c r="AA680" s="168"/>
      <c r="AC680" s="171"/>
      <c r="AD680" s="40" t="s">
        <v>57</v>
      </c>
      <c r="AE680" s="39" t="s">
        <v>58</v>
      </c>
      <c r="AF680" s="174"/>
      <c r="AG680" s="36" t="s">
        <v>59</v>
      </c>
      <c r="AH680" s="44" t="s">
        <v>58</v>
      </c>
      <c r="AI680" s="165"/>
      <c r="AJ680" s="162"/>
      <c r="AK680" s="36" t="s">
        <v>59</v>
      </c>
      <c r="AL680" s="36" t="s">
        <v>58</v>
      </c>
      <c r="AM680" s="36" t="s">
        <v>59</v>
      </c>
      <c r="AN680" s="36" t="s">
        <v>58</v>
      </c>
      <c r="AO680" s="36" t="s">
        <v>59</v>
      </c>
      <c r="AP680" s="36" t="s">
        <v>58</v>
      </c>
      <c r="AQ680" s="36" t="s">
        <v>59</v>
      </c>
      <c r="AR680" s="36" t="s">
        <v>58</v>
      </c>
      <c r="AS680" s="36" t="s">
        <v>59</v>
      </c>
      <c r="AT680" s="36" t="s">
        <v>58</v>
      </c>
      <c r="AU680" s="36" t="s">
        <v>59</v>
      </c>
      <c r="AV680" s="36" t="s">
        <v>58</v>
      </c>
      <c r="AW680" s="36" t="s">
        <v>59</v>
      </c>
      <c r="AX680" s="36" t="s">
        <v>58</v>
      </c>
      <c r="AY680" s="36" t="s">
        <v>59</v>
      </c>
      <c r="AZ680" s="36" t="s">
        <v>58</v>
      </c>
      <c r="BA680" s="36" t="s">
        <v>59</v>
      </c>
      <c r="BB680" s="36" t="s">
        <v>58</v>
      </c>
      <c r="BC680" s="36" t="s">
        <v>59</v>
      </c>
      <c r="BD680" s="36" t="s">
        <v>58</v>
      </c>
      <c r="BE680" s="36" t="s">
        <v>59</v>
      </c>
      <c r="BF680" s="36" t="s">
        <v>58</v>
      </c>
      <c r="BG680" s="36" t="s">
        <v>59</v>
      </c>
      <c r="BH680" s="36" t="s">
        <v>58</v>
      </c>
      <c r="BI680" s="36" t="s">
        <v>59</v>
      </c>
      <c r="BJ680" s="36" t="s">
        <v>58</v>
      </c>
      <c r="BK680" s="36" t="s">
        <v>59</v>
      </c>
      <c r="BL680" s="45" t="s">
        <v>58</v>
      </c>
      <c r="BM680" s="128" t="s">
        <v>59</v>
      </c>
      <c r="BN680" s="128" t="s">
        <v>58</v>
      </c>
      <c r="BO680" s="39"/>
      <c r="BP680" s="180"/>
      <c r="BQ680" s="171"/>
    </row>
    <row r="681" spans="1:73" hidden="true">
      <c r="D681" s="9" t="s">
        <v>10</v>
      </c>
      <c r="E681" s="6">
        <v>45352</v>
      </c>
      <c r="F681" s="38"/>
      <c r="G681" s="51"/>
      <c r="H681" s="4">
        <f>F4*50%</f>
        <v>7025.65</v>
      </c>
      <c r="I681" s="120">
        <v>1995</v>
      </c>
      <c r="J681" s="4">
        <f>(G681+H681)-I681</f>
        <v>5030.65</v>
      </c>
      <c r="K681" s="4">
        <f>J681</f>
        <v>5030.65</v>
      </c>
      <c r="L681" s="3"/>
      <c r="M681" s="3">
        <v>50</v>
      </c>
      <c r="N681" s="25">
        <f>I681+M681</f>
        <v>2045</v>
      </c>
      <c r="O681" s="28">
        <f>K681-M681</f>
        <v>4980.65</v>
      </c>
      <c r="P681" s="9" t="s">
        <v>10</v>
      </c>
      <c r="Q681" s="2">
        <v>45352</v>
      </c>
      <c r="R681" s="38"/>
      <c r="S681" s="52"/>
      <c r="T681" s="4">
        <f>R4*45%</f>
        <v>3706.65</v>
      </c>
      <c r="U681" s="5">
        <v>1410</v>
      </c>
      <c r="V681" s="4">
        <f>(S681+T681)-U681</f>
        <v>2296.65</v>
      </c>
      <c r="W681" s="4">
        <f>V681</f>
        <v>2296.65</v>
      </c>
      <c r="X681" s="7"/>
      <c r="Y681" s="7"/>
      <c r="Z681" s="25">
        <f>U681+Y681</f>
        <v>1410</v>
      </c>
      <c r="AA681" s="76">
        <f>W681-Y681</f>
        <v>2296.65</v>
      </c>
      <c r="AB681" s="9" t="s">
        <v>10</v>
      </c>
      <c r="AC681" s="19">
        <v>45352</v>
      </c>
      <c r="AD681" s="41"/>
      <c r="AE681" s="42"/>
      <c r="AF681" s="4">
        <f>AD4-H681-T681</f>
        <v>11556</v>
      </c>
      <c r="AG681" s="7"/>
      <c r="AH681" s="18">
        <v>1497</v>
      </c>
      <c r="AI681" s="4">
        <f>(AE681+AF681)-AH681</f>
        <v>10059</v>
      </c>
      <c r="AJ681" s="4">
        <f>AI681</f>
        <v>10059</v>
      </c>
      <c r="AK681" s="18"/>
      <c r="AL681" s="8">
        <f>(3000+20)</f>
        <v>3020</v>
      </c>
      <c r="AM681" s="46"/>
      <c r="AN681" s="46"/>
      <c r="AO681" s="18"/>
      <c r="AP681" s="18"/>
      <c r="AQ681" s="46"/>
      <c r="AR681" s="46"/>
      <c r="AS681" s="18"/>
      <c r="AT681" s="18"/>
      <c r="AU681" s="46"/>
      <c r="AV681" s="46"/>
      <c r="AW681" s="18"/>
      <c r="AX681" s="18"/>
      <c r="AY681" s="46"/>
      <c r="AZ681" s="46"/>
      <c r="BA681" s="18"/>
      <c r="BB681" s="18"/>
      <c r="BC681" s="46"/>
      <c r="BD681" s="46"/>
      <c r="BE681" s="18"/>
      <c r="BF681" s="18"/>
      <c r="BG681" s="46"/>
      <c r="BH681" s="46"/>
      <c r="BI681" s="18"/>
      <c r="BJ681" s="7"/>
      <c r="BK681" s="46"/>
      <c r="BL681" s="46"/>
      <c r="BM681" s="46"/>
      <c r="BN681" s="46"/>
      <c r="BO681" s="24">
        <f>AL681+AN681+AP681+AR681+AT681+AV681+AX681+AZ681+BB681+BD681+BF681+BH681+BJ681+BL681</f>
        <v>3020</v>
      </c>
      <c r="BP681" s="28">
        <f>AJ681-BO681</f>
        <v>7039</v>
      </c>
      <c r="BQ681" s="6">
        <v>45352</v>
      </c>
    </row>
    <row r="682" spans="1:73" hidden="true">
      <c r="D682" s="9" t="s">
        <v>11</v>
      </c>
      <c r="E682" s="2">
        <v>45353</v>
      </c>
      <c r="F682" s="38"/>
      <c r="G682" s="51"/>
      <c r="H682" s="4">
        <f>F5*50%</f>
        <v>6040.35</v>
      </c>
      <c r="I682" s="120">
        <v>2011</v>
      </c>
      <c r="J682" s="4">
        <f>(G682+H682)-I682</f>
        <v>4029.35</v>
      </c>
      <c r="K682" s="4">
        <f>J682+O681</f>
        <v>9010</v>
      </c>
      <c r="L682" s="3"/>
      <c r="M682" s="3"/>
      <c r="N682" s="25">
        <f>I682+M682</f>
        <v>2011</v>
      </c>
      <c r="O682" s="28">
        <f>K682-M682</f>
        <v>9010</v>
      </c>
      <c r="P682" s="9" t="s">
        <v>11</v>
      </c>
      <c r="Q682" s="2">
        <v>45353</v>
      </c>
      <c r="R682" s="38"/>
      <c r="S682" s="52"/>
      <c r="T682" s="4">
        <f>R5*45%</f>
        <v>6139.35</v>
      </c>
      <c r="U682" s="5">
        <v>776</v>
      </c>
      <c r="V682" s="4">
        <f>(S682+T682)-U682</f>
        <v>5363.35</v>
      </c>
      <c r="W682" s="4">
        <f>V682+AA681</f>
        <v>7660</v>
      </c>
      <c r="X682" s="3"/>
      <c r="Y682" s="3"/>
      <c r="Z682" s="25">
        <f>U682+Y682</f>
        <v>776</v>
      </c>
      <c r="AA682" s="76">
        <f>W682-Y682</f>
        <v>7660</v>
      </c>
      <c r="AB682" s="9" t="s">
        <v>11</v>
      </c>
      <c r="AC682" s="19">
        <v>45353</v>
      </c>
      <c r="AD682" s="41"/>
      <c r="AE682" s="42"/>
      <c r="AF682" s="4">
        <f>AD5-H682-T682</f>
        <v>13544</v>
      </c>
      <c r="AG682" s="3"/>
      <c r="AH682" s="8">
        <v>1440</v>
      </c>
      <c r="AI682" s="4">
        <f>(AE682+AF682)-AH682</f>
        <v>12104</v>
      </c>
      <c r="AJ682" s="4">
        <f>AI682+BP681</f>
        <v>19143</v>
      </c>
      <c r="AK682" s="8"/>
      <c r="AL682" s="8">
        <f>(2000+1000+3500+1500+500)</f>
        <v>8500</v>
      </c>
      <c r="AM682" s="47"/>
      <c r="AN682" s="47"/>
      <c r="AO682" s="8"/>
      <c r="AP682" s="8"/>
      <c r="AQ682" s="47"/>
      <c r="AR682" s="47"/>
      <c r="AS682" s="8"/>
      <c r="AT682" s="8"/>
      <c r="AU682" s="47"/>
      <c r="AV682" s="47"/>
      <c r="AW682" s="8"/>
      <c r="AX682" s="8"/>
      <c r="AY682" s="47"/>
      <c r="AZ682" s="47"/>
      <c r="BA682" s="8"/>
      <c r="BB682" s="8"/>
      <c r="BC682" s="47"/>
      <c r="BD682" s="47"/>
      <c r="BE682" s="8"/>
      <c r="BF682" s="8"/>
      <c r="BG682" s="47"/>
      <c r="BH682" s="47"/>
      <c r="BI682" s="8"/>
      <c r="BJ682" s="3"/>
      <c r="BK682" s="47"/>
      <c r="BL682" s="47"/>
      <c r="BM682" s="46"/>
      <c r="BN682" s="46"/>
      <c r="BO682" s="24">
        <f>AL682+AN682+AP682+AR682+AT682+AV682+AX682+AZ682+BB682+BD682+BF682+BH682+BJ682+BL682</f>
        <v>8500</v>
      </c>
      <c r="BP682" s="28">
        <f>AJ682-BO682</f>
        <v>10643</v>
      </c>
      <c r="BQ682" s="2">
        <v>45353</v>
      </c>
    </row>
    <row r="683" spans="1:73" hidden="true">
      <c r="D683" s="9" t="s">
        <v>12</v>
      </c>
      <c r="E683" s="2">
        <v>45354</v>
      </c>
      <c r="F683" s="38"/>
      <c r="G683" s="51"/>
      <c r="H683" s="4">
        <f>F6*50%</f>
        <v>6807.65</v>
      </c>
      <c r="I683" s="120">
        <v>0</v>
      </c>
      <c r="J683" s="4">
        <f>(G683+H683)-I683</f>
        <v>6807.65</v>
      </c>
      <c r="K683" s="4">
        <f>J683+O682</f>
        <v>15817.65</v>
      </c>
      <c r="L683" s="3"/>
      <c r="M683" s="3">
        <f>(1825+5000)</f>
        <v>6825</v>
      </c>
      <c r="N683" s="25">
        <f>I683+M683</f>
        <v>6825</v>
      </c>
      <c r="O683" s="28">
        <f>K683-M683</f>
        <v>8992.65</v>
      </c>
      <c r="P683" s="9" t="s">
        <v>12</v>
      </c>
      <c r="Q683" s="2">
        <v>45354</v>
      </c>
      <c r="R683" s="38"/>
      <c r="S683" s="52"/>
      <c r="T683" s="4">
        <f>R6*45%</f>
        <v>3726</v>
      </c>
      <c r="U683" s="5">
        <v>0</v>
      </c>
      <c r="V683" s="4">
        <f>(S683+T683)-U683</f>
        <v>3726</v>
      </c>
      <c r="W683" s="4">
        <f>V683+AA682</f>
        <v>11386</v>
      </c>
      <c r="X683" s="3"/>
      <c r="Y683" s="3"/>
      <c r="Z683" s="25">
        <f>U683+Y683</f>
        <v>0</v>
      </c>
      <c r="AA683" s="76">
        <f>W683-Y683</f>
        <v>11386</v>
      </c>
      <c r="AB683" s="9" t="s">
        <v>12</v>
      </c>
      <c r="AC683" s="19">
        <v>45354</v>
      </c>
      <c r="AD683" s="41"/>
      <c r="AE683" s="42"/>
      <c r="AF683" s="4">
        <f>AD6-H683-T683</f>
        <v>11361.65</v>
      </c>
      <c r="AG683" s="3"/>
      <c r="AH683" s="8">
        <v>907</v>
      </c>
      <c r="AI683" s="4">
        <f>(AE683+AF683)-AH683</f>
        <v>10454.65</v>
      </c>
      <c r="AJ683" s="4">
        <f>AI683+BP682</f>
        <v>21097.65</v>
      </c>
      <c r="AK683" s="8"/>
      <c r="AL683" s="8">
        <f>(3384)</f>
        <v>3384</v>
      </c>
      <c r="AM683" s="47"/>
      <c r="AN683" s="47"/>
      <c r="AO683" s="8"/>
      <c r="AP683" s="8"/>
      <c r="AQ683" s="47"/>
      <c r="AR683" s="47"/>
      <c r="AS683" s="8"/>
      <c r="AT683" s="8"/>
      <c r="AU683" s="47"/>
      <c r="AV683" s="47"/>
      <c r="AW683" s="8"/>
      <c r="AX683" s="8"/>
      <c r="AY683" s="47"/>
      <c r="AZ683" s="47"/>
      <c r="BA683" s="8"/>
      <c r="BB683" s="8"/>
      <c r="BC683" s="47"/>
      <c r="BD683" s="47"/>
      <c r="BE683" s="8"/>
      <c r="BF683" s="8"/>
      <c r="BG683" s="47"/>
      <c r="BH683" s="47"/>
      <c r="BI683" s="8"/>
      <c r="BJ683" s="3"/>
      <c r="BK683" s="47"/>
      <c r="BL683" s="47"/>
      <c r="BM683" s="46"/>
      <c r="BN683" s="46"/>
      <c r="BO683" s="24">
        <f>AL683+AN683+AP683+AR683+AT683+AV683+AX683+AZ683+BB683+BD683+BF683+BH683+BJ683+BL683</f>
        <v>3384</v>
      </c>
      <c r="BP683" s="28">
        <f>AJ683-BO683</f>
        <v>17713.65</v>
      </c>
      <c r="BQ683" s="2">
        <v>45354</v>
      </c>
    </row>
    <row r="684" spans="1:73" hidden="true">
      <c r="D684" s="9" t="s">
        <v>13</v>
      </c>
      <c r="E684" s="2">
        <v>45355</v>
      </c>
      <c r="F684" s="38"/>
      <c r="G684" s="51"/>
      <c r="H684" s="4">
        <f>F7*50%</f>
        <v>5432.65</v>
      </c>
      <c r="I684" s="120">
        <v>1718</v>
      </c>
      <c r="J684" s="4">
        <f>(G684+H684)-I684</f>
        <v>3714.65</v>
      </c>
      <c r="K684" s="4">
        <f>J684+O683</f>
        <v>12707.3</v>
      </c>
      <c r="L684" s="3"/>
      <c r="M684" s="3">
        <v>9118</v>
      </c>
      <c r="N684" s="25">
        <f>I684+M684</f>
        <v>10836</v>
      </c>
      <c r="O684" s="28">
        <f>K684-M684</f>
        <v>3589.3</v>
      </c>
      <c r="P684" s="9" t="s">
        <v>13</v>
      </c>
      <c r="Q684" s="2">
        <v>45355</v>
      </c>
      <c r="R684" s="38"/>
      <c r="S684" s="52"/>
      <c r="T684" s="4">
        <f>R7*45%</f>
        <v>2593.35</v>
      </c>
      <c r="U684" s="5">
        <v>0</v>
      </c>
      <c r="V684" s="4">
        <f>(S684+T684)-U684</f>
        <v>2593.35</v>
      </c>
      <c r="W684" s="4">
        <f>V684+AA683</f>
        <v>13979.35</v>
      </c>
      <c r="X684" s="3"/>
      <c r="Y684" s="3"/>
      <c r="Z684" s="25">
        <f>U684+Y684</f>
        <v>0</v>
      </c>
      <c r="AA684" s="76">
        <f>W684-Y684</f>
        <v>13979.35</v>
      </c>
      <c r="AB684" s="9" t="s">
        <v>13</v>
      </c>
      <c r="AC684" s="19">
        <v>45355</v>
      </c>
      <c r="AD684" s="41"/>
      <c r="AE684" s="42"/>
      <c r="AF684" s="4">
        <f>AD7-H684-T684</f>
        <v>8602.3</v>
      </c>
      <c r="AG684" s="3"/>
      <c r="AH684" s="8">
        <v>473</v>
      </c>
      <c r="AI684" s="4">
        <f>(AE684+AF684)-AH684</f>
        <v>8129.3</v>
      </c>
      <c r="AJ684" s="4">
        <f>AI684+BP683</f>
        <v>25842.95</v>
      </c>
      <c r="AK684" s="8"/>
      <c r="AL684" s="8">
        <f>(3000+479+10000)</f>
        <v>13479</v>
      </c>
      <c r="AM684" s="47"/>
      <c r="AN684" s="47"/>
      <c r="AO684" s="8"/>
      <c r="AP684" s="8"/>
      <c r="AQ684" s="47"/>
      <c r="AR684" s="47"/>
      <c r="AS684" s="8"/>
      <c r="AT684" s="8"/>
      <c r="AU684" s="47"/>
      <c r="AV684" s="47"/>
      <c r="AW684" s="8"/>
      <c r="AX684" s="8"/>
      <c r="AY684" s="47"/>
      <c r="AZ684" s="47"/>
      <c r="BA684" s="8"/>
      <c r="BB684" s="8"/>
      <c r="BC684" s="47"/>
      <c r="BD684" s="47"/>
      <c r="BE684" s="8"/>
      <c r="BF684" s="8"/>
      <c r="BG684" s="47"/>
      <c r="BH684" s="47"/>
      <c r="BI684" s="8"/>
      <c r="BJ684" s="3"/>
      <c r="BK684" s="47"/>
      <c r="BL684" s="47"/>
      <c r="BM684" s="46"/>
      <c r="BN684" s="46"/>
      <c r="BO684" s="24">
        <f>AL684+AN684+AP684+AR684+AT684+AV684+AX684+AZ684+BB684+BD684+BF684+BH684+BJ684+BL684</f>
        <v>13479</v>
      </c>
      <c r="BP684" s="28">
        <f>AJ684-BO684</f>
        <v>12363.95</v>
      </c>
      <c r="BQ684" s="2">
        <v>45355</v>
      </c>
    </row>
    <row r="685" spans="1:73" hidden="true">
      <c r="D685" s="9" t="s">
        <v>14</v>
      </c>
      <c r="E685" s="2">
        <v>45356</v>
      </c>
      <c r="F685" s="38"/>
      <c r="G685" s="51"/>
      <c r="H685" s="4">
        <f>F8*50%</f>
        <v>6800.325</v>
      </c>
      <c r="I685" s="120">
        <v>1249</v>
      </c>
      <c r="J685" s="4">
        <f>(G685+H685)-I685</f>
        <v>5551.325</v>
      </c>
      <c r="K685" s="4">
        <f>J685+O684</f>
        <v>9140.625</v>
      </c>
      <c r="L685" s="3"/>
      <c r="M685" s="3"/>
      <c r="N685" s="25">
        <f>I685+M685</f>
        <v>1249</v>
      </c>
      <c r="O685" s="28">
        <f>K685-M685</f>
        <v>9140.625</v>
      </c>
      <c r="P685" s="9" t="s">
        <v>14</v>
      </c>
      <c r="Q685" s="2">
        <v>45356</v>
      </c>
      <c r="R685" s="38"/>
      <c r="S685" s="52"/>
      <c r="T685" s="4">
        <f>R8*45%</f>
        <v>4570.2</v>
      </c>
      <c r="U685" s="5">
        <v>0</v>
      </c>
      <c r="V685" s="4">
        <f>(S685+T685)-U685</f>
        <v>4570.2</v>
      </c>
      <c r="W685" s="4">
        <f>V685+AA684</f>
        <v>18549.55</v>
      </c>
      <c r="X685" s="3"/>
      <c r="Y685" s="3"/>
      <c r="Z685" s="25">
        <f>U685+Y685</f>
        <v>0</v>
      </c>
      <c r="AA685" s="76">
        <f>W685-Y685</f>
        <v>18549.55</v>
      </c>
      <c r="AB685" s="9" t="s">
        <v>14</v>
      </c>
      <c r="AC685" s="19">
        <v>45356</v>
      </c>
      <c r="AD685" s="41"/>
      <c r="AE685" s="42"/>
      <c r="AF685" s="4">
        <f>AD8-H685-T685</f>
        <v>12386.125</v>
      </c>
      <c r="AG685" s="3"/>
      <c r="AH685" s="8">
        <v>881</v>
      </c>
      <c r="AI685" s="4">
        <f>(AE685+AF685)-AH685</f>
        <v>11505.125</v>
      </c>
      <c r="AJ685" s="4">
        <f>AI685+BP684</f>
        <v>23869.075</v>
      </c>
      <c r="AK685" s="8"/>
      <c r="AL685" s="8">
        <f>(500+10564+4476+2551+1800+1000+3950+2000)</f>
        <v>26841</v>
      </c>
      <c r="AM685" s="47"/>
      <c r="AN685" s="47"/>
      <c r="AO685" s="8"/>
      <c r="AP685" s="8"/>
      <c r="AQ685" s="47"/>
      <c r="AR685" s="47"/>
      <c r="AS685" s="8"/>
      <c r="AT685" s="8"/>
      <c r="AU685" s="47"/>
      <c r="AV685" s="47"/>
      <c r="AW685" s="8"/>
      <c r="AX685" s="8"/>
      <c r="AY685" s="47"/>
      <c r="AZ685" s="47"/>
      <c r="BA685" s="8"/>
      <c r="BB685" s="8"/>
      <c r="BC685" s="47"/>
      <c r="BD685" s="47"/>
      <c r="BE685" s="8"/>
      <c r="BF685" s="8"/>
      <c r="BG685" s="47"/>
      <c r="BH685" s="47"/>
      <c r="BI685" s="8"/>
      <c r="BJ685" s="3"/>
      <c r="BK685" s="47"/>
      <c r="BL685" s="47"/>
      <c r="BM685" s="46"/>
      <c r="BN685" s="46"/>
      <c r="BO685" s="24">
        <f>AL685+AN685+AP685+AR685+AT685+AV685+AX685+AZ685+BB685+BD685+BF685+BH685+BJ685+BL685</f>
        <v>26841</v>
      </c>
      <c r="BP685" s="28">
        <f>AJ685-BO685</f>
        <v>-2971.925</v>
      </c>
      <c r="BQ685" s="2">
        <v>45356</v>
      </c>
    </row>
    <row r="686" spans="1:73" hidden="true">
      <c r="D686" s="9" t="s">
        <v>15</v>
      </c>
      <c r="E686" s="2">
        <v>45357</v>
      </c>
      <c r="F686" s="38"/>
      <c r="G686" s="51"/>
      <c r="H686" s="4">
        <f>F9*50%</f>
        <v>6558.5</v>
      </c>
      <c r="I686" s="120">
        <v>1975</v>
      </c>
      <c r="J686" s="4">
        <f>(G686+H686)-I686</f>
        <v>4583.5</v>
      </c>
      <c r="K686" s="4">
        <f>J686+O685</f>
        <v>13724.125</v>
      </c>
      <c r="L686" s="3"/>
      <c r="M686" s="3">
        <v>3000</v>
      </c>
      <c r="N686" s="25">
        <f>I686+M686</f>
        <v>4975</v>
      </c>
      <c r="O686" s="28">
        <f>K686-M686</f>
        <v>10724.125</v>
      </c>
      <c r="P686" s="9" t="s">
        <v>15</v>
      </c>
      <c r="Q686" s="2">
        <v>45357</v>
      </c>
      <c r="R686" s="38"/>
      <c r="S686" s="52"/>
      <c r="T686" s="4">
        <f>R9*45%</f>
        <v>4662.45</v>
      </c>
      <c r="U686" s="5">
        <v>0</v>
      </c>
      <c r="V686" s="4">
        <f>(S686+T686)-U686</f>
        <v>4662.45</v>
      </c>
      <c r="W686" s="4">
        <f>V686+AA685</f>
        <v>23212</v>
      </c>
      <c r="X686" s="3"/>
      <c r="Y686" s="3"/>
      <c r="Z686" s="25">
        <f>U686+Y686</f>
        <v>0</v>
      </c>
      <c r="AA686" s="76">
        <f>W686-Y686</f>
        <v>23212</v>
      </c>
      <c r="AB686" s="9" t="s">
        <v>15</v>
      </c>
      <c r="AC686" s="19">
        <v>45357</v>
      </c>
      <c r="AD686" s="41"/>
      <c r="AE686" s="42"/>
      <c r="AF686" s="4">
        <f>AD9-H686-T686</f>
        <v>12257.05</v>
      </c>
      <c r="AG686" s="3"/>
      <c r="AH686" s="8">
        <v>623</v>
      </c>
      <c r="AI686" s="4">
        <f>(AE686+AF686)-AH686</f>
        <v>11634.05</v>
      </c>
      <c r="AJ686" s="4">
        <f>AI686+BP685</f>
        <v>8662.125</v>
      </c>
      <c r="AK686" s="3"/>
      <c r="AL686" s="8">
        <f>(9915+1000+1000+720+300+21+2187)</f>
        <v>15143</v>
      </c>
      <c r="AM686" s="47"/>
      <c r="AN686" s="47"/>
      <c r="AO686" s="8"/>
      <c r="AP686" s="8"/>
      <c r="AQ686" s="47"/>
      <c r="AR686" s="47"/>
      <c r="AS686" s="8"/>
      <c r="AT686" s="8"/>
      <c r="AU686" s="47"/>
      <c r="AV686" s="47"/>
      <c r="AW686" s="8"/>
      <c r="AX686" s="8"/>
      <c r="AY686" s="47"/>
      <c r="AZ686" s="47"/>
      <c r="BA686" s="8"/>
      <c r="BB686" s="8"/>
      <c r="BC686" s="47"/>
      <c r="BD686" s="47"/>
      <c r="BE686" s="8"/>
      <c r="BF686" s="8"/>
      <c r="BG686" s="47"/>
      <c r="BH686" s="47"/>
      <c r="BI686" s="8"/>
      <c r="BJ686" s="3"/>
      <c r="BK686" s="47"/>
      <c r="BL686" s="47"/>
      <c r="BM686" s="46"/>
      <c r="BN686" s="46"/>
      <c r="BO686" s="24">
        <f>AL686+AN686+AP686+AR686+AT686+AV686+AX686+AZ686+BB686+BD686+BF686+BH686+BJ686+BL686</f>
        <v>15143</v>
      </c>
      <c r="BP686" s="28">
        <f>AJ686-BO686</f>
        <v>-6480.875</v>
      </c>
      <c r="BQ686" s="2">
        <v>45357</v>
      </c>
    </row>
    <row r="687" spans="1:73" hidden="true">
      <c r="D687" s="9" t="s">
        <v>16</v>
      </c>
      <c r="E687" s="2">
        <v>45358</v>
      </c>
      <c r="F687" s="38"/>
      <c r="G687" s="51"/>
      <c r="H687" s="4">
        <f>F10*50%</f>
        <v>5424.3</v>
      </c>
      <c r="I687" s="120">
        <v>1302</v>
      </c>
      <c r="J687" s="4">
        <f>(G687+H687)-I687</f>
        <v>4122.3</v>
      </c>
      <c r="K687" s="4">
        <f>J687+O686</f>
        <v>14846.425</v>
      </c>
      <c r="L687" s="3"/>
      <c r="M687" s="3"/>
      <c r="N687" s="25">
        <f>I687+M687</f>
        <v>1302</v>
      </c>
      <c r="O687" s="28">
        <f>K687-M687</f>
        <v>14846.425</v>
      </c>
      <c r="P687" s="9" t="s">
        <v>16</v>
      </c>
      <c r="Q687" s="2">
        <v>45358</v>
      </c>
      <c r="R687" s="38"/>
      <c r="S687" s="52"/>
      <c r="T687" s="4">
        <f>R10*45%</f>
        <v>2748.6</v>
      </c>
      <c r="U687" s="5">
        <v>0</v>
      </c>
      <c r="V687" s="4">
        <f>(S687+T687)-U687</f>
        <v>2748.6</v>
      </c>
      <c r="W687" s="4">
        <f>V687+AA686</f>
        <v>25960.6</v>
      </c>
      <c r="X687" s="3"/>
      <c r="Y687" s="3"/>
      <c r="Z687" s="25">
        <f>U687+Y687</f>
        <v>0</v>
      </c>
      <c r="AA687" s="76">
        <f>W687-Y687</f>
        <v>25960.6</v>
      </c>
      <c r="AB687" s="9" t="s">
        <v>16</v>
      </c>
      <c r="AC687" s="19">
        <v>45358</v>
      </c>
      <c r="AD687" s="41"/>
      <c r="AE687" s="42"/>
      <c r="AF687" s="4">
        <f>AD10-H687-T687</f>
        <v>8783.7</v>
      </c>
      <c r="AG687" s="3"/>
      <c r="AH687" s="8">
        <v>391</v>
      </c>
      <c r="AI687" s="4">
        <f>(AE687+AF687)-AH687</f>
        <v>8392.7</v>
      </c>
      <c r="AJ687" s="4">
        <f>AI687+BP686</f>
        <v>1911.825</v>
      </c>
      <c r="AK687" s="3"/>
      <c r="AL687" s="8">
        <f>(1000+3000+220+2147+2087+2323+3103+1557+8875)</f>
        <v>24312</v>
      </c>
      <c r="AM687" s="47"/>
      <c r="AN687" s="47"/>
      <c r="AO687" s="8"/>
      <c r="AP687" s="8"/>
      <c r="AQ687" s="47"/>
      <c r="AR687" s="47"/>
      <c r="AS687" s="8"/>
      <c r="AT687" s="8"/>
      <c r="AU687" s="47"/>
      <c r="AV687" s="47"/>
      <c r="AW687" s="8"/>
      <c r="AX687" s="8"/>
      <c r="AY687" s="47"/>
      <c r="AZ687" s="47"/>
      <c r="BA687" s="8"/>
      <c r="BB687" s="8"/>
      <c r="BC687" s="47"/>
      <c r="BD687" s="47"/>
      <c r="BE687" s="8"/>
      <c r="BF687" s="8"/>
      <c r="BG687" s="47"/>
      <c r="BH687" s="47"/>
      <c r="BI687" s="8"/>
      <c r="BJ687" s="3"/>
      <c r="BK687" s="47"/>
      <c r="BL687" s="47"/>
      <c r="BM687" s="46"/>
      <c r="BN687" s="46"/>
      <c r="BO687" s="24">
        <f>AL687+AN687+AP687+AR687+AT687+AV687+AX687+AZ687+BB687+BD687+BF687+BH687+BJ687+BL687</f>
        <v>24312</v>
      </c>
      <c r="BP687" s="28">
        <f>AJ687-BO687</f>
        <v>-22400.175</v>
      </c>
      <c r="BQ687" s="2">
        <v>45358</v>
      </c>
    </row>
    <row r="688" spans="1:73" hidden="true">
      <c r="D688" s="9" t="s">
        <v>10</v>
      </c>
      <c r="E688" s="2">
        <v>45359</v>
      </c>
      <c r="F688" s="38"/>
      <c r="G688" s="51"/>
      <c r="H688" s="4">
        <f>F11*50%</f>
        <v>5360.175</v>
      </c>
      <c r="I688" s="120">
        <v>2174</v>
      </c>
      <c r="J688" s="4">
        <f>(G688+H688)-I688</f>
        <v>3186.175</v>
      </c>
      <c r="K688" s="4">
        <f>J688+O687</f>
        <v>18032.6</v>
      </c>
      <c r="L688" s="3"/>
      <c r="M688" s="3">
        <v>5447</v>
      </c>
      <c r="N688" s="25">
        <f>I688+M688</f>
        <v>7621</v>
      </c>
      <c r="O688" s="28">
        <f>K688-M688</f>
        <v>12585.6</v>
      </c>
      <c r="P688" s="9" t="s">
        <v>10</v>
      </c>
      <c r="Q688" s="2">
        <v>45359</v>
      </c>
      <c r="R688" s="38"/>
      <c r="S688" s="52"/>
      <c r="T688" s="4">
        <f>R11*45%</f>
        <v>3687.75</v>
      </c>
      <c r="U688" s="5">
        <v>0</v>
      </c>
      <c r="V688" s="4">
        <f>(S688+T688)-U688</f>
        <v>3687.75</v>
      </c>
      <c r="W688" s="4">
        <f>V688+AA687</f>
        <v>29648.35</v>
      </c>
      <c r="X688" s="3" t="s">
        <v>60</v>
      </c>
      <c r="Y688" s="3">
        <v>12853</v>
      </c>
      <c r="Z688" s="25">
        <f>U688+Y688</f>
        <v>12853</v>
      </c>
      <c r="AA688" s="76">
        <f>W688-Y688</f>
        <v>16795.35</v>
      </c>
      <c r="AB688" s="9" t="s">
        <v>10</v>
      </c>
      <c r="AC688" s="19">
        <v>45359</v>
      </c>
      <c r="AD688" s="41"/>
      <c r="AE688" s="42"/>
      <c r="AF688" s="4">
        <f>AD11-H688-T688</f>
        <v>9867.425</v>
      </c>
      <c r="AG688" s="3"/>
      <c r="AH688" s="8">
        <f>(500+811.5)</f>
        <v>1311.5</v>
      </c>
      <c r="AI688" s="4">
        <f>(AE688+AF688)-AH688</f>
        <v>8555.925</v>
      </c>
      <c r="AJ688" s="4">
        <f>AI688+BP687</f>
        <v>-13844.25</v>
      </c>
      <c r="AK688" s="3" t="s">
        <v>61</v>
      </c>
      <c r="AL688" s="8">
        <f>(5000+1080)</f>
        <v>6080</v>
      </c>
      <c r="AM688" s="47"/>
      <c r="AN688" s="47"/>
      <c r="AO688" s="8"/>
      <c r="AP688" s="8"/>
      <c r="AQ688" s="47"/>
      <c r="AR688" s="47"/>
      <c r="AS688" s="8"/>
      <c r="AT688" s="8"/>
      <c r="AU688" s="47"/>
      <c r="AV688" s="47"/>
      <c r="AW688" s="8"/>
      <c r="AX688" s="8"/>
      <c r="AY688" s="47"/>
      <c r="AZ688" s="47"/>
      <c r="BA688" s="8"/>
      <c r="BB688" s="8"/>
      <c r="BC688" s="47"/>
      <c r="BD688" s="47"/>
      <c r="BE688" s="8"/>
      <c r="BF688" s="8"/>
      <c r="BG688" s="47"/>
      <c r="BH688" s="47"/>
      <c r="BI688" s="8"/>
      <c r="BJ688" s="3"/>
      <c r="BK688" s="47" t="s">
        <v>62</v>
      </c>
      <c r="BL688" s="47">
        <f>(500+1000+300)</f>
        <v>1800</v>
      </c>
      <c r="BM688" s="46"/>
      <c r="BN688" s="46"/>
      <c r="BO688" s="24">
        <f>AL688+AN688+AP688+AR688+AT688+AV688+AX688+AZ688+BB688+BD688+BF688+BH688+BJ688+BL688</f>
        <v>7880</v>
      </c>
      <c r="BP688" s="28">
        <f>AJ688-BO688</f>
        <v>-21724.25</v>
      </c>
      <c r="BQ688" s="2">
        <v>45359</v>
      </c>
    </row>
    <row r="689" spans="1:73" hidden="true">
      <c r="D689" s="9" t="s">
        <v>11</v>
      </c>
      <c r="E689" s="2">
        <v>45360</v>
      </c>
      <c r="F689" s="38"/>
      <c r="G689" s="51"/>
      <c r="H689" s="4">
        <f>F12*50%</f>
        <v>6346.075</v>
      </c>
      <c r="I689" s="120">
        <v>1005</v>
      </c>
      <c r="J689" s="4">
        <f>(G689+H689)-I689</f>
        <v>5341.075</v>
      </c>
      <c r="K689" s="4">
        <f>J689+O688</f>
        <v>17926.675</v>
      </c>
      <c r="L689" s="3"/>
      <c r="M689" s="3"/>
      <c r="N689" s="25">
        <f>I689+M689</f>
        <v>1005</v>
      </c>
      <c r="O689" s="28">
        <f>K689-M689</f>
        <v>17926.675</v>
      </c>
      <c r="P689" s="9" t="s">
        <v>11</v>
      </c>
      <c r="Q689" s="2">
        <v>45360</v>
      </c>
      <c r="R689" s="38"/>
      <c r="S689" s="52"/>
      <c r="T689" s="4">
        <f>R12*45%</f>
        <v>3674.25</v>
      </c>
      <c r="U689" s="5">
        <v>0</v>
      </c>
      <c r="V689" s="4">
        <f>(S689+T689)-U689</f>
        <v>3674.25</v>
      </c>
      <c r="W689" s="4">
        <f>V689+AA688</f>
        <v>20469.6</v>
      </c>
      <c r="X689" s="3"/>
      <c r="Y689" s="3"/>
      <c r="Z689" s="25">
        <f>U689+Y689</f>
        <v>0</v>
      </c>
      <c r="AA689" s="76">
        <f>W689-Y689</f>
        <v>20469.6</v>
      </c>
      <c r="AB689" s="9" t="s">
        <v>11</v>
      </c>
      <c r="AC689" s="19">
        <v>45360</v>
      </c>
      <c r="AD689" s="41"/>
      <c r="AE689" s="42"/>
      <c r="AF689" s="4">
        <f>AD12-H689-T689</f>
        <v>10836.825</v>
      </c>
      <c r="AG689" s="3"/>
      <c r="AH689" s="8">
        <f>(885.6+750)</f>
        <v>1635.6</v>
      </c>
      <c r="AI689" s="4">
        <f>(AE689+AF689)-AH689</f>
        <v>9201.225</v>
      </c>
      <c r="AJ689" s="4">
        <f>AI689+BP688</f>
        <v>-12523.025</v>
      </c>
      <c r="AK689" s="3" t="s">
        <v>63</v>
      </c>
      <c r="AL689" s="8">
        <f>(1800+5000+2000)</f>
        <v>8800</v>
      </c>
      <c r="AM689" s="47"/>
      <c r="AN689" s="47"/>
      <c r="AO689" s="8"/>
      <c r="AP689" s="8"/>
      <c r="AQ689" s="47"/>
      <c r="AR689" s="47"/>
      <c r="AS689" s="8"/>
      <c r="AT689" s="8"/>
      <c r="AU689" s="47"/>
      <c r="AV689" s="47"/>
      <c r="AW689" s="8"/>
      <c r="AX689" s="8"/>
      <c r="AY689" s="47"/>
      <c r="AZ689" s="47"/>
      <c r="BA689" s="8"/>
      <c r="BB689" s="8"/>
      <c r="BC689" s="47"/>
      <c r="BD689" s="47"/>
      <c r="BE689" s="8"/>
      <c r="BF689" s="8"/>
      <c r="BG689" s="47"/>
      <c r="BH689" s="47"/>
      <c r="BI689" s="8"/>
      <c r="BJ689" s="3"/>
      <c r="BK689" s="47"/>
      <c r="BL689" s="47"/>
      <c r="BM689" s="46"/>
      <c r="BN689" s="46"/>
      <c r="BO689" s="24">
        <f>AL689+AN689+AP689+AR689+AT689+AV689+AX689+AZ689+BB689+BD689+BF689+BH689+BJ689+BL689</f>
        <v>8800</v>
      </c>
      <c r="BP689" s="28">
        <f>AJ689-BO689</f>
        <v>-21323.025</v>
      </c>
      <c r="BQ689" s="2">
        <v>45360</v>
      </c>
    </row>
    <row r="690" spans="1:73" hidden="true">
      <c r="D690" s="9" t="s">
        <v>12</v>
      </c>
      <c r="E690" s="2">
        <v>45361</v>
      </c>
      <c r="F690" s="38"/>
      <c r="G690" s="51"/>
      <c r="H690" s="4">
        <f>F13*50%</f>
        <v>5644.85</v>
      </c>
      <c r="I690" s="120">
        <v>0</v>
      </c>
      <c r="J690" s="4">
        <f>(G690+H690)-I690</f>
        <v>5644.85</v>
      </c>
      <c r="K690" s="4">
        <f>J690+O689</f>
        <v>23571.525</v>
      </c>
      <c r="L690" s="3"/>
      <c r="M690" s="3"/>
      <c r="N690" s="25">
        <f>I690+M690</f>
        <v>0</v>
      </c>
      <c r="O690" s="28">
        <f>K690-M690</f>
        <v>23571.525</v>
      </c>
      <c r="P690" s="9" t="s">
        <v>12</v>
      </c>
      <c r="Q690" s="2">
        <v>45361</v>
      </c>
      <c r="R690" s="38"/>
      <c r="S690" s="52"/>
      <c r="T690" s="4">
        <f>R13*45%</f>
        <v>2589.3</v>
      </c>
      <c r="U690" s="5">
        <v>0</v>
      </c>
      <c r="V690" s="4">
        <f>(S690+T690)-U690</f>
        <v>2589.3</v>
      </c>
      <c r="W690" s="4">
        <f>V690+AA689</f>
        <v>23058.9</v>
      </c>
      <c r="X690" s="3"/>
      <c r="Y690" s="3"/>
      <c r="Z690" s="25">
        <f>U690+Y690</f>
        <v>0</v>
      </c>
      <c r="AA690" s="76">
        <f>W690-Y690</f>
        <v>23058.9</v>
      </c>
      <c r="AB690" s="9" t="s">
        <v>12</v>
      </c>
      <c r="AC690" s="19">
        <v>45361</v>
      </c>
      <c r="AD690" s="41"/>
      <c r="AE690" s="42"/>
      <c r="AF690" s="4">
        <f>AD13-H690-T690</f>
        <v>8809.55</v>
      </c>
      <c r="AG690" s="3"/>
      <c r="AH690" s="8">
        <f>(3590+433)</f>
        <v>4023</v>
      </c>
      <c r="AI690" s="4">
        <f>(AE690+AF690)-AH690</f>
        <v>4786.55</v>
      </c>
      <c r="AJ690" s="4">
        <f>AI690+BP689</f>
        <v>-16536.475</v>
      </c>
      <c r="AK690" s="3" t="s">
        <v>64</v>
      </c>
      <c r="AL690" s="8">
        <f>(1800+5000)</f>
        <v>6800</v>
      </c>
      <c r="AM690" s="47"/>
      <c r="AN690" s="47"/>
      <c r="AO690" s="8"/>
      <c r="AP690" s="8"/>
      <c r="AQ690" s="47"/>
      <c r="AR690" s="47"/>
      <c r="AS690" s="8"/>
      <c r="AT690" s="8"/>
      <c r="AU690" s="47"/>
      <c r="AV690" s="47"/>
      <c r="AW690" s="8"/>
      <c r="AX690" s="8"/>
      <c r="AY690" s="47"/>
      <c r="AZ690" s="47"/>
      <c r="BA690" s="8"/>
      <c r="BB690" s="8"/>
      <c r="BC690" s="47"/>
      <c r="BD690" s="47"/>
      <c r="BE690" s="8"/>
      <c r="BF690" s="8"/>
      <c r="BG690" s="47"/>
      <c r="BH690" s="47"/>
      <c r="BI690" s="8"/>
      <c r="BJ690" s="3"/>
      <c r="BK690" s="47"/>
      <c r="BL690" s="47"/>
      <c r="BM690" s="46"/>
      <c r="BN690" s="46"/>
      <c r="BO690" s="24">
        <f>AL690+AN690+AP690+AR690+AT690+AV690+AX690+AZ690+BB690+BD690+BF690+BH690+BJ690+BL690</f>
        <v>6800</v>
      </c>
      <c r="BP690" s="28">
        <f>AJ690-BO690</f>
        <v>-23336.475</v>
      </c>
      <c r="BQ690" s="2">
        <v>45361</v>
      </c>
    </row>
    <row r="691" spans="1:73" hidden="true">
      <c r="D691" s="9" t="s">
        <v>13</v>
      </c>
      <c r="E691" s="2">
        <v>45362</v>
      </c>
      <c r="F691" s="38"/>
      <c r="G691" s="51"/>
      <c r="H691" s="4">
        <f>F14*50%</f>
        <v>3852.55</v>
      </c>
      <c r="I691" s="120">
        <v>4994.6</v>
      </c>
      <c r="J691" s="4">
        <f>(G691+H691)-I691</f>
        <v>-1142.05</v>
      </c>
      <c r="K691" s="4">
        <f>J691+O690</f>
        <v>22429.475</v>
      </c>
      <c r="L691" s="3" t="s">
        <v>65</v>
      </c>
      <c r="M691" s="3">
        <v>9421</v>
      </c>
      <c r="N691" s="25">
        <f>I691+M691</f>
        <v>14415.6</v>
      </c>
      <c r="O691" s="28">
        <f>K691-M691</f>
        <v>13008.475</v>
      </c>
      <c r="P691" s="9" t="s">
        <v>13</v>
      </c>
      <c r="Q691" s="2">
        <v>45362</v>
      </c>
      <c r="R691" s="38"/>
      <c r="S691" s="52"/>
      <c r="T691" s="4">
        <f>R14*45%</f>
        <v>4279.05</v>
      </c>
      <c r="U691" s="5">
        <v>1918</v>
      </c>
      <c r="V691" s="4">
        <f>(S691+T691)-U691</f>
        <v>2361.05</v>
      </c>
      <c r="W691" s="4">
        <f>V691+AA690</f>
        <v>25419.95</v>
      </c>
      <c r="X691" s="3" t="s">
        <v>66</v>
      </c>
      <c r="Y691" s="3">
        <v>7711</v>
      </c>
      <c r="Z691" s="25">
        <f>U691+Y691</f>
        <v>9629</v>
      </c>
      <c r="AA691" s="76">
        <f>W691-Y691</f>
        <v>17708.95</v>
      </c>
      <c r="AB691" s="9" t="s">
        <v>13</v>
      </c>
      <c r="AC691" s="19">
        <v>45362</v>
      </c>
      <c r="AD691" s="41"/>
      <c r="AE691" s="42"/>
      <c r="AF691" s="4">
        <f>AD14-H691-T691</f>
        <v>9082.5</v>
      </c>
      <c r="AG691" s="3"/>
      <c r="AH691" s="8">
        <f>(549.6+1000)</f>
        <v>1549.6</v>
      </c>
      <c r="AI691" s="4">
        <f>(AE691+AF691)-AH691</f>
        <v>7532.9</v>
      </c>
      <c r="AJ691" s="4">
        <f>AI691+BP690</f>
        <v>-15803.575</v>
      </c>
      <c r="AK691" s="3" t="s">
        <v>67</v>
      </c>
      <c r="AL691" s="8">
        <f>(692+5000+1440)</f>
        <v>7132</v>
      </c>
      <c r="AM691" s="47"/>
      <c r="AN691" s="47"/>
      <c r="AO691" s="8"/>
      <c r="AP691" s="8"/>
      <c r="AQ691" s="47"/>
      <c r="AR691" s="47"/>
      <c r="AS691" s="8"/>
      <c r="AT691" s="8"/>
      <c r="AU691" s="47"/>
      <c r="AV691" s="47"/>
      <c r="AW691" s="8"/>
      <c r="AX691" s="8"/>
      <c r="AY691" s="47"/>
      <c r="AZ691" s="47"/>
      <c r="BA691" s="8"/>
      <c r="BB691" s="8"/>
      <c r="BC691" s="47"/>
      <c r="BD691" s="47"/>
      <c r="BE691" s="8"/>
      <c r="BF691" s="8"/>
      <c r="BG691" s="47"/>
      <c r="BH691" s="47"/>
      <c r="BI691" s="8"/>
      <c r="BJ691" s="3"/>
      <c r="BK691" s="47"/>
      <c r="BL691" s="47"/>
      <c r="BM691" s="46"/>
      <c r="BN691" s="46"/>
      <c r="BO691" s="24">
        <f>AL691+AN691+AP691+AR691+AT691+AV691+AX691+AZ691+BB691+BD691+BF691+BH691+BJ691+BL691</f>
        <v>7132</v>
      </c>
      <c r="BP691" s="28">
        <f>AJ691-BO691</f>
        <v>-22935.575</v>
      </c>
      <c r="BQ691" s="2">
        <v>45362</v>
      </c>
    </row>
    <row r="692" spans="1:73" hidden="true">
      <c r="D692" s="9" t="s">
        <v>14</v>
      </c>
      <c r="E692" s="2">
        <v>45363</v>
      </c>
      <c r="F692" s="38"/>
      <c r="G692" s="51"/>
      <c r="H692" s="4">
        <f>F15*50%</f>
        <v>2967.55</v>
      </c>
      <c r="I692" s="120">
        <v>1125.6</v>
      </c>
      <c r="J692" s="4">
        <f>(G692+H692)-I692</f>
        <v>1841.95</v>
      </c>
      <c r="K692" s="4">
        <f>J692+O691</f>
        <v>14850.425</v>
      </c>
      <c r="L692" s="3"/>
      <c r="M692" s="3"/>
      <c r="N692" s="25">
        <f>I692+M692</f>
        <v>1125.6</v>
      </c>
      <c r="O692" s="28">
        <f>K692-M692</f>
        <v>14850.425</v>
      </c>
      <c r="P692" s="9" t="s">
        <v>14</v>
      </c>
      <c r="Q692" s="2">
        <v>45363</v>
      </c>
      <c r="R692" s="38"/>
      <c r="S692" s="52"/>
      <c r="T692" s="4">
        <f>R15*45%</f>
        <v>2474.1</v>
      </c>
      <c r="U692" s="5">
        <v>0</v>
      </c>
      <c r="V692" s="4">
        <f>(S692+T692)-U692</f>
        <v>2474.1</v>
      </c>
      <c r="W692" s="4">
        <f>V692+AA691</f>
        <v>20183.05</v>
      </c>
      <c r="X692" s="3" t="s">
        <v>68</v>
      </c>
      <c r="Y692" s="3">
        <v>13000</v>
      </c>
      <c r="Z692" s="25">
        <f>U692+Y692</f>
        <v>13000</v>
      </c>
      <c r="AA692" s="76">
        <f>W692-Y692</f>
        <v>7183.05</v>
      </c>
      <c r="AB692" s="9" t="s">
        <v>14</v>
      </c>
      <c r="AC692" s="19">
        <v>45363</v>
      </c>
      <c r="AD692" s="41"/>
      <c r="AE692" s="42"/>
      <c r="AF692" s="4">
        <f>AD15-H692-T692</f>
        <v>5991.45</v>
      </c>
      <c r="AG692" s="3"/>
      <c r="AH692" s="8">
        <f>(1000+616+1000)</f>
        <v>2616</v>
      </c>
      <c r="AI692" s="4">
        <f>(AE692+AF692)-AH692</f>
        <v>3375.45</v>
      </c>
      <c r="AJ692" s="4">
        <f>AI692+BP691</f>
        <v>-19560.125</v>
      </c>
      <c r="AK692" s="3"/>
      <c r="AL692" s="8"/>
      <c r="AM692" s="47"/>
      <c r="AN692" s="47"/>
      <c r="AO692" s="8"/>
      <c r="AP692" s="8"/>
      <c r="AQ692" s="47"/>
      <c r="AR692" s="47"/>
      <c r="AS692" s="8"/>
      <c r="AT692" s="8"/>
      <c r="AU692" s="47"/>
      <c r="AV692" s="47"/>
      <c r="AW692" s="8"/>
      <c r="AX692" s="8"/>
      <c r="AY692" s="47"/>
      <c r="AZ692" s="47"/>
      <c r="BA692" s="8"/>
      <c r="BB692" s="8"/>
      <c r="BC692" s="47"/>
      <c r="BD692" s="47"/>
      <c r="BE692" s="8"/>
      <c r="BF692" s="8"/>
      <c r="BG692" s="47"/>
      <c r="BH692" s="47"/>
      <c r="BI692" s="8"/>
      <c r="BJ692" s="3"/>
      <c r="BK692" s="47"/>
      <c r="BL692" s="47"/>
      <c r="BM692" s="46"/>
      <c r="BN692" s="46"/>
      <c r="BO692" s="24">
        <f>AL692+AN692+AP692+AR692+AT692+AV692+AX692+AZ692+BB692+BD692+BF692+BH692+BJ692+BL692</f>
        <v>0</v>
      </c>
      <c r="BP692" s="28">
        <f>AJ692-BO692</f>
        <v>-19560.125</v>
      </c>
      <c r="BQ692" s="2">
        <v>45363</v>
      </c>
    </row>
    <row r="693" spans="1:73" hidden="true">
      <c r="D693" s="9" t="s">
        <v>15</v>
      </c>
      <c r="E693" s="2">
        <v>45364</v>
      </c>
      <c r="F693" s="38"/>
      <c r="G693" s="51"/>
      <c r="H693" s="4">
        <f>F16*50%</f>
        <v>3671.05</v>
      </c>
      <c r="I693" s="120">
        <v>1035.3</v>
      </c>
      <c r="J693" s="4">
        <f>(G693+H693)-I693</f>
        <v>2635.75</v>
      </c>
      <c r="K693" s="4">
        <f>J693+O692</f>
        <v>17486.175</v>
      </c>
      <c r="L693" s="3"/>
      <c r="M693" s="3"/>
      <c r="N693" s="25">
        <f>I693+M693</f>
        <v>1035.3</v>
      </c>
      <c r="O693" s="28">
        <f>K693-M693</f>
        <v>17486.175</v>
      </c>
      <c r="P693" s="9" t="s">
        <v>15</v>
      </c>
      <c r="Q693" s="2">
        <v>45364</v>
      </c>
      <c r="R693" s="38"/>
      <c r="S693" s="52"/>
      <c r="T693" s="4">
        <f>R16*45%</f>
        <v>1737</v>
      </c>
      <c r="U693" s="5">
        <v>0</v>
      </c>
      <c r="V693" s="4">
        <f>(S693+T693)-U693</f>
        <v>1737</v>
      </c>
      <c r="W693" s="4">
        <f>V693+AA692</f>
        <v>8920.05</v>
      </c>
      <c r="X693" s="3"/>
      <c r="Y693" s="3"/>
      <c r="Z693" s="25">
        <f>U693+Y693</f>
        <v>0</v>
      </c>
      <c r="AA693" s="76">
        <f>W693-Y693</f>
        <v>8920.05</v>
      </c>
      <c r="AB693" s="9" t="s">
        <v>15</v>
      </c>
      <c r="AC693" s="19">
        <v>45364</v>
      </c>
      <c r="AD693" s="41"/>
      <c r="AE693" s="42"/>
      <c r="AF693" s="4">
        <f>AD16-H693-T693</f>
        <v>5794.05</v>
      </c>
      <c r="AG693" s="3"/>
      <c r="AH693" s="8">
        <f>(533.28+2000)</f>
        <v>2533.28</v>
      </c>
      <c r="AI693" s="4">
        <f>(AE693+AF693)-AH693</f>
        <v>3260.77</v>
      </c>
      <c r="AJ693" s="4">
        <f>AI693+BP692</f>
        <v>-16299.355</v>
      </c>
      <c r="AK693" s="3" t="s">
        <v>69</v>
      </c>
      <c r="AL693" s="8">
        <f>(7370)</f>
        <v>7370</v>
      </c>
      <c r="AM693" s="47"/>
      <c r="AN693" s="47"/>
      <c r="AO693" s="8"/>
      <c r="AP693" s="8"/>
      <c r="AQ693" s="47"/>
      <c r="AR693" s="47"/>
      <c r="AS693" s="8"/>
      <c r="AT693" s="8"/>
      <c r="AU693" s="47"/>
      <c r="AV693" s="47"/>
      <c r="AW693" s="8"/>
      <c r="AX693" s="8"/>
      <c r="AY693" s="47"/>
      <c r="AZ693" s="47"/>
      <c r="BA693" s="8"/>
      <c r="BB693" s="8"/>
      <c r="BC693" s="47"/>
      <c r="BD693" s="47"/>
      <c r="BE693" s="8"/>
      <c r="BF693" s="8"/>
      <c r="BG693" s="47"/>
      <c r="BH693" s="47"/>
      <c r="BI693" s="8"/>
      <c r="BJ693" s="3"/>
      <c r="BK693" s="47"/>
      <c r="BL693" s="47"/>
      <c r="BM693" s="46"/>
      <c r="BN693" s="46"/>
      <c r="BO693" s="24">
        <f>AL693+AN693+AP693+AR693+AT693+AV693+AX693+AZ693+BB693+BD693+BF693+BH693+BJ693+BL693</f>
        <v>7370</v>
      </c>
      <c r="BP693" s="28">
        <f>AJ693-BO693</f>
        <v>-23669.355</v>
      </c>
      <c r="BQ693" s="2">
        <v>45364</v>
      </c>
    </row>
    <row r="694" spans="1:73" hidden="true">
      <c r="D694" s="9" t="s">
        <v>16</v>
      </c>
      <c r="E694" s="2">
        <v>45365</v>
      </c>
      <c r="F694" s="38"/>
      <c r="G694" s="51"/>
      <c r="H694" s="4">
        <f>F17*50%</f>
        <v>3064.025</v>
      </c>
      <c r="I694" s="120">
        <v>991.7</v>
      </c>
      <c r="J694" s="4">
        <f>(G694+H694)-I694</f>
        <v>2072.325</v>
      </c>
      <c r="K694" s="4">
        <f>J694+O693</f>
        <v>19558.5</v>
      </c>
      <c r="L694" s="3" t="s">
        <v>70</v>
      </c>
      <c r="M694" s="3">
        <v>2924</v>
      </c>
      <c r="N694" s="25">
        <f>I694+M694</f>
        <v>3915.7</v>
      </c>
      <c r="O694" s="28">
        <f>K694-M694</f>
        <v>16634.5</v>
      </c>
      <c r="P694" s="9" t="s">
        <v>16</v>
      </c>
      <c r="Q694" s="2">
        <v>45365</v>
      </c>
      <c r="R694" s="38"/>
      <c r="S694" s="52"/>
      <c r="T694" s="4">
        <f>R17*45%</f>
        <v>2226.15</v>
      </c>
      <c r="U694" s="5">
        <v>0</v>
      </c>
      <c r="V694" s="4">
        <f>(S694+T694)-U694</f>
        <v>2226.15</v>
      </c>
      <c r="W694" s="4">
        <f>V694+AA693</f>
        <v>11146.2</v>
      </c>
      <c r="X694" s="3"/>
      <c r="Y694" s="3"/>
      <c r="Z694" s="25">
        <f>U694+Y694</f>
        <v>0</v>
      </c>
      <c r="AA694" s="76">
        <f>W694-Y694</f>
        <v>11146.2</v>
      </c>
      <c r="AB694" s="9" t="s">
        <v>16</v>
      </c>
      <c r="AC694" s="19">
        <v>45365</v>
      </c>
      <c r="AD694" s="41"/>
      <c r="AE694" s="42"/>
      <c r="AF694" s="4">
        <f>AD17-H694-T694</f>
        <v>5784.875</v>
      </c>
      <c r="AG694" s="3"/>
      <c r="AH694" s="8">
        <f>(387.8+2000)</f>
        <v>2387.8</v>
      </c>
      <c r="AI694" s="4">
        <f>(AE694+AF694)-AH694</f>
        <v>3397.075</v>
      </c>
      <c r="AJ694" s="4">
        <f>AI694+BP693</f>
        <v>-20272.28</v>
      </c>
      <c r="AK694" s="3" t="s">
        <v>41</v>
      </c>
      <c r="AL694" s="8">
        <f>(8281.13)</f>
        <v>8281.13</v>
      </c>
      <c r="AM694" s="47"/>
      <c r="AN694" s="47"/>
      <c r="AO694" s="8"/>
      <c r="AP694" s="8"/>
      <c r="AQ694" s="47"/>
      <c r="AR694" s="47"/>
      <c r="AS694" s="8"/>
      <c r="AT694" s="8"/>
      <c r="AU694" s="47"/>
      <c r="AV694" s="47"/>
      <c r="AW694" s="8"/>
      <c r="AX694" s="8"/>
      <c r="AY694" s="47"/>
      <c r="AZ694" s="47"/>
      <c r="BA694" s="8"/>
      <c r="BB694" s="8"/>
      <c r="BC694" s="47"/>
      <c r="BD694" s="47"/>
      <c r="BE694" s="8"/>
      <c r="BF694" s="8"/>
      <c r="BG694" s="47"/>
      <c r="BH694" s="47"/>
      <c r="BI694" s="8"/>
      <c r="BJ694" s="3"/>
      <c r="BK694" s="47"/>
      <c r="BL694" s="47"/>
      <c r="BM694" s="46"/>
      <c r="BN694" s="46"/>
      <c r="BO694" s="24">
        <f>AL694+AN694+AP694+AR694+AT694+AV694+AX694+AZ694+BB694+BD694+BF694+BH694+BJ694+BL694</f>
        <v>8281.13</v>
      </c>
      <c r="BP694" s="28">
        <f>AJ694-BO694</f>
        <v>-28553.41</v>
      </c>
      <c r="BQ694" s="2">
        <v>45365</v>
      </c>
    </row>
    <row r="695" spans="1:73" hidden="true">
      <c r="D695" s="9" t="s">
        <v>10</v>
      </c>
      <c r="E695" s="2">
        <v>45366</v>
      </c>
      <c r="F695" s="38"/>
      <c r="G695" s="51"/>
      <c r="H695" s="4">
        <f>F18*50%</f>
        <v>3423.475</v>
      </c>
      <c r="I695" s="120">
        <v>993</v>
      </c>
      <c r="J695" s="4">
        <f>(G695+H695)-I695</f>
        <v>2430.475</v>
      </c>
      <c r="K695" s="4">
        <f>J695+O694</f>
        <v>19064.975</v>
      </c>
      <c r="L695" s="3"/>
      <c r="M695" s="3"/>
      <c r="N695" s="25">
        <f>I695+M695</f>
        <v>993</v>
      </c>
      <c r="O695" s="28">
        <f>K695-M695</f>
        <v>19064.975</v>
      </c>
      <c r="P695" s="9" t="s">
        <v>10</v>
      </c>
      <c r="Q695" s="2">
        <v>45366</v>
      </c>
      <c r="R695" s="38"/>
      <c r="S695" s="52"/>
      <c r="T695" s="4">
        <f>R18*45%</f>
        <v>1908.45</v>
      </c>
      <c r="U695" s="5">
        <v>0</v>
      </c>
      <c r="V695" s="4">
        <f>(S695+T695)-U695</f>
        <v>1908.45</v>
      </c>
      <c r="W695" s="4">
        <f>V695+AA694</f>
        <v>13054.65</v>
      </c>
      <c r="X695" s="3"/>
      <c r="Y695" s="3"/>
      <c r="Z695" s="25">
        <f>U695+Y695</f>
        <v>0</v>
      </c>
      <c r="AA695" s="76">
        <f>W695-Y695</f>
        <v>13054.65</v>
      </c>
      <c r="AB695" s="9" t="s">
        <v>10</v>
      </c>
      <c r="AC695" s="19">
        <v>45366</v>
      </c>
      <c r="AD695" s="41"/>
      <c r="AE695" s="42"/>
      <c r="AF695" s="4">
        <f>AD18-H695-T695</f>
        <v>5756.025</v>
      </c>
      <c r="AG695" s="3"/>
      <c r="AH695" s="8">
        <f>(490.9+2000)</f>
        <v>2490.9</v>
      </c>
      <c r="AI695" s="4">
        <f>(AE695+AF695)-AH695</f>
        <v>3265.125</v>
      </c>
      <c r="AJ695" s="4">
        <f>AI695+BP694</f>
        <v>-25288.285</v>
      </c>
      <c r="AK695" s="3" t="s">
        <v>71</v>
      </c>
      <c r="AL695" s="8">
        <f>(5000+1397+2000+950)</f>
        <v>9347</v>
      </c>
      <c r="AM695" s="47"/>
      <c r="AN695" s="47"/>
      <c r="AO695" s="8"/>
      <c r="AP695" s="8"/>
      <c r="AQ695" s="47"/>
      <c r="AR695" s="47"/>
      <c r="AS695" s="8"/>
      <c r="AT695" s="8"/>
      <c r="AU695" s="47"/>
      <c r="AV695" s="47"/>
      <c r="AW695" s="8"/>
      <c r="AX695" s="8"/>
      <c r="AY695" s="47"/>
      <c r="AZ695" s="47"/>
      <c r="BA695" s="8"/>
      <c r="BB695" s="8"/>
      <c r="BC695" s="47"/>
      <c r="BD695" s="47"/>
      <c r="BE695" s="8"/>
      <c r="BF695" s="8"/>
      <c r="BG695" s="47"/>
      <c r="BH695" s="47"/>
      <c r="BI695" s="8"/>
      <c r="BJ695" s="3"/>
      <c r="BK695" s="48" t="s">
        <v>72</v>
      </c>
      <c r="BL695" s="47">
        <f>(500+1000+500)</f>
        <v>2000</v>
      </c>
      <c r="BM695" s="46"/>
      <c r="BN695" s="46"/>
      <c r="BO695" s="24">
        <f>AL695+AN695+AP695+AR695+AT695+AV695+AX695+AZ695+BB695+BD695+BF695+BH695+BJ695+BL695</f>
        <v>11347</v>
      </c>
      <c r="BP695" s="28">
        <f>AJ695-BO695</f>
        <v>-36635.285</v>
      </c>
      <c r="BQ695" s="2">
        <v>45366</v>
      </c>
    </row>
    <row r="696" spans="1:73" hidden="true">
      <c r="D696" s="9" t="s">
        <v>11</v>
      </c>
      <c r="E696" s="2">
        <v>45367</v>
      </c>
      <c r="F696" s="38"/>
      <c r="G696" s="52"/>
      <c r="H696" s="4">
        <f>F19*50%</f>
        <v>3370.375</v>
      </c>
      <c r="I696" s="120">
        <v>5752</v>
      </c>
      <c r="J696" s="4">
        <f>(G696+H696)-I696</f>
        <v>-2381.625</v>
      </c>
      <c r="K696" s="4">
        <f>J696+O695</f>
        <v>16683.35</v>
      </c>
      <c r="L696" s="3"/>
      <c r="M696" s="3"/>
      <c r="N696" s="25">
        <f>I696+M696</f>
        <v>5752</v>
      </c>
      <c r="O696" s="28">
        <f>K696-M696</f>
        <v>16683.35</v>
      </c>
      <c r="P696" s="9" t="s">
        <v>11</v>
      </c>
      <c r="Q696" s="2">
        <v>45367</v>
      </c>
      <c r="R696" s="38"/>
      <c r="S696" s="52"/>
      <c r="T696" s="4">
        <f>R19*45%</f>
        <v>2513.7</v>
      </c>
      <c r="U696" s="5">
        <v>0</v>
      </c>
      <c r="V696" s="4">
        <f>(S696+T696)-U696</f>
        <v>2513.7</v>
      </c>
      <c r="W696" s="4">
        <f>V696+AA695</f>
        <v>15568.35</v>
      </c>
      <c r="X696" s="3" t="s">
        <v>73</v>
      </c>
      <c r="Y696" s="3">
        <f>(20607+15324)</f>
        <v>35931</v>
      </c>
      <c r="Z696" s="25">
        <f>U696+Y696</f>
        <v>35931</v>
      </c>
      <c r="AA696" s="76">
        <f>W696-Y696</f>
        <v>-20362.65</v>
      </c>
      <c r="AB696" s="9" t="s">
        <v>11</v>
      </c>
      <c r="AC696" s="19">
        <v>45367</v>
      </c>
      <c r="AD696" s="41"/>
      <c r="AE696" s="42"/>
      <c r="AF696" s="4">
        <f>AD19-H696-T696</f>
        <v>6442.675</v>
      </c>
      <c r="AG696" s="3"/>
      <c r="AH696" s="8">
        <f>(421+2000)</f>
        <v>2421</v>
      </c>
      <c r="AI696" s="4">
        <f>(AE696+AF696)-AH696</f>
        <v>4021.675</v>
      </c>
      <c r="AJ696" s="4">
        <f>AI696+BP695</f>
        <v>-32613.61</v>
      </c>
      <c r="AK696" s="3" t="s">
        <v>74</v>
      </c>
      <c r="AL696" s="8">
        <f>(18955+10176.46+1274.8)</f>
        <v>30406.26</v>
      </c>
      <c r="AM696" s="47"/>
      <c r="AN696" s="47"/>
      <c r="AO696" s="8"/>
      <c r="AP696" s="8"/>
      <c r="AQ696" s="47"/>
      <c r="AR696" s="47"/>
      <c r="AS696" s="8"/>
      <c r="AT696" s="8"/>
      <c r="AU696" s="47"/>
      <c r="AV696" s="47"/>
      <c r="AW696" s="8"/>
      <c r="AX696" s="8"/>
      <c r="AY696" s="47"/>
      <c r="AZ696" s="47"/>
      <c r="BA696" s="8"/>
      <c r="BB696" s="8"/>
      <c r="BC696" s="47"/>
      <c r="BD696" s="47"/>
      <c r="BE696" s="8"/>
      <c r="BF696" s="8"/>
      <c r="BG696" s="47"/>
      <c r="BH696" s="47"/>
      <c r="BI696" s="8"/>
      <c r="BJ696" s="3"/>
      <c r="BK696" s="47"/>
      <c r="BL696" s="47"/>
      <c r="BM696" s="46"/>
      <c r="BN696" s="46"/>
      <c r="BO696" s="24">
        <f>AL696+AN696+AP696+AR696+AT696+AV696+AX696+AZ696+BB696+BD696+BF696+BH696+BJ696+BL696</f>
        <v>30406.26</v>
      </c>
      <c r="BP696" s="28">
        <f>AJ696-BO696</f>
        <v>-63019.87</v>
      </c>
      <c r="BQ696" s="2">
        <v>45367</v>
      </c>
    </row>
    <row r="697" spans="1:73" hidden="true">
      <c r="D697" s="9" t="s">
        <v>12</v>
      </c>
      <c r="E697" s="2">
        <v>45368</v>
      </c>
      <c r="F697" s="38"/>
      <c r="G697" s="51"/>
      <c r="H697" s="4">
        <f>F20*50%</f>
        <v>2909.45</v>
      </c>
      <c r="I697" s="120">
        <v>0</v>
      </c>
      <c r="J697" s="4">
        <f>(G697+H697)-I697</f>
        <v>2909.45</v>
      </c>
      <c r="K697" s="4">
        <f>J697+O696</f>
        <v>19592.8</v>
      </c>
      <c r="L697" s="3"/>
      <c r="M697" s="3"/>
      <c r="N697" s="25">
        <f>I697+M697</f>
        <v>0</v>
      </c>
      <c r="O697" s="28">
        <f>K697-M697</f>
        <v>19592.8</v>
      </c>
      <c r="P697" s="9" t="s">
        <v>12</v>
      </c>
      <c r="Q697" s="2">
        <v>45368</v>
      </c>
      <c r="R697" s="38"/>
      <c r="S697" s="52"/>
      <c r="T697" s="4">
        <f>R20*45%</f>
        <v>2222.1</v>
      </c>
      <c r="U697" s="5">
        <v>0</v>
      </c>
      <c r="V697" s="4">
        <f>(S697+T697)-U697</f>
        <v>2222.1</v>
      </c>
      <c r="W697" s="4">
        <f>V697+AA696</f>
        <v>-18140.55</v>
      </c>
      <c r="X697" s="3"/>
      <c r="Y697" s="3"/>
      <c r="Z697" s="25">
        <f>U697+Y697</f>
        <v>0</v>
      </c>
      <c r="AA697" s="76">
        <f>W697-Y697</f>
        <v>-18140.55</v>
      </c>
      <c r="AB697" s="9" t="s">
        <v>12</v>
      </c>
      <c r="AC697" s="19">
        <v>45368</v>
      </c>
      <c r="AD697" s="41"/>
      <c r="AE697" s="42"/>
      <c r="AF697" s="4">
        <f>AD20-H697-T697</f>
        <v>5625.35</v>
      </c>
      <c r="AG697" s="3"/>
      <c r="AH697" s="8">
        <v>1500</v>
      </c>
      <c r="AI697" s="4">
        <f>(AE697+AF697)-AH697</f>
        <v>4125.35</v>
      </c>
      <c r="AJ697" s="4">
        <f>AI697+BP696</f>
        <v>-58894.52</v>
      </c>
      <c r="AK697" s="3" t="s">
        <v>75</v>
      </c>
      <c r="AL697" s="8">
        <f>(16100+2800)</f>
        <v>18900</v>
      </c>
      <c r="AM697" s="47"/>
      <c r="AN697" s="47"/>
      <c r="AO697" s="8"/>
      <c r="AP697" s="8"/>
      <c r="AQ697" s="47"/>
      <c r="AR697" s="47"/>
      <c r="AS697" s="8"/>
      <c r="AT697" s="8"/>
      <c r="AU697" s="47"/>
      <c r="AV697" s="47"/>
      <c r="AW697" s="8"/>
      <c r="AX697" s="8"/>
      <c r="AY697" s="47"/>
      <c r="AZ697" s="47"/>
      <c r="BA697" s="8"/>
      <c r="BB697" s="8"/>
      <c r="BC697" s="47"/>
      <c r="BD697" s="47"/>
      <c r="BE697" s="8"/>
      <c r="BF697" s="8"/>
      <c r="BG697" s="47"/>
      <c r="BH697" s="47"/>
      <c r="BI697" s="8"/>
      <c r="BJ697" s="3"/>
      <c r="BK697" s="47"/>
      <c r="BL697" s="47"/>
      <c r="BM697" s="46"/>
      <c r="BN697" s="46"/>
      <c r="BO697" s="24">
        <f>AL697+AN697+AP697+AR697+AT697+AV697+AX697+AZ697+BB697+BD697+BF697+BH697+BJ697+BL697</f>
        <v>18900</v>
      </c>
      <c r="BP697" s="28">
        <f>AJ697-BO697</f>
        <v>-77794.52</v>
      </c>
      <c r="BQ697" s="2">
        <v>45368</v>
      </c>
    </row>
    <row r="698" spans="1:73" hidden="true">
      <c r="D698" s="9" t="s">
        <v>13</v>
      </c>
      <c r="E698" s="2">
        <v>45369</v>
      </c>
      <c r="F698" s="38"/>
      <c r="G698" s="51"/>
      <c r="H698" s="4">
        <f>F21*50%</f>
        <v>2996.23</v>
      </c>
      <c r="I698" s="120">
        <v>1084</v>
      </c>
      <c r="J698" s="4">
        <f>(G698+H698)-I698</f>
        <v>1912.23</v>
      </c>
      <c r="K698" s="4">
        <f>J698+O697</f>
        <v>21505.03</v>
      </c>
      <c r="L698" s="3" t="s">
        <v>76</v>
      </c>
      <c r="M698" s="3">
        <v>6474</v>
      </c>
      <c r="N698" s="25">
        <f>I698+M698</f>
        <v>7558</v>
      </c>
      <c r="O698" s="28">
        <f>K698-M698</f>
        <v>15031.03</v>
      </c>
      <c r="P698" s="9" t="s">
        <v>13</v>
      </c>
      <c r="Q698" s="2">
        <v>45369</v>
      </c>
      <c r="R698" s="38"/>
      <c r="S698" s="52"/>
      <c r="T698" s="4">
        <f>R21*45%</f>
        <v>2439</v>
      </c>
      <c r="U698" s="5">
        <v>0</v>
      </c>
      <c r="V698" s="4">
        <f>(S698+T698)-U698</f>
        <v>2439</v>
      </c>
      <c r="W698" s="4">
        <f>V698+AA697</f>
        <v>-15701.55</v>
      </c>
      <c r="X698" s="3"/>
      <c r="Y698" s="3"/>
      <c r="Z698" s="25">
        <f>U698+Y698</f>
        <v>0</v>
      </c>
      <c r="AA698" s="76">
        <f>W698-Y698</f>
        <v>-15701.55</v>
      </c>
      <c r="AB698" s="9" t="s">
        <v>13</v>
      </c>
      <c r="AC698" s="19">
        <v>45369</v>
      </c>
      <c r="AD698" s="41"/>
      <c r="AE698" s="42"/>
      <c r="AF698" s="4">
        <f>AD21-H698-T698</f>
        <v>5977.23</v>
      </c>
      <c r="AG698" s="3"/>
      <c r="AH698" s="8">
        <v>1500</v>
      </c>
      <c r="AI698" s="4">
        <f>(AE698+AF698)-AH698</f>
        <v>4477.23</v>
      </c>
      <c r="AJ698" s="4">
        <f>AI698+BP697</f>
        <v>-73317.29</v>
      </c>
      <c r="AK698" s="3" t="s">
        <v>77</v>
      </c>
      <c r="AL698" s="8">
        <f>(1200)</f>
        <v>1200</v>
      </c>
      <c r="AM698" s="47"/>
      <c r="AN698" s="47"/>
      <c r="AO698" s="8"/>
      <c r="AP698" s="8"/>
      <c r="AQ698" s="47"/>
      <c r="AR698" s="47"/>
      <c r="AS698" s="8"/>
      <c r="AT698" s="8"/>
      <c r="AU698" s="47"/>
      <c r="AV698" s="47"/>
      <c r="AW698" s="8"/>
      <c r="AX698" s="8"/>
      <c r="AY698" s="47"/>
      <c r="AZ698" s="47"/>
      <c r="BA698" s="8"/>
      <c r="BB698" s="8"/>
      <c r="BC698" s="47"/>
      <c r="BD698" s="47"/>
      <c r="BE698" s="8"/>
      <c r="BF698" s="8"/>
      <c r="BG698" s="47"/>
      <c r="BH698" s="47"/>
      <c r="BI698" s="8"/>
      <c r="BJ698" s="3"/>
      <c r="BK698" s="48" t="s">
        <v>78</v>
      </c>
      <c r="BL698" s="47">
        <f>(3000)</f>
        <v>3000</v>
      </c>
      <c r="BM698" s="46"/>
      <c r="BN698" s="46"/>
      <c r="BO698" s="24">
        <f>AL698+AN698+AP698+AR698+AT698+AV698+AX698+AZ698+BB698+BD698+BF698+BH698+BJ698+BL698</f>
        <v>4200</v>
      </c>
      <c r="BP698" s="28">
        <f>AJ698-BO698</f>
        <v>-77517.29</v>
      </c>
      <c r="BQ698" s="2">
        <v>45369</v>
      </c>
    </row>
    <row r="699" spans="1:73" hidden="true">
      <c r="D699" s="9" t="s">
        <v>14</v>
      </c>
      <c r="E699" s="2">
        <v>45370</v>
      </c>
      <c r="F699" s="38"/>
      <c r="G699" s="51"/>
      <c r="H699" s="4">
        <f>F22*50%</f>
        <v>2123.65</v>
      </c>
      <c r="I699" s="120">
        <v>1000</v>
      </c>
      <c r="J699" s="4">
        <f>(G699+H699)-I699</f>
        <v>1123.65</v>
      </c>
      <c r="K699" s="4">
        <f>J699+O698</f>
        <v>16154.68</v>
      </c>
      <c r="L699" s="3" t="s">
        <v>79</v>
      </c>
      <c r="M699" s="3">
        <v>11366.4</v>
      </c>
      <c r="N699" s="25">
        <f>I699+M699</f>
        <v>12366.4</v>
      </c>
      <c r="O699" s="28">
        <f>K699-M699</f>
        <v>4788.28</v>
      </c>
      <c r="P699" s="9" t="s">
        <v>14</v>
      </c>
      <c r="Q699" s="2">
        <v>45370</v>
      </c>
      <c r="R699" s="38"/>
      <c r="S699" s="52"/>
      <c r="T699" s="4">
        <f>R22*45%</f>
        <v>1734.3</v>
      </c>
      <c r="U699" s="5">
        <v>0</v>
      </c>
      <c r="V699" s="4">
        <f>(S699+T699)-U699</f>
        <v>1734.3</v>
      </c>
      <c r="W699" s="4">
        <f>V699+AA698</f>
        <v>-13967.25</v>
      </c>
      <c r="X699" s="3"/>
      <c r="Y699" s="3"/>
      <c r="Z699" s="25">
        <f>U699+Y699</f>
        <v>0</v>
      </c>
      <c r="AA699" s="76">
        <f>W699-Y699</f>
        <v>-13967.25</v>
      </c>
      <c r="AB699" s="9" t="s">
        <v>14</v>
      </c>
      <c r="AC699" s="19">
        <v>45370</v>
      </c>
      <c r="AD699" s="41"/>
      <c r="AE699" s="42"/>
      <c r="AF699" s="4">
        <f>AD22-H699-T699</f>
        <v>4243.35</v>
      </c>
      <c r="AG699" s="3"/>
      <c r="AH699" s="8">
        <v>1500</v>
      </c>
      <c r="AI699" s="4">
        <f>(AE699+AF699)-AH699</f>
        <v>2743.35</v>
      </c>
      <c r="AJ699" s="4">
        <f>AI699+BP698</f>
        <v>-74773.94</v>
      </c>
      <c r="AK699" s="3" t="s">
        <v>80</v>
      </c>
      <c r="AL699" s="8">
        <f>(5500+3000)</f>
        <v>8500</v>
      </c>
      <c r="AM699" s="47"/>
      <c r="AN699" s="47"/>
      <c r="AO699" s="8"/>
      <c r="AP699" s="8"/>
      <c r="AQ699" s="47"/>
      <c r="AR699" s="47"/>
      <c r="AS699" s="8"/>
      <c r="AT699" s="8"/>
      <c r="AU699" s="47"/>
      <c r="AV699" s="47"/>
      <c r="AW699" s="8"/>
      <c r="AX699" s="8"/>
      <c r="AY699" s="47"/>
      <c r="AZ699" s="47"/>
      <c r="BA699" s="8"/>
      <c r="BB699" s="8"/>
      <c r="BC699" s="47"/>
      <c r="BD699" s="47"/>
      <c r="BE699" s="8"/>
      <c r="BF699" s="8"/>
      <c r="BG699" s="47"/>
      <c r="BH699" s="47"/>
      <c r="BI699" s="8"/>
      <c r="BJ699" s="3"/>
      <c r="BK699" s="47"/>
      <c r="BL699" s="47"/>
      <c r="BM699" s="46"/>
      <c r="BN699" s="46"/>
      <c r="BO699" s="24">
        <f>AL699+AN699+AP699+AR699+AT699+AV699+AX699+AZ699+BB699+BD699+BF699+BH699+BJ699+BL699</f>
        <v>8500</v>
      </c>
      <c r="BP699" s="28">
        <f>AJ699-BO699</f>
        <v>-83273.94</v>
      </c>
      <c r="BQ699" s="2">
        <v>45370</v>
      </c>
    </row>
    <row r="700" spans="1:73" hidden="true">
      <c r="D700" s="9" t="s">
        <v>15</v>
      </c>
      <c r="E700" s="2">
        <v>45371</v>
      </c>
      <c r="F700" s="38"/>
      <c r="G700" s="51"/>
      <c r="H700" s="4">
        <f>F23*50%</f>
        <v>2268.65</v>
      </c>
      <c r="I700" s="120">
        <v>0</v>
      </c>
      <c r="J700" s="4">
        <f>(G700+H700)-I700</f>
        <v>2268.65</v>
      </c>
      <c r="K700" s="4">
        <f>J700+O699</f>
        <v>7056.93</v>
      </c>
      <c r="L700" s="3" t="s">
        <v>81</v>
      </c>
      <c r="M700" s="3">
        <f>(10052)</f>
        <v>10052</v>
      </c>
      <c r="N700" s="25">
        <f>I700+M700</f>
        <v>10052</v>
      </c>
      <c r="O700" s="28">
        <f>K700-M700</f>
        <v>-2995.07</v>
      </c>
      <c r="P700" s="9" t="s">
        <v>15</v>
      </c>
      <c r="Q700" s="2">
        <v>45371</v>
      </c>
      <c r="R700" s="38"/>
      <c r="S700" s="52"/>
      <c r="T700" s="4">
        <f>R23*45%</f>
        <v>2853.9</v>
      </c>
      <c r="U700" s="5">
        <v>0</v>
      </c>
      <c r="V700" s="4">
        <f>(S700+T700)-U700</f>
        <v>2853.9</v>
      </c>
      <c r="W700" s="4">
        <f>V700+AA699</f>
        <v>-11113.35</v>
      </c>
      <c r="X700" s="3"/>
      <c r="Y700" s="3"/>
      <c r="Z700" s="25">
        <f>U700+Y700</f>
        <v>0</v>
      </c>
      <c r="AA700" s="76">
        <f>W700-Y700</f>
        <v>-11113.35</v>
      </c>
      <c r="AB700" s="9" t="s">
        <v>15</v>
      </c>
      <c r="AC700" s="19">
        <v>45371</v>
      </c>
      <c r="AD700" s="41"/>
      <c r="AE700" s="42"/>
      <c r="AF700" s="4">
        <f>AD23-H700-T700</f>
        <v>5756.75</v>
      </c>
      <c r="AG700" s="3"/>
      <c r="AH700" s="8">
        <v>1500</v>
      </c>
      <c r="AI700" s="4">
        <f>(AE700+AF700)-AH700</f>
        <v>4256.75</v>
      </c>
      <c r="AJ700" s="4">
        <f>AI700+BP699</f>
        <v>-79017.19</v>
      </c>
      <c r="AK700" s="3" t="s">
        <v>82</v>
      </c>
      <c r="AL700" s="8">
        <v>8000</v>
      </c>
      <c r="AM700" s="47"/>
      <c r="AN700" s="47"/>
      <c r="AO700" s="8"/>
      <c r="AP700" s="8"/>
      <c r="AQ700" s="47"/>
      <c r="AR700" s="47"/>
      <c r="AS700" s="8"/>
      <c r="AT700" s="8"/>
      <c r="AU700" s="47"/>
      <c r="AV700" s="47"/>
      <c r="AW700" s="8"/>
      <c r="AX700" s="8"/>
      <c r="AY700" s="47"/>
      <c r="AZ700" s="47"/>
      <c r="BA700" s="8"/>
      <c r="BB700" s="8"/>
      <c r="BC700" s="47"/>
      <c r="BD700" s="47"/>
      <c r="BE700" s="8"/>
      <c r="BF700" s="8"/>
      <c r="BG700" s="47"/>
      <c r="BH700" s="47"/>
      <c r="BI700" s="8"/>
      <c r="BJ700" s="3"/>
      <c r="BK700" s="47"/>
      <c r="BL700" s="47"/>
      <c r="BM700" s="46"/>
      <c r="BN700" s="46"/>
      <c r="BO700" s="24">
        <f>AL700+AN700+AP700+AR700+AT700+AV700+AX700+AZ700+BB700+BD700+BF700+BH700+BJ700+BL700</f>
        <v>8000</v>
      </c>
      <c r="BP700" s="28">
        <f>AJ700-BO700</f>
        <v>-87017.19</v>
      </c>
      <c r="BQ700" s="2">
        <v>45371</v>
      </c>
    </row>
    <row r="701" spans="1:73" hidden="true">
      <c r="D701" s="9" t="s">
        <v>16</v>
      </c>
      <c r="E701" s="2">
        <v>45372</v>
      </c>
      <c r="F701" s="38"/>
      <c r="G701" s="51"/>
      <c r="H701" s="4">
        <f>F24*50%</f>
        <v>2468.5</v>
      </c>
      <c r="I701" s="120">
        <v>0</v>
      </c>
      <c r="J701" s="4">
        <f>(G701+H701)-I701</f>
        <v>2468.5</v>
      </c>
      <c r="K701" s="4">
        <f>J701+O700</f>
        <v>-526.57</v>
      </c>
      <c r="L701" s="3"/>
      <c r="M701" s="3"/>
      <c r="N701" s="25">
        <f>I701+M701</f>
        <v>0</v>
      </c>
      <c r="O701" s="28">
        <f>K701-M701</f>
        <v>-526.57</v>
      </c>
      <c r="P701" s="9" t="s">
        <v>16</v>
      </c>
      <c r="Q701" s="2">
        <v>45372</v>
      </c>
      <c r="R701" s="38"/>
      <c r="S701" s="52"/>
      <c r="T701" s="4">
        <f>R24*45%</f>
        <v>842.4</v>
      </c>
      <c r="U701" s="5">
        <v>0</v>
      </c>
      <c r="V701" s="4">
        <f>(S701+T701)-U701</f>
        <v>842.4</v>
      </c>
      <c r="W701" s="4">
        <f>V701+AA700</f>
        <v>-10270.95</v>
      </c>
      <c r="X701" s="3"/>
      <c r="Y701" s="3"/>
      <c r="Z701" s="25">
        <f>U701+Y701</f>
        <v>0</v>
      </c>
      <c r="AA701" s="76">
        <f>W701-Y701</f>
        <v>-10270.95</v>
      </c>
      <c r="AB701" s="9" t="s">
        <v>16</v>
      </c>
      <c r="AC701" s="19">
        <v>45372</v>
      </c>
      <c r="AD701" s="41"/>
      <c r="AE701" s="42"/>
      <c r="AF701" s="4">
        <f>AD24-H701-T701</f>
        <v>3498.1</v>
      </c>
      <c r="AG701" s="3"/>
      <c r="AH701" s="8">
        <v>1500</v>
      </c>
      <c r="AI701" s="4">
        <f>(AE701+AF701)-AH701</f>
        <v>1998.1</v>
      </c>
      <c r="AJ701" s="4">
        <f>AI701+BP700</f>
        <v>-85019.09</v>
      </c>
      <c r="AK701" s="3"/>
      <c r="AL701" s="8"/>
      <c r="AM701" s="47"/>
      <c r="AN701" s="47"/>
      <c r="AO701" s="8"/>
      <c r="AP701" s="8"/>
      <c r="AQ701" s="47"/>
      <c r="AR701" s="47"/>
      <c r="AS701" s="8"/>
      <c r="AT701" s="8"/>
      <c r="AU701" s="47"/>
      <c r="AV701" s="47"/>
      <c r="AW701" s="8"/>
      <c r="AX701" s="8"/>
      <c r="AY701" s="47"/>
      <c r="AZ701" s="47"/>
      <c r="BA701" s="8"/>
      <c r="BB701" s="8"/>
      <c r="BC701" s="47"/>
      <c r="BD701" s="47"/>
      <c r="BE701" s="8"/>
      <c r="BF701" s="8"/>
      <c r="BG701" s="47"/>
      <c r="BH701" s="47"/>
      <c r="BI701" s="8"/>
      <c r="BJ701" s="3"/>
      <c r="BK701" s="47"/>
      <c r="BL701" s="47"/>
      <c r="BM701" s="46"/>
      <c r="BN701" s="46"/>
      <c r="BO701" s="24">
        <f>AL701+AN701+AP701+AR701+AT701+AV701+AX701+AZ701+BB701+BD701+BF701+BH701+BJ701+BL701</f>
        <v>0</v>
      </c>
      <c r="BP701" s="28">
        <f>AJ701-BO701</f>
        <v>-85019.09</v>
      </c>
      <c r="BQ701" s="2">
        <v>45372</v>
      </c>
    </row>
    <row r="702" spans="1:73" hidden="true">
      <c r="D702" s="9" t="s">
        <v>10</v>
      </c>
      <c r="E702" s="2">
        <v>45373</v>
      </c>
      <c r="F702" s="38"/>
      <c r="G702" s="51"/>
      <c r="H702" s="4">
        <f>F25*50%</f>
        <v>2965.45</v>
      </c>
      <c r="I702" s="120">
        <v>0</v>
      </c>
      <c r="J702" s="4">
        <f>(G702+H702)-I702</f>
        <v>2965.45</v>
      </c>
      <c r="K702" s="4">
        <f>J702+O701</f>
        <v>2438.88</v>
      </c>
      <c r="L702" s="3" t="s">
        <v>70</v>
      </c>
      <c r="M702" s="3">
        <v>10000</v>
      </c>
      <c r="N702" s="25">
        <f>I702+M702</f>
        <v>10000</v>
      </c>
      <c r="O702" s="28">
        <f>K702-M702</f>
        <v>-7561.12</v>
      </c>
      <c r="P702" s="9" t="s">
        <v>10</v>
      </c>
      <c r="Q702" s="2">
        <v>45373</v>
      </c>
      <c r="R702" s="38"/>
      <c r="S702" s="52"/>
      <c r="T702" s="4">
        <f>R25*45%</f>
        <v>1407.6</v>
      </c>
      <c r="U702" s="5">
        <v>0</v>
      </c>
      <c r="V702" s="4">
        <f>(S702+T702)-U702</f>
        <v>1407.6</v>
      </c>
      <c r="W702" s="4">
        <f>V702+AA701</f>
        <v>-8863.35</v>
      </c>
      <c r="X702" s="3"/>
      <c r="Y702" s="3"/>
      <c r="Z702" s="25">
        <f>U702+Y702</f>
        <v>0</v>
      </c>
      <c r="AA702" s="76">
        <f>W702-Y702</f>
        <v>-8863.35</v>
      </c>
      <c r="AB702" s="9" t="s">
        <v>10</v>
      </c>
      <c r="AC702" s="19">
        <v>45373</v>
      </c>
      <c r="AD702" s="41"/>
      <c r="AE702" s="42"/>
      <c r="AF702" s="4">
        <f>AD25-H702-T702</f>
        <v>4685.85</v>
      </c>
      <c r="AG702" s="3"/>
      <c r="AH702" s="8">
        <v>1500</v>
      </c>
      <c r="AI702" s="4">
        <f>(AE702+AF702)-AH702</f>
        <v>3185.85</v>
      </c>
      <c r="AJ702" s="4">
        <f>AI702+BP701</f>
        <v>-81833.24</v>
      </c>
      <c r="AK702" s="3" t="s">
        <v>83</v>
      </c>
      <c r="AL702" s="8">
        <f>(3600)</f>
        <v>3600</v>
      </c>
      <c r="AM702" s="47"/>
      <c r="AN702" s="47"/>
      <c r="AO702" s="8"/>
      <c r="AP702" s="8"/>
      <c r="AQ702" s="47"/>
      <c r="AR702" s="47"/>
      <c r="AS702" s="8"/>
      <c r="AT702" s="8"/>
      <c r="AU702" s="47"/>
      <c r="AV702" s="47"/>
      <c r="AW702" s="8"/>
      <c r="AX702" s="8"/>
      <c r="AY702" s="47"/>
      <c r="AZ702" s="47"/>
      <c r="BA702" s="8"/>
      <c r="BB702" s="8"/>
      <c r="BC702" s="47"/>
      <c r="BD702" s="47"/>
      <c r="BE702" s="8"/>
      <c r="BF702" s="8"/>
      <c r="BG702" s="47"/>
      <c r="BH702" s="47"/>
      <c r="BI702" s="8"/>
      <c r="BJ702" s="3"/>
      <c r="BK702" s="48" t="s">
        <v>72</v>
      </c>
      <c r="BL702" s="47">
        <f>(500+1000+500)</f>
        <v>2000</v>
      </c>
      <c r="BM702" s="46"/>
      <c r="BN702" s="46"/>
      <c r="BO702" s="24">
        <f>AL702+AN702+AP702+AR702+AT702+AV702+AX702+AZ702+BB702+BD702+BF702+BH702+BJ702+BL702</f>
        <v>5600</v>
      </c>
      <c r="BP702" s="28">
        <f>AJ702-BO702</f>
        <v>-87433.24</v>
      </c>
      <c r="BQ702" s="2">
        <v>45373</v>
      </c>
    </row>
    <row r="703" spans="1:73" hidden="true">
      <c r="D703" s="9" t="s">
        <v>11</v>
      </c>
      <c r="E703" s="2">
        <v>45374</v>
      </c>
      <c r="F703" s="38"/>
      <c r="G703" s="51"/>
      <c r="H703" s="4">
        <f>F26*50%</f>
        <v>2693.325</v>
      </c>
      <c r="I703" s="120">
        <v>0</v>
      </c>
      <c r="J703" s="4">
        <f>(G703+H703)-I703</f>
        <v>2693.325</v>
      </c>
      <c r="K703" s="4">
        <f>J703+O702</f>
        <v>-4867.795</v>
      </c>
      <c r="L703" s="3"/>
      <c r="M703" s="3"/>
      <c r="N703" s="25">
        <f>I703+M703</f>
        <v>0</v>
      </c>
      <c r="O703" s="28">
        <f>K703-M703</f>
        <v>-4867.795</v>
      </c>
      <c r="P703" s="9" t="s">
        <v>11</v>
      </c>
      <c r="Q703" s="2">
        <v>45374</v>
      </c>
      <c r="R703" s="38"/>
      <c r="S703" s="52"/>
      <c r="T703" s="4">
        <f>R26*45%</f>
        <v>3685.5</v>
      </c>
      <c r="U703" s="5">
        <v>0</v>
      </c>
      <c r="V703" s="4">
        <f>(S703+T703)-U703</f>
        <v>3685.5</v>
      </c>
      <c r="W703" s="4">
        <f>V703+AA702</f>
        <v>-5177.85</v>
      </c>
      <c r="X703" s="3"/>
      <c r="Y703" s="3"/>
      <c r="Z703" s="25">
        <f>U703+Y703</f>
        <v>0</v>
      </c>
      <c r="AA703" s="76">
        <f>W703-Y703</f>
        <v>-5177.85</v>
      </c>
      <c r="AB703" s="9" t="s">
        <v>11</v>
      </c>
      <c r="AC703" s="19">
        <v>45374</v>
      </c>
      <c r="AD703" s="41"/>
      <c r="AE703" s="42"/>
      <c r="AF703" s="4">
        <f>AD26-H703-T703</f>
        <v>7197.825</v>
      </c>
      <c r="AG703" s="3"/>
      <c r="AH703" s="8">
        <v>1500</v>
      </c>
      <c r="AI703" s="4">
        <f>(AE703+AF703)-AH703</f>
        <v>5697.825</v>
      </c>
      <c r="AJ703" s="4">
        <f>AI703+BP702</f>
        <v>-81735.415</v>
      </c>
      <c r="AK703" s="3" t="s">
        <v>84</v>
      </c>
      <c r="AL703" s="8">
        <f>(3400)</f>
        <v>3400</v>
      </c>
      <c r="AM703" s="47"/>
      <c r="AN703" s="47"/>
      <c r="AO703" s="8"/>
      <c r="AP703" s="8"/>
      <c r="AQ703" s="47"/>
      <c r="AR703" s="47"/>
      <c r="AS703" s="8"/>
      <c r="AT703" s="8"/>
      <c r="AU703" s="47"/>
      <c r="AV703" s="47"/>
      <c r="AW703" s="8"/>
      <c r="AX703" s="8"/>
      <c r="AY703" s="47"/>
      <c r="AZ703" s="47"/>
      <c r="BA703" s="8"/>
      <c r="BB703" s="8"/>
      <c r="BC703" s="47"/>
      <c r="BD703" s="47"/>
      <c r="BE703" s="8"/>
      <c r="BF703" s="8"/>
      <c r="BG703" s="47"/>
      <c r="BH703" s="47"/>
      <c r="BI703" s="8"/>
      <c r="BJ703" s="3"/>
      <c r="BK703" s="47"/>
      <c r="BL703" s="47"/>
      <c r="BM703" s="46"/>
      <c r="BN703" s="46"/>
      <c r="BO703" s="24">
        <f>AL703+AN703+AP703+AR703+AT703+AV703+AX703+AZ703+BB703+BD703+BF703+BH703+BJ703+BL703</f>
        <v>3400</v>
      </c>
      <c r="BP703" s="28">
        <f>AJ703-BO703</f>
        <v>-85135.415</v>
      </c>
      <c r="BQ703" s="2">
        <v>45374</v>
      </c>
    </row>
    <row r="704" spans="1:73" hidden="true">
      <c r="D704" s="9" t="s">
        <v>12</v>
      </c>
      <c r="E704" s="2">
        <v>45375</v>
      </c>
      <c r="F704" s="38"/>
      <c r="G704" s="51"/>
      <c r="H704" s="4">
        <f>F27*50%</f>
        <v>3739.125</v>
      </c>
      <c r="I704" s="120">
        <v>0</v>
      </c>
      <c r="J704" s="4">
        <f>(G704+H704)-I704</f>
        <v>3739.125</v>
      </c>
      <c r="K704" s="4">
        <f>J704+O703</f>
        <v>-1128.67</v>
      </c>
      <c r="L704" s="3"/>
      <c r="M704" s="3"/>
      <c r="N704" s="25">
        <f>I704+M704</f>
        <v>0</v>
      </c>
      <c r="O704" s="28">
        <f>K704-M704</f>
        <v>-1128.67</v>
      </c>
      <c r="P704" s="9" t="s">
        <v>12</v>
      </c>
      <c r="Q704" s="2">
        <v>45375</v>
      </c>
      <c r="R704" s="38"/>
      <c r="S704" s="52"/>
      <c r="T704" s="4">
        <f>R27*45%</f>
        <v>3298.05</v>
      </c>
      <c r="U704" s="5">
        <v>0</v>
      </c>
      <c r="V704" s="4">
        <f>(S704+T704)-U704</f>
        <v>3298.05</v>
      </c>
      <c r="W704" s="4">
        <f>V704+AA703</f>
        <v>-1879.8</v>
      </c>
      <c r="X704" s="3"/>
      <c r="Y704" s="3"/>
      <c r="Z704" s="25">
        <f>U704+Y704</f>
        <v>0</v>
      </c>
      <c r="AA704" s="76">
        <f>W704-Y704</f>
        <v>-1879.8</v>
      </c>
      <c r="AB704" s="9" t="s">
        <v>12</v>
      </c>
      <c r="AC704" s="19">
        <v>45375</v>
      </c>
      <c r="AD704" s="41"/>
      <c r="AE704" s="42"/>
      <c r="AF704" s="4">
        <f>AD27-H704-T704</f>
        <v>7770.075</v>
      </c>
      <c r="AG704" s="3"/>
      <c r="AH704" s="8">
        <v>1500</v>
      </c>
      <c r="AI704" s="4">
        <f>(AE704+AF704)-AH704</f>
        <v>6270.075</v>
      </c>
      <c r="AJ704" s="4">
        <f>AI704+BP703</f>
        <v>-78865.34</v>
      </c>
      <c r="AK704" s="3"/>
      <c r="AL704" s="8"/>
      <c r="AM704" s="47"/>
      <c r="AN704" s="47"/>
      <c r="AO704" s="8"/>
      <c r="AP704" s="8"/>
      <c r="AQ704" s="47"/>
      <c r="AR704" s="47"/>
      <c r="AS704" s="8"/>
      <c r="AT704" s="8"/>
      <c r="AU704" s="47"/>
      <c r="AV704" s="47"/>
      <c r="AW704" s="8"/>
      <c r="AX704" s="8"/>
      <c r="AY704" s="47"/>
      <c r="AZ704" s="47"/>
      <c r="BA704" s="8"/>
      <c r="BB704" s="8"/>
      <c r="BC704" s="47"/>
      <c r="BD704" s="47"/>
      <c r="BE704" s="8"/>
      <c r="BF704" s="8"/>
      <c r="BG704" s="47"/>
      <c r="BH704" s="47"/>
      <c r="BI704" s="8"/>
      <c r="BJ704" s="3"/>
      <c r="BK704" s="47"/>
      <c r="BL704" s="47"/>
      <c r="BM704" s="46"/>
      <c r="BN704" s="46"/>
      <c r="BO704" s="24">
        <f>AL704+AN704+AP704+AR704+AT704+AV704+AX704+AZ704+BB704+BD704+BF704+BH704+BJ704+BL704</f>
        <v>0</v>
      </c>
      <c r="BP704" s="28">
        <f>AJ704-BO704</f>
        <v>-78865.34</v>
      </c>
      <c r="BQ704" s="2">
        <v>45375</v>
      </c>
    </row>
    <row r="705" spans="1:73" hidden="true">
      <c r="D705" s="9" t="s">
        <v>13</v>
      </c>
      <c r="E705" s="2">
        <v>45376</v>
      </c>
      <c r="F705" s="38"/>
      <c r="G705" s="51"/>
      <c r="H705" s="4">
        <f>F28*50%</f>
        <v>3184.975</v>
      </c>
      <c r="I705" s="120">
        <v>1000</v>
      </c>
      <c r="J705" s="4">
        <f>(G705+H705)-I705</f>
        <v>2184.975</v>
      </c>
      <c r="K705" s="4">
        <f>J705+O704</f>
        <v>1056.305</v>
      </c>
      <c r="L705" s="3"/>
      <c r="M705" s="3"/>
      <c r="N705" s="25">
        <f>I705+M705</f>
        <v>1000</v>
      </c>
      <c r="O705" s="28">
        <f>K705-M705</f>
        <v>1056.305</v>
      </c>
      <c r="P705" s="9" t="s">
        <v>13</v>
      </c>
      <c r="Q705" s="2">
        <v>45376</v>
      </c>
      <c r="R705" s="38"/>
      <c r="S705" s="52"/>
      <c r="T705" s="4">
        <f>R28*45%</f>
        <v>1920.6</v>
      </c>
      <c r="U705" s="5">
        <v>0</v>
      </c>
      <c r="V705" s="4">
        <f>(S705+T705)-U705</f>
        <v>1920.6</v>
      </c>
      <c r="W705" s="4">
        <f>V705+AA704</f>
        <v>40.799999999996</v>
      </c>
      <c r="X705" s="3" t="s">
        <v>85</v>
      </c>
      <c r="Y705" s="3">
        <f>(4500)</f>
        <v>4500</v>
      </c>
      <c r="Z705" s="25">
        <f>U705+Y705</f>
        <v>4500</v>
      </c>
      <c r="AA705" s="76">
        <f>W705-Y705</f>
        <v>-4459.2</v>
      </c>
      <c r="AB705" s="9" t="s">
        <v>13</v>
      </c>
      <c r="AC705" s="19">
        <v>45376</v>
      </c>
      <c r="AD705" s="41"/>
      <c r="AE705" s="42"/>
      <c r="AF705" s="4">
        <f>AD28-H705-T705</f>
        <v>5532.375</v>
      </c>
      <c r="AG705" s="3"/>
      <c r="AH705" s="8">
        <v>1500</v>
      </c>
      <c r="AI705" s="4">
        <f>(AE705+AF705)-AH705</f>
        <v>4032.375</v>
      </c>
      <c r="AJ705" s="4">
        <f>AI705+BP704</f>
        <v>-74832.965</v>
      </c>
      <c r="AK705" s="3"/>
      <c r="AL705" s="8"/>
      <c r="AM705" s="47"/>
      <c r="AN705" s="47"/>
      <c r="AO705" s="8"/>
      <c r="AP705" s="8"/>
      <c r="AQ705" s="47"/>
      <c r="AR705" s="47"/>
      <c r="AS705" s="8"/>
      <c r="AT705" s="8"/>
      <c r="AU705" s="47"/>
      <c r="AV705" s="47"/>
      <c r="AW705" s="8"/>
      <c r="AX705" s="8"/>
      <c r="AY705" s="47"/>
      <c r="AZ705" s="47"/>
      <c r="BA705" s="8"/>
      <c r="BB705" s="8"/>
      <c r="BC705" s="47"/>
      <c r="BD705" s="47"/>
      <c r="BE705" s="8"/>
      <c r="BF705" s="8"/>
      <c r="BG705" s="47"/>
      <c r="BH705" s="47"/>
      <c r="BI705" s="3"/>
      <c r="BJ705" s="3"/>
      <c r="BK705" s="47" t="s">
        <v>86</v>
      </c>
      <c r="BL705" s="47">
        <f>(3000+3000)</f>
        <v>6000</v>
      </c>
      <c r="BM705" s="46"/>
      <c r="BN705" s="46"/>
      <c r="BO705" s="24">
        <f>AL705+AN705+AP705+AR705+AT705+AV705+AX705+AZ705+BB705+BD705+BF705+BH705+BJ705+BL705</f>
        <v>6000</v>
      </c>
      <c r="BP705" s="28">
        <f>AJ705-BO705</f>
        <v>-80832.965</v>
      </c>
      <c r="BQ705" s="2">
        <v>45376</v>
      </c>
    </row>
    <row r="706" spans="1:73" hidden="true">
      <c r="D706" s="9" t="s">
        <v>14</v>
      </c>
      <c r="E706" s="2">
        <v>45377</v>
      </c>
      <c r="F706" s="38"/>
      <c r="G706" s="51"/>
      <c r="H706" s="4">
        <f>F29*50%</f>
        <v>2681.75</v>
      </c>
      <c r="I706" s="120">
        <v>1000</v>
      </c>
      <c r="J706" s="4">
        <f>(G706+H706)-I706</f>
        <v>1681.75</v>
      </c>
      <c r="K706" s="4">
        <f>J706+O705</f>
        <v>2738.055</v>
      </c>
      <c r="L706" s="3"/>
      <c r="M706" s="3"/>
      <c r="N706" s="25">
        <f>I706+M706</f>
        <v>1000</v>
      </c>
      <c r="O706" s="28">
        <f>K706-M706</f>
        <v>2738.055</v>
      </c>
      <c r="P706" s="9" t="s">
        <v>14</v>
      </c>
      <c r="Q706" s="2">
        <v>45377</v>
      </c>
      <c r="R706" s="38"/>
      <c r="S706" s="52"/>
      <c r="T706" s="4">
        <f>R29*45%</f>
        <v>4094.1</v>
      </c>
      <c r="U706" s="5">
        <v>0</v>
      </c>
      <c r="V706" s="4">
        <f>(S706+T706)-U706</f>
        <v>4094.1</v>
      </c>
      <c r="W706" s="4">
        <f>V706+AA705</f>
        <v>-365.1</v>
      </c>
      <c r="X706" s="3"/>
      <c r="Y706" s="3"/>
      <c r="Z706" s="25">
        <f>U706+Y706</f>
        <v>0</v>
      </c>
      <c r="AA706" s="76">
        <f>W706-Y706</f>
        <v>-365.1</v>
      </c>
      <c r="AB706" s="9" t="s">
        <v>14</v>
      </c>
      <c r="AC706" s="19">
        <v>45377</v>
      </c>
      <c r="AD706" s="41"/>
      <c r="AE706" s="42"/>
      <c r="AF706" s="4">
        <f>AD29-H706-T706</f>
        <v>7685.65</v>
      </c>
      <c r="AG706" s="3"/>
      <c r="AH706" s="8">
        <v>1500</v>
      </c>
      <c r="AI706" s="4">
        <f>(AE706+AF706)-AH706</f>
        <v>6185.65</v>
      </c>
      <c r="AJ706" s="4">
        <f>AI706+BP705</f>
        <v>-74647.315</v>
      </c>
      <c r="AK706" s="3" t="s">
        <v>87</v>
      </c>
      <c r="AL706" s="8">
        <f>(3500)</f>
        <v>3500</v>
      </c>
      <c r="AM706" s="47"/>
      <c r="AN706" s="47"/>
      <c r="AO706" s="8"/>
      <c r="AP706" s="8"/>
      <c r="AQ706" s="47"/>
      <c r="AR706" s="47"/>
      <c r="AS706" s="8"/>
      <c r="AT706" s="8"/>
      <c r="AU706" s="47"/>
      <c r="AV706" s="47"/>
      <c r="AW706" s="8"/>
      <c r="AX706" s="8"/>
      <c r="AY706" s="47"/>
      <c r="AZ706" s="47"/>
      <c r="BA706" s="8"/>
      <c r="BB706" s="8"/>
      <c r="BC706" s="47"/>
      <c r="BD706" s="47"/>
      <c r="BE706" s="8"/>
      <c r="BF706" s="8"/>
      <c r="BG706" s="47"/>
      <c r="BH706" s="47"/>
      <c r="BI706" s="8"/>
      <c r="BJ706" s="3"/>
      <c r="BK706" s="47"/>
      <c r="BL706" s="47"/>
      <c r="BM706" s="46"/>
      <c r="BN706" s="46"/>
      <c r="BO706" s="24">
        <f>AL706+AN706+AP706+AR706+AT706+AV706+AX706+AZ706+BB706+BD706+BF706+BH706+BJ706+BL706</f>
        <v>3500</v>
      </c>
      <c r="BP706" s="28">
        <f>AJ706-BO706</f>
        <v>-78147.315</v>
      </c>
      <c r="BQ706" s="2">
        <v>45377</v>
      </c>
    </row>
    <row r="707" spans="1:73" hidden="true">
      <c r="D707" s="9" t="s">
        <v>15</v>
      </c>
      <c r="E707" s="2">
        <v>45378</v>
      </c>
      <c r="F707" s="38"/>
      <c r="G707" s="51"/>
      <c r="H707" s="4">
        <f>F30*50%</f>
        <v>2538.025</v>
      </c>
      <c r="I707" s="120">
        <v>1000</v>
      </c>
      <c r="J707" s="4">
        <f>(G707+H707)-I707</f>
        <v>1538.025</v>
      </c>
      <c r="K707" s="4">
        <f>J707+O706</f>
        <v>4276.08</v>
      </c>
      <c r="L707" s="3" t="s">
        <v>76</v>
      </c>
      <c r="M707" s="3">
        <f>(5303.4)</f>
        <v>5303.4</v>
      </c>
      <c r="N707" s="25">
        <f>I707+M707</f>
        <v>6303.4</v>
      </c>
      <c r="O707" s="28">
        <f>K707-M707</f>
        <v>-1027.32</v>
      </c>
      <c r="P707" s="9" t="s">
        <v>15</v>
      </c>
      <c r="Q707" s="2">
        <v>45378</v>
      </c>
      <c r="R707" s="38"/>
      <c r="S707" s="52"/>
      <c r="T707" s="4">
        <f>R30*45%</f>
        <v>1588.5</v>
      </c>
      <c r="U707" s="5">
        <v>0</v>
      </c>
      <c r="V707" s="4">
        <f>(S707+T707)-U707</f>
        <v>1588.5</v>
      </c>
      <c r="W707" s="4">
        <f>V707+AA706</f>
        <v>1223.4</v>
      </c>
      <c r="X707" s="3" t="s">
        <v>88</v>
      </c>
      <c r="Y707" s="3">
        <f>(13600)</f>
        <v>13600</v>
      </c>
      <c r="Z707" s="25">
        <f>U707+Y707</f>
        <v>13600</v>
      </c>
      <c r="AA707" s="76">
        <f>W707-Y707</f>
        <v>-12376.6</v>
      </c>
      <c r="AB707" s="9" t="s">
        <v>15</v>
      </c>
      <c r="AC707" s="19">
        <v>45378</v>
      </c>
      <c r="AD707" s="41"/>
      <c r="AE707" s="42"/>
      <c r="AF707" s="4">
        <f>AD30-H707-T707</f>
        <v>4479.525</v>
      </c>
      <c r="AG707" s="3"/>
      <c r="AH707" s="8">
        <v>1500</v>
      </c>
      <c r="AI707" s="4">
        <f>(AE707+AF707)-AH707</f>
        <v>2979.525</v>
      </c>
      <c r="AJ707" s="4">
        <f>AI707+BP706</f>
        <v>-75167.79</v>
      </c>
      <c r="AK707" s="3" t="s">
        <v>89</v>
      </c>
      <c r="AL707" s="8">
        <v>24550</v>
      </c>
      <c r="AM707" s="47"/>
      <c r="AN707" s="47"/>
      <c r="AO707" s="8"/>
      <c r="AP707" s="8"/>
      <c r="AQ707" s="47"/>
      <c r="AR707" s="47"/>
      <c r="AS707" s="8"/>
      <c r="AT707" s="8"/>
      <c r="AU707" s="47"/>
      <c r="AV707" s="47"/>
      <c r="AW707" s="8"/>
      <c r="AX707" s="8"/>
      <c r="AY707" s="47"/>
      <c r="AZ707" s="47"/>
      <c r="BA707" s="8"/>
      <c r="BB707" s="8"/>
      <c r="BC707" s="47"/>
      <c r="BD707" s="47"/>
      <c r="BE707" s="8"/>
      <c r="BF707" s="8"/>
      <c r="BG707" s="47"/>
      <c r="BH707" s="47"/>
      <c r="BI707" s="8"/>
      <c r="BJ707" s="3"/>
      <c r="BK707" s="47"/>
      <c r="BL707" s="47"/>
      <c r="BM707" s="46"/>
      <c r="BN707" s="46"/>
      <c r="BO707" s="24">
        <f>AL707+AN707+AP707+AR707+AT707+AV707+AX707+AZ707+BB707+BD707+BF707+BH707+BJ707+BL707</f>
        <v>24550</v>
      </c>
      <c r="BP707" s="28">
        <f>AJ707-BO707</f>
        <v>-99717.79</v>
      </c>
      <c r="BQ707" s="2">
        <v>45378</v>
      </c>
    </row>
    <row r="708" spans="1:73" hidden="true">
      <c r="D708" s="9" t="s">
        <v>16</v>
      </c>
      <c r="E708" s="2">
        <v>45379</v>
      </c>
      <c r="F708" s="38"/>
      <c r="G708" s="51"/>
      <c r="H708" s="4">
        <f>F31*50%</f>
        <v>3156.3</v>
      </c>
      <c r="I708" s="120">
        <v>0</v>
      </c>
      <c r="J708" s="4">
        <f>(G708+H708)-I708</f>
        <v>3156.3</v>
      </c>
      <c r="K708" s="4">
        <f>J708+O707</f>
        <v>2128.98</v>
      </c>
      <c r="L708" s="3"/>
      <c r="M708" s="3"/>
      <c r="N708" s="25">
        <f>I708+M708</f>
        <v>0</v>
      </c>
      <c r="O708" s="28">
        <f>K708-M708</f>
        <v>2128.98</v>
      </c>
      <c r="P708" s="9" t="s">
        <v>16</v>
      </c>
      <c r="Q708" s="2">
        <v>45379</v>
      </c>
      <c r="R708" s="38"/>
      <c r="S708" s="52"/>
      <c r="T708" s="4">
        <f>R31*45%</f>
        <v>3903.75</v>
      </c>
      <c r="U708" s="5">
        <v>0</v>
      </c>
      <c r="V708" s="4">
        <f>(S708+T708)-U708</f>
        <v>3903.75</v>
      </c>
      <c r="W708" s="4">
        <f>V708+AA707</f>
        <v>-8472.85</v>
      </c>
      <c r="X708" s="3" t="s">
        <v>90</v>
      </c>
      <c r="Y708" s="3">
        <v>13908</v>
      </c>
      <c r="Z708" s="25">
        <f>U708+Y708</f>
        <v>13908</v>
      </c>
      <c r="AA708" s="76">
        <f>W708-Y708</f>
        <v>-22380.85</v>
      </c>
      <c r="AB708" s="9" t="s">
        <v>16</v>
      </c>
      <c r="AC708" s="19">
        <v>45379</v>
      </c>
      <c r="AD708" s="41"/>
      <c r="AE708" s="42"/>
      <c r="AF708" s="4">
        <f>AD31-H708-T708</f>
        <v>7927.55</v>
      </c>
      <c r="AG708" s="3"/>
      <c r="AH708" s="8">
        <v>1500</v>
      </c>
      <c r="AI708" s="4">
        <f>(AE708+AF708)-AH708</f>
        <v>6427.55</v>
      </c>
      <c r="AJ708" s="4">
        <f>AI708+BP707</f>
        <v>-93290.24</v>
      </c>
      <c r="AK708" s="3" t="s">
        <v>91</v>
      </c>
      <c r="AL708" s="8">
        <f>(13600+2000)</f>
        <v>15600</v>
      </c>
      <c r="AM708" s="47"/>
      <c r="AN708" s="47"/>
      <c r="AO708" s="8"/>
      <c r="AP708" s="8"/>
      <c r="AQ708" s="47"/>
      <c r="AR708" s="47"/>
      <c r="AS708" s="8"/>
      <c r="AT708" s="8"/>
      <c r="AU708" s="47"/>
      <c r="AV708" s="47"/>
      <c r="AW708" s="8"/>
      <c r="AX708" s="8"/>
      <c r="AY708" s="47"/>
      <c r="AZ708" s="47"/>
      <c r="BA708" s="8"/>
      <c r="BB708" s="8"/>
      <c r="BC708" s="47"/>
      <c r="BD708" s="47"/>
      <c r="BE708" s="8"/>
      <c r="BF708" s="8"/>
      <c r="BG708" s="47"/>
      <c r="BH708" s="47"/>
      <c r="BI708" s="8"/>
      <c r="BJ708" s="3"/>
      <c r="BK708" s="47"/>
      <c r="BL708" s="47"/>
      <c r="BM708" s="46"/>
      <c r="BN708" s="46"/>
      <c r="BO708" s="24">
        <f>AL708+AN708+AP708+AR708+AT708+AV708+AX708+AZ708+BB708+BD708+BF708+BH708+BJ708+BL708</f>
        <v>15600</v>
      </c>
      <c r="BP708" s="28">
        <f>AJ708-BO708</f>
        <v>-108890.24</v>
      </c>
      <c r="BQ708" s="2">
        <v>45379</v>
      </c>
    </row>
    <row r="709" spans="1:73" hidden="true">
      <c r="D709" s="9" t="s">
        <v>10</v>
      </c>
      <c r="E709" s="2">
        <v>45380</v>
      </c>
      <c r="F709" s="38"/>
      <c r="G709" s="51"/>
      <c r="H709" s="4">
        <f>F32*50%</f>
        <v>3555.625</v>
      </c>
      <c r="I709" s="120">
        <v>0</v>
      </c>
      <c r="J709" s="4">
        <f>(G709+H709)-I709</f>
        <v>3555.625</v>
      </c>
      <c r="K709" s="4">
        <f>J709+O708</f>
        <v>5684.605</v>
      </c>
      <c r="L709" s="3"/>
      <c r="M709" s="3"/>
      <c r="N709" s="25">
        <f>I709+M709</f>
        <v>0</v>
      </c>
      <c r="O709" s="28">
        <f>K709-M709</f>
        <v>5684.605</v>
      </c>
      <c r="P709" s="9" t="s">
        <v>10</v>
      </c>
      <c r="Q709" s="2">
        <v>45380</v>
      </c>
      <c r="R709" s="38"/>
      <c r="S709" s="52"/>
      <c r="T709" s="4">
        <f>R32*45%</f>
        <v>2425.95</v>
      </c>
      <c r="U709" s="5">
        <v>0</v>
      </c>
      <c r="V709" s="4">
        <f>(S709+T709)-U709</f>
        <v>2425.95</v>
      </c>
      <c r="W709" s="4">
        <f>V709+AA708</f>
        <v>-19954.9</v>
      </c>
      <c r="X709" s="3"/>
      <c r="Y709" s="3"/>
      <c r="Z709" s="25">
        <f>U709+Y709</f>
        <v>0</v>
      </c>
      <c r="AA709" s="76">
        <f>W709-Y709</f>
        <v>-19954.9</v>
      </c>
      <c r="AB709" s="9" t="s">
        <v>10</v>
      </c>
      <c r="AC709" s="19">
        <v>45380</v>
      </c>
      <c r="AD709" s="41"/>
      <c r="AE709" s="42"/>
      <c r="AF709" s="4">
        <f>AD32-H709-T709</f>
        <v>6520.675</v>
      </c>
      <c r="AG709" s="3"/>
      <c r="AH709" s="8">
        <v>1500</v>
      </c>
      <c r="AI709" s="4">
        <f>(AE709+AF709)-AH709</f>
        <v>5020.675</v>
      </c>
      <c r="AJ709" s="4">
        <f>AI709+BP708</f>
        <v>-103869.565</v>
      </c>
      <c r="AK709" s="3"/>
      <c r="AL709" s="8"/>
      <c r="AM709" s="47"/>
      <c r="AN709" s="47"/>
      <c r="AO709" s="8"/>
      <c r="AP709" s="8"/>
      <c r="AQ709" s="47"/>
      <c r="AR709" s="47"/>
      <c r="AS709" s="8"/>
      <c r="AT709" s="8"/>
      <c r="AU709" s="47"/>
      <c r="AV709" s="47"/>
      <c r="AW709" s="8"/>
      <c r="AX709" s="8"/>
      <c r="AY709" s="47"/>
      <c r="AZ709" s="47"/>
      <c r="BA709" s="8"/>
      <c r="BB709" s="8"/>
      <c r="BC709" s="47"/>
      <c r="BD709" s="47"/>
      <c r="BE709" s="8"/>
      <c r="BF709" s="8"/>
      <c r="BG709" s="47"/>
      <c r="BH709" s="47"/>
      <c r="BI709" s="8"/>
      <c r="BJ709" s="3"/>
      <c r="BK709" s="48" t="s">
        <v>72</v>
      </c>
      <c r="BL709" s="47">
        <f>(500+1000+500)</f>
        <v>2000</v>
      </c>
      <c r="BM709" s="46"/>
      <c r="BN709" s="46"/>
      <c r="BO709" s="24">
        <f>AL709+AN709+AP709+AR709+AT709+AV709+AX709+AZ709+BB709+BD709+BF709+BH709+BJ709+BL709</f>
        <v>2000</v>
      </c>
      <c r="BP709" s="28">
        <f>AJ709-BO709</f>
        <v>-105869.565</v>
      </c>
      <c r="BQ709" s="2">
        <v>45380</v>
      </c>
    </row>
    <row r="710" spans="1:73" hidden="true">
      <c r="D710" s="9" t="s">
        <v>11</v>
      </c>
      <c r="E710" s="2">
        <v>45381</v>
      </c>
      <c r="F710" s="38"/>
      <c r="G710" s="51"/>
      <c r="H710" s="4">
        <f>F33*50%</f>
        <v>3592.235</v>
      </c>
      <c r="I710" s="120">
        <v>1000</v>
      </c>
      <c r="J710" s="4">
        <f>(G710+H710)-I710</f>
        <v>2592.235</v>
      </c>
      <c r="K710" s="4">
        <f>J710+O709</f>
        <v>8276.84</v>
      </c>
      <c r="L710" s="3"/>
      <c r="M710" s="3"/>
      <c r="N710" s="25">
        <f>I710+M710</f>
        <v>1000</v>
      </c>
      <c r="O710" s="28">
        <f>K710-M710</f>
        <v>8276.84</v>
      </c>
      <c r="P710" s="9" t="s">
        <v>11</v>
      </c>
      <c r="Q710" s="2">
        <v>45381</v>
      </c>
      <c r="R710" s="38"/>
      <c r="S710" s="52"/>
      <c r="T710" s="4">
        <f>R33*45%</f>
        <v>2809.35</v>
      </c>
      <c r="U710" s="5">
        <v>0</v>
      </c>
      <c r="V710" s="4">
        <f>(S710+T710)-U710</f>
        <v>2809.35</v>
      </c>
      <c r="W710" s="4">
        <f>V710+AA709</f>
        <v>-17145.55</v>
      </c>
      <c r="X710" s="3"/>
      <c r="Y710" s="3"/>
      <c r="Z710" s="25">
        <f>U710+Y710</f>
        <v>0</v>
      </c>
      <c r="AA710" s="76">
        <f>W710-Y710</f>
        <v>-17145.55</v>
      </c>
      <c r="AB710" s="9" t="s">
        <v>11</v>
      </c>
      <c r="AC710" s="19">
        <v>45381</v>
      </c>
      <c r="AD710" s="41"/>
      <c r="AE710" s="42"/>
      <c r="AF710" s="4">
        <f>AD33-H710-T710</f>
        <v>7025.885</v>
      </c>
      <c r="AG710" s="3"/>
      <c r="AH710" s="8">
        <v>1500</v>
      </c>
      <c r="AI710" s="4">
        <f>(AE710+AF710)-AH710</f>
        <v>5525.885</v>
      </c>
      <c r="AJ710" s="4">
        <f>AI710+BP709</f>
        <v>-100343.68</v>
      </c>
      <c r="AK710" s="3"/>
      <c r="AL710" s="8"/>
      <c r="AM710" s="47"/>
      <c r="AN710" s="47"/>
      <c r="AO710" s="8"/>
      <c r="AP710" s="8"/>
      <c r="AQ710" s="47"/>
      <c r="AR710" s="47"/>
      <c r="AS710" s="8"/>
      <c r="AT710" s="8"/>
      <c r="AU710" s="47"/>
      <c r="AV710" s="47"/>
      <c r="AW710" s="8"/>
      <c r="AX710" s="8"/>
      <c r="AY710" s="47"/>
      <c r="AZ710" s="47"/>
      <c r="BA710" s="8"/>
      <c r="BB710" s="8"/>
      <c r="BC710" s="47"/>
      <c r="BD710" s="47"/>
      <c r="BE710" s="8"/>
      <c r="BF710" s="8"/>
      <c r="BG710" s="47"/>
      <c r="BH710" s="47"/>
      <c r="BI710" s="8"/>
      <c r="BJ710" s="3"/>
      <c r="BK710" s="47"/>
      <c r="BL710" s="47"/>
      <c r="BM710" s="46"/>
      <c r="BN710" s="46"/>
      <c r="BO710" s="24">
        <f>AL710+AN710+AP710+AR710+AT710+AV710+AX710+AZ710+BB710+BD710+BF710+BH710+BJ710+BL710</f>
        <v>0</v>
      </c>
      <c r="BP710" s="28">
        <f>AJ710-BO710</f>
        <v>-100343.68</v>
      </c>
      <c r="BQ710" s="2">
        <v>45381</v>
      </c>
    </row>
    <row r="711" spans="1:73" hidden="true" s="13" customFormat="1">
      <c r="D711" s="13" t="s">
        <v>12</v>
      </c>
      <c r="E711" s="10">
        <v>45382</v>
      </c>
      <c r="F711" s="10"/>
      <c r="G711" s="53"/>
      <c r="H711" s="11">
        <f>F34*50%</f>
        <v>3745.65</v>
      </c>
      <c r="I711" s="121">
        <v>1000</v>
      </c>
      <c r="J711" s="11">
        <f>(G711+H711)-I711</f>
        <v>2745.65</v>
      </c>
      <c r="K711" s="11">
        <f>J711+O710</f>
        <v>11022.49</v>
      </c>
      <c r="L711" s="11"/>
      <c r="M711" s="11"/>
      <c r="N711" s="26">
        <f>I711+M711</f>
        <v>1000</v>
      </c>
      <c r="O711" s="11">
        <f>K711-M711</f>
        <v>11022.49</v>
      </c>
      <c r="P711" s="14" t="s">
        <v>12</v>
      </c>
      <c r="Q711" s="29">
        <v>45382</v>
      </c>
      <c r="R711" s="10"/>
      <c r="S711" s="53"/>
      <c r="T711" s="11">
        <f>R34*45%</f>
        <v>3527.55</v>
      </c>
      <c r="U711" s="12">
        <v>0</v>
      </c>
      <c r="V711" s="11">
        <f>(S711+T711)-U711</f>
        <v>3527.55</v>
      </c>
      <c r="W711" s="11">
        <f>V711+AA710</f>
        <v>-13618</v>
      </c>
      <c r="X711" s="11"/>
      <c r="Y711" s="11"/>
      <c r="Z711" s="26">
        <f>U711+Y711</f>
        <v>0</v>
      </c>
      <c r="AA711" s="53">
        <f>W711-Y711</f>
        <v>-13618</v>
      </c>
      <c r="AB711" s="14" t="s">
        <v>12</v>
      </c>
      <c r="AC711" s="20">
        <v>45382</v>
      </c>
      <c r="AD711" s="14"/>
      <c r="AE711" s="27"/>
      <c r="AF711" s="11">
        <f>AD34-H711-T711</f>
        <v>8057.1</v>
      </c>
      <c r="AG711" s="11"/>
      <c r="AH711" s="15"/>
      <c r="AI711" s="11">
        <f>(AE711+AF711)-AH711</f>
        <v>8057.1</v>
      </c>
      <c r="AJ711" s="11">
        <f>AI711+BP710</f>
        <v>-92286.58</v>
      </c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1"/>
      <c r="BK711" s="15"/>
      <c r="BL711" s="15"/>
      <c r="BM711" s="23"/>
      <c r="BN711" s="23"/>
      <c r="BO711" s="23">
        <f>AL711+AN711+AP711+AR711+AT711+AV711+AX711+AZ711+BB711+BD711+BF711+BH711+BJ711+BL711</f>
        <v>0</v>
      </c>
      <c r="BP711" s="11">
        <f>AJ711-BO711</f>
        <v>-92286.58</v>
      </c>
      <c r="BQ711" s="10">
        <v>45382</v>
      </c>
    </row>
    <row r="712" spans="1:73" hidden="true">
      <c r="D712" s="9" t="s">
        <v>13</v>
      </c>
      <c r="E712" s="2">
        <v>45383</v>
      </c>
      <c r="F712" s="38"/>
      <c r="G712" s="51"/>
      <c r="H712" s="4">
        <f>F35*50%</f>
        <v>3543.075</v>
      </c>
      <c r="I712" s="120">
        <v>970</v>
      </c>
      <c r="J712" s="4">
        <f>(G712+H712)-I712</f>
        <v>2573.075</v>
      </c>
      <c r="K712" s="4">
        <f>J712+O711</f>
        <v>13595.565</v>
      </c>
      <c r="L712" s="3"/>
      <c r="M712" s="3"/>
      <c r="N712" s="25">
        <f>I712+M712</f>
        <v>970</v>
      </c>
      <c r="O712" s="28">
        <f>K712-M712</f>
        <v>13595.565</v>
      </c>
      <c r="P712" s="9" t="s">
        <v>13</v>
      </c>
      <c r="Q712" s="2">
        <v>45383</v>
      </c>
      <c r="R712" s="38"/>
      <c r="S712" s="52"/>
      <c r="T712" s="4">
        <f>R35*45%</f>
        <v>3258</v>
      </c>
      <c r="U712" s="5">
        <v>0</v>
      </c>
      <c r="V712" s="4">
        <f>(S712+T712)-U712</f>
        <v>3258</v>
      </c>
      <c r="W712" s="4">
        <f>V712+AA711</f>
        <v>-10360</v>
      </c>
      <c r="X712" s="3"/>
      <c r="Y712" s="3"/>
      <c r="Z712" s="25">
        <f>U712+Y712</f>
        <v>0</v>
      </c>
      <c r="AA712" s="76">
        <f>W712-Y712</f>
        <v>-10360</v>
      </c>
      <c r="AB712" s="9" t="s">
        <v>13</v>
      </c>
      <c r="AC712" s="19">
        <v>45383</v>
      </c>
      <c r="AD712" s="41"/>
      <c r="AE712" s="42"/>
      <c r="AF712" s="4">
        <f>AD35-H712-T712</f>
        <v>7525.075</v>
      </c>
      <c r="AG712" s="3"/>
      <c r="AH712" s="8">
        <f>(120+485.8)</f>
        <v>605.8</v>
      </c>
      <c r="AI712" s="4">
        <f>(AE712+AF712)-AH712</f>
        <v>6919.275</v>
      </c>
      <c r="AJ712" s="4">
        <f>AI712+BP711</f>
        <v>-85367.305</v>
      </c>
      <c r="AK712" s="3" t="s">
        <v>92</v>
      </c>
      <c r="AL712" s="8">
        <f>(1000)</f>
        <v>1000</v>
      </c>
      <c r="AM712" s="47" t="s">
        <v>93</v>
      </c>
      <c r="AN712" s="47">
        <f>(1800)</f>
        <v>1800</v>
      </c>
      <c r="AO712" s="8"/>
      <c r="AP712" s="8"/>
      <c r="AQ712" s="47"/>
      <c r="AR712" s="47"/>
      <c r="AS712" s="8"/>
      <c r="AT712" s="8"/>
      <c r="AU712" s="47"/>
      <c r="AV712" s="47"/>
      <c r="AW712" s="8"/>
      <c r="AX712" s="8"/>
      <c r="AY712" s="47"/>
      <c r="AZ712" s="47"/>
      <c r="BA712" s="8"/>
      <c r="BB712" s="8"/>
      <c r="BC712" s="47"/>
      <c r="BD712" s="47"/>
      <c r="BE712" s="8"/>
      <c r="BF712" s="8"/>
      <c r="BG712" s="47"/>
      <c r="BH712" s="47"/>
      <c r="BI712" s="3"/>
      <c r="BJ712" s="3"/>
      <c r="BK712" s="47"/>
      <c r="BL712" s="47"/>
      <c r="BM712" s="46"/>
      <c r="BN712" s="46"/>
      <c r="BO712" s="24">
        <f>AL712+AN712+AP712+AR712+AT712+AV712+AX712+AZ712+BB712+BD712+BF712+BH712+BJ712+BL712</f>
        <v>2800</v>
      </c>
      <c r="BP712" s="28">
        <f>AJ712-BO712</f>
        <v>-88167.305</v>
      </c>
      <c r="BQ712" s="2">
        <v>45383</v>
      </c>
    </row>
    <row r="713" spans="1:73" hidden="true">
      <c r="D713" s="9" t="s">
        <v>14</v>
      </c>
      <c r="E713" s="2">
        <v>45384</v>
      </c>
      <c r="F713" s="38"/>
      <c r="G713" s="51"/>
      <c r="H713" s="4">
        <f>F36*50%</f>
        <v>3263.175</v>
      </c>
      <c r="I713" s="120">
        <v>1202</v>
      </c>
      <c r="J713" s="4">
        <f>(G713+H713)-I713</f>
        <v>2061.175</v>
      </c>
      <c r="K713" s="4">
        <f>J713+O712</f>
        <v>15656.74</v>
      </c>
      <c r="L713" s="3"/>
      <c r="M713" s="3"/>
      <c r="N713" s="25">
        <f>I713+M713</f>
        <v>1202</v>
      </c>
      <c r="O713" s="28">
        <f>K713-M713</f>
        <v>15656.74</v>
      </c>
      <c r="P713" s="9" t="s">
        <v>14</v>
      </c>
      <c r="Q713" s="2">
        <v>45384</v>
      </c>
      <c r="R713" s="38"/>
      <c r="S713" s="52"/>
      <c r="T713" s="4">
        <f>R36*45%</f>
        <v>3294</v>
      </c>
      <c r="U713" s="5">
        <v>0</v>
      </c>
      <c r="V713" s="4">
        <f>(S713+T713)-U713</f>
        <v>3294</v>
      </c>
      <c r="W713" s="4">
        <f>V713+AA712</f>
        <v>-7066</v>
      </c>
      <c r="X713" s="3" t="s">
        <v>94</v>
      </c>
      <c r="Y713" s="3">
        <v>239</v>
      </c>
      <c r="Z713" s="25">
        <f>U713+Y713</f>
        <v>239</v>
      </c>
      <c r="AA713" s="76">
        <f>W713-Y713</f>
        <v>-7305</v>
      </c>
      <c r="AB713" s="9" t="s">
        <v>14</v>
      </c>
      <c r="AC713" s="19">
        <v>45384</v>
      </c>
      <c r="AD713" s="41"/>
      <c r="AE713" s="42"/>
      <c r="AF713" s="4">
        <f>AD36-H713-T713</f>
        <v>7289.175</v>
      </c>
      <c r="AG713" s="3"/>
      <c r="AH713" s="8">
        <v>528</v>
      </c>
      <c r="AI713" s="4">
        <f>(AE713+AF713)-AH713</f>
        <v>6761.175</v>
      </c>
      <c r="AJ713" s="4">
        <f>AI713+BP712</f>
        <v>-81406.13</v>
      </c>
      <c r="AK713" s="3" t="s">
        <v>95</v>
      </c>
      <c r="AL713" s="8">
        <f>(1000+4000+1000)</f>
        <v>6000</v>
      </c>
      <c r="AM713" s="47"/>
      <c r="AN713" s="47"/>
      <c r="AO713" s="8"/>
      <c r="AP713" s="8"/>
      <c r="AQ713" s="47"/>
      <c r="AR713" s="47"/>
      <c r="AS713" s="8"/>
      <c r="AT713" s="8"/>
      <c r="AU713" s="47"/>
      <c r="AV713" s="47"/>
      <c r="AW713" s="8"/>
      <c r="AX713" s="8"/>
      <c r="AY713" s="47"/>
      <c r="AZ713" s="47"/>
      <c r="BA713" s="8" t="s">
        <v>96</v>
      </c>
      <c r="BB713" s="8">
        <f>(600)</f>
        <v>600</v>
      </c>
      <c r="BC713" s="47"/>
      <c r="BD713" s="47"/>
      <c r="BE713" s="8"/>
      <c r="BF713" s="8"/>
      <c r="BG713" s="47"/>
      <c r="BH713" s="47"/>
      <c r="BI713" s="8"/>
      <c r="BJ713" s="3"/>
      <c r="BK713" s="47" t="s">
        <v>97</v>
      </c>
      <c r="BL713" s="47"/>
      <c r="BM713" s="46"/>
      <c r="BN713" s="46"/>
      <c r="BO713" s="24">
        <f>AL713+AN713+AP713+AR713+AT713+AV713+AX713+AZ713+BB713+BD713+BF713+BH713+BJ713+BL713</f>
        <v>6600</v>
      </c>
      <c r="BP713" s="28">
        <f>AJ713-BO713</f>
        <v>-88006.13</v>
      </c>
      <c r="BQ713" s="2">
        <v>45384</v>
      </c>
    </row>
    <row r="714" spans="1:73" hidden="true">
      <c r="D714" s="9" t="s">
        <v>15</v>
      </c>
      <c r="E714" s="2">
        <v>45385</v>
      </c>
      <c r="F714" s="38"/>
      <c r="G714" s="51"/>
      <c r="H714" s="4">
        <f>F37*50%</f>
        <v>4587.75</v>
      </c>
      <c r="I714" s="120">
        <v>1120</v>
      </c>
      <c r="J714" s="4">
        <f>(G714+H714)-I714</f>
        <v>3467.75</v>
      </c>
      <c r="K714" s="4">
        <f>J714+O713</f>
        <v>19124.49</v>
      </c>
      <c r="L714" s="3"/>
      <c r="M714" s="3"/>
      <c r="N714" s="25">
        <f>I714+M714</f>
        <v>1120</v>
      </c>
      <c r="O714" s="28">
        <f>K714-M714</f>
        <v>19124.49</v>
      </c>
      <c r="P714" s="9" t="s">
        <v>15</v>
      </c>
      <c r="Q714" s="2">
        <v>45385</v>
      </c>
      <c r="R714" s="38"/>
      <c r="S714" s="52"/>
      <c r="T714" s="4">
        <f>R37*45%</f>
        <v>3746.25</v>
      </c>
      <c r="U714" s="5">
        <v>1080</v>
      </c>
      <c r="V714" s="4">
        <f>(S714+T714)-U714</f>
        <v>2666.25</v>
      </c>
      <c r="W714" s="4">
        <f>V714+AA713</f>
        <v>-4638.75</v>
      </c>
      <c r="X714" s="3"/>
      <c r="Y714" s="3"/>
      <c r="Z714" s="25">
        <f>U714+Y714</f>
        <v>1080</v>
      </c>
      <c r="AA714" s="76">
        <f>W714-Y714</f>
        <v>-4638.75</v>
      </c>
      <c r="AB714" s="9" t="s">
        <v>15</v>
      </c>
      <c r="AC714" s="19">
        <v>45385</v>
      </c>
      <c r="AD714" s="41"/>
      <c r="AE714" s="42"/>
      <c r="AF714" s="4">
        <f>AD37-H714-T714</f>
        <v>9166.5</v>
      </c>
      <c r="AG714" s="3"/>
      <c r="AH714" s="8">
        <v>1059.2</v>
      </c>
      <c r="AI714" s="4">
        <f>(AE714+AF714)-AH714</f>
        <v>8107.3</v>
      </c>
      <c r="AJ714" s="4">
        <f>AI714+BP713</f>
        <v>-79898.83</v>
      </c>
      <c r="AK714" s="3" t="s">
        <v>98</v>
      </c>
      <c r="AL714" s="8">
        <f>(1000)</f>
        <v>1000</v>
      </c>
      <c r="AM714" s="47"/>
      <c r="AN714" s="47"/>
      <c r="AO714" s="8"/>
      <c r="AP714" s="8"/>
      <c r="AQ714" s="47"/>
      <c r="AR714" s="47"/>
      <c r="AS714" s="8"/>
      <c r="AT714" s="8"/>
      <c r="AU714" s="47"/>
      <c r="AV714" s="47"/>
      <c r="AW714" s="8"/>
      <c r="AX714" s="8"/>
      <c r="AY714" s="47"/>
      <c r="AZ714" s="47"/>
      <c r="BA714" s="8" t="s">
        <v>99</v>
      </c>
      <c r="BB714" s="8">
        <f>(300+664)</f>
        <v>964</v>
      </c>
      <c r="BC714" s="47"/>
      <c r="BD714" s="47"/>
      <c r="BE714" s="8"/>
      <c r="BF714" s="8"/>
      <c r="BG714" s="47"/>
      <c r="BH714" s="47"/>
      <c r="BI714" s="8"/>
      <c r="BJ714" s="3"/>
      <c r="BK714" s="47"/>
      <c r="BL714" s="47"/>
      <c r="BM714" s="46"/>
      <c r="BN714" s="46"/>
      <c r="BO714" s="24">
        <f>AL714+AN714+AP714+AR714+AT714+AV714+AX714+AZ714+BB714+BD714+BF714+BH714+BJ714+BL714</f>
        <v>1964</v>
      </c>
      <c r="BP714" s="28">
        <f>AJ714-BO714</f>
        <v>-81862.83</v>
      </c>
      <c r="BQ714" s="2">
        <v>45385</v>
      </c>
    </row>
    <row r="715" spans="1:73" hidden="true">
      <c r="D715" s="9" t="s">
        <v>16</v>
      </c>
      <c r="E715" s="2">
        <v>45386</v>
      </c>
      <c r="F715" s="38"/>
      <c r="G715" s="51"/>
      <c r="H715" s="4">
        <f>F38*50%</f>
        <v>4588.05</v>
      </c>
      <c r="I715" s="120">
        <v>1037</v>
      </c>
      <c r="J715" s="4">
        <f>(G715+H715)-I715</f>
        <v>3551.05</v>
      </c>
      <c r="K715" s="4">
        <f>J715+O714</f>
        <v>22675.54</v>
      </c>
      <c r="L715" s="3" t="s">
        <v>90</v>
      </c>
      <c r="M715" s="3">
        <v>20880</v>
      </c>
      <c r="N715" s="25">
        <f>I715+M715</f>
        <v>21917</v>
      </c>
      <c r="O715" s="28">
        <f>K715-M715</f>
        <v>1795.54</v>
      </c>
      <c r="P715" s="9" t="s">
        <v>16</v>
      </c>
      <c r="Q715" s="2">
        <v>45386</v>
      </c>
      <c r="R715" s="38"/>
      <c r="S715" s="52"/>
      <c r="T715" s="4">
        <f>R38*45%</f>
        <v>2628</v>
      </c>
      <c r="U715" s="5">
        <v>0</v>
      </c>
      <c r="V715" s="4">
        <f>(S715+T715)-U715</f>
        <v>2628</v>
      </c>
      <c r="W715" s="4">
        <f>V715+AA714</f>
        <v>-2010.75</v>
      </c>
      <c r="X715" s="3" t="s">
        <v>100</v>
      </c>
      <c r="Y715" s="3">
        <f>(750)</f>
        <v>750</v>
      </c>
      <c r="Z715" s="25">
        <f>U715+Y715</f>
        <v>750</v>
      </c>
      <c r="AA715" s="76">
        <f>W715-Y715</f>
        <v>-2760.75</v>
      </c>
      <c r="AB715" s="9" t="s">
        <v>16</v>
      </c>
      <c r="AC715" s="19">
        <v>45386</v>
      </c>
      <c r="AD715" s="41"/>
      <c r="AE715" s="42"/>
      <c r="AF715" s="4">
        <f>AD38-H715-T715</f>
        <v>7800.05</v>
      </c>
      <c r="AG715" s="3"/>
      <c r="AH715" s="8">
        <v>723</v>
      </c>
      <c r="AI715" s="4">
        <f>(AE715+AF715)-AH715</f>
        <v>7077.05</v>
      </c>
      <c r="AJ715" s="4">
        <f>AI715+BP714</f>
        <v>-74785.78</v>
      </c>
      <c r="AK715" s="3" t="s">
        <v>101</v>
      </c>
      <c r="AL715" s="8">
        <f>(1000)</f>
        <v>1000</v>
      </c>
      <c r="AM715" s="47"/>
      <c r="AN715" s="47"/>
      <c r="AO715" s="8"/>
      <c r="AP715" s="8"/>
      <c r="AQ715" s="47"/>
      <c r="AR715" s="47"/>
      <c r="AS715" s="8"/>
      <c r="AT715" s="8"/>
      <c r="AU715" s="47"/>
      <c r="AV715" s="47"/>
      <c r="AW715" s="8"/>
      <c r="AX715" s="8"/>
      <c r="AY715" s="47"/>
      <c r="AZ715" s="47"/>
      <c r="BA715" s="8" t="s">
        <v>102</v>
      </c>
      <c r="BB715" s="8">
        <f>(8000)</f>
        <v>8000</v>
      </c>
      <c r="BC715" s="47"/>
      <c r="BD715" s="47"/>
      <c r="BE715" s="8"/>
      <c r="BF715" s="8"/>
      <c r="BG715" s="47"/>
      <c r="BH715" s="47"/>
      <c r="BI715" s="8"/>
      <c r="BJ715" s="3"/>
      <c r="BK715" s="47"/>
      <c r="BL715" s="47"/>
      <c r="BM715" s="46"/>
      <c r="BN715" s="46"/>
      <c r="BO715" s="24">
        <f>AL715+AN715+AP715+AR715+AT715+AV715+AX715+AZ715+BB715+BD715+BF715+BH715+BJ715+BL715</f>
        <v>9000</v>
      </c>
      <c r="BP715" s="28">
        <f>AJ715-BO715</f>
        <v>-83785.78</v>
      </c>
      <c r="BQ715" s="2">
        <v>45386</v>
      </c>
    </row>
    <row r="716" spans="1:73" hidden="true">
      <c r="D716" s="9" t="s">
        <v>10</v>
      </c>
      <c r="E716" s="2">
        <v>45387</v>
      </c>
      <c r="F716" s="38"/>
      <c r="G716" s="51"/>
      <c r="H716" s="4">
        <f>F39*50%</f>
        <v>3759.05</v>
      </c>
      <c r="I716" s="120">
        <v>958</v>
      </c>
      <c r="J716" s="4">
        <f>(G716+H716)-I716</f>
        <v>2801.05</v>
      </c>
      <c r="K716" s="4">
        <f>J716+O715</f>
        <v>4596.59</v>
      </c>
      <c r="L716" s="3"/>
      <c r="M716" s="3"/>
      <c r="N716" s="25">
        <f>I716+M716</f>
        <v>958</v>
      </c>
      <c r="O716" s="28">
        <f>K716-M716</f>
        <v>4596.59</v>
      </c>
      <c r="P716" s="9" t="s">
        <v>10</v>
      </c>
      <c r="Q716" s="2">
        <v>45387</v>
      </c>
      <c r="R716" s="38"/>
      <c r="S716" s="52"/>
      <c r="T716" s="4">
        <f>R39*45%</f>
        <v>3814.65</v>
      </c>
      <c r="U716" s="5">
        <v>0</v>
      </c>
      <c r="V716" s="4">
        <f>(S716+T716)-U716</f>
        <v>3814.65</v>
      </c>
      <c r="W716" s="4">
        <f>V716+AA715</f>
        <v>1053.9</v>
      </c>
      <c r="X716" s="3"/>
      <c r="Y716" s="3"/>
      <c r="Z716" s="25">
        <f>U716+Y716</f>
        <v>0</v>
      </c>
      <c r="AA716" s="76">
        <f>W716-Y716</f>
        <v>1053.9</v>
      </c>
      <c r="AB716" s="9" t="s">
        <v>10</v>
      </c>
      <c r="AC716" s="19">
        <v>45387</v>
      </c>
      <c r="AD716" s="41"/>
      <c r="AE716" s="42"/>
      <c r="AF716" s="4">
        <f>AD39-H716-T716</f>
        <v>8421.4</v>
      </c>
      <c r="AG716" s="3"/>
      <c r="AH716" s="8">
        <v>899</v>
      </c>
      <c r="AI716" s="4">
        <f>(AE716+AF716)-AH716</f>
        <v>7522.4</v>
      </c>
      <c r="AJ716" s="4">
        <f>AI716+BP715</f>
        <v>-76263.38</v>
      </c>
      <c r="AK716" s="3" t="s">
        <v>103</v>
      </c>
      <c r="AL716" s="8">
        <f>(19558.08+1000)</f>
        <v>20558.08</v>
      </c>
      <c r="AM716" s="47" t="s">
        <v>104</v>
      </c>
      <c r="AN716" s="47">
        <f>(10000)</f>
        <v>10000</v>
      </c>
      <c r="AO716" s="8"/>
      <c r="AP716" s="8"/>
      <c r="AQ716" s="47"/>
      <c r="AR716" s="47"/>
      <c r="AS716" s="8"/>
      <c r="AT716" s="8"/>
      <c r="AU716" s="47"/>
      <c r="AV716" s="47"/>
      <c r="AW716" s="8"/>
      <c r="AX716" s="8"/>
      <c r="AY716" s="47"/>
      <c r="AZ716" s="47"/>
      <c r="BA716" s="8" t="s">
        <v>105</v>
      </c>
      <c r="BB716" s="8">
        <f>(1200+3000)</f>
        <v>4200</v>
      </c>
      <c r="BC716" s="47"/>
      <c r="BD716" s="47"/>
      <c r="BE716" s="8"/>
      <c r="BF716" s="8"/>
      <c r="BG716" s="47"/>
      <c r="BH716" s="47"/>
      <c r="BI716" s="8"/>
      <c r="BJ716" s="3"/>
      <c r="BK716" s="48"/>
      <c r="BL716" s="47"/>
      <c r="BM716" s="46"/>
      <c r="BN716" s="46"/>
      <c r="BO716" s="24">
        <f>AL716+AN716+AP716+AR716+AT716+AV716+AX716+AZ716+BB716+BD716+BF716+BH716+BJ716+BL716</f>
        <v>34758.08</v>
      </c>
      <c r="BP716" s="28">
        <f>AJ716-BO716</f>
        <v>-111021.46</v>
      </c>
      <c r="BQ716" s="2">
        <v>45387</v>
      </c>
    </row>
    <row r="717" spans="1:73" hidden="true">
      <c r="D717" s="9" t="s">
        <v>11</v>
      </c>
      <c r="E717" s="2">
        <v>45388</v>
      </c>
      <c r="F717" s="38"/>
      <c r="G717" s="51"/>
      <c r="H717" s="4">
        <f>F40*50%</f>
        <v>5653.3</v>
      </c>
      <c r="I717" s="120">
        <v>998</v>
      </c>
      <c r="J717" s="4">
        <f>(G717+H717)-I717</f>
        <v>4655.3</v>
      </c>
      <c r="K717" s="4">
        <f>J717+O716</f>
        <v>9251.89</v>
      </c>
      <c r="L717" s="3"/>
      <c r="M717" s="3"/>
      <c r="N717" s="25">
        <f>I717+M717</f>
        <v>998</v>
      </c>
      <c r="O717" s="28">
        <f>K717-M717</f>
        <v>9251.89</v>
      </c>
      <c r="P717" s="9" t="s">
        <v>11</v>
      </c>
      <c r="Q717" s="2">
        <v>45388</v>
      </c>
      <c r="R717" s="38"/>
      <c r="S717" s="52"/>
      <c r="T717" s="4">
        <f>R40*45%</f>
        <v>3944.25</v>
      </c>
      <c r="U717" s="5">
        <v>1240</v>
      </c>
      <c r="V717" s="4">
        <f>(S717+T717)-U717</f>
        <v>2704.25</v>
      </c>
      <c r="W717" s="4">
        <f>V717+AA716</f>
        <v>3758.15</v>
      </c>
      <c r="X717" s="3" t="s">
        <v>106</v>
      </c>
      <c r="Y717" s="3">
        <v>267.2</v>
      </c>
      <c r="Z717" s="25">
        <f>U717+Y717</f>
        <v>1507.2</v>
      </c>
      <c r="AA717" s="76">
        <f>W717-Y717</f>
        <v>3490.95</v>
      </c>
      <c r="AB717" s="9" t="s">
        <v>11</v>
      </c>
      <c r="AC717" s="19">
        <v>45388</v>
      </c>
      <c r="AD717" s="41"/>
      <c r="AE717" s="42"/>
      <c r="AF717" s="4">
        <f>AD40-H717-T717</f>
        <v>10474.05</v>
      </c>
      <c r="AG717" s="3"/>
      <c r="AH717" s="8">
        <v>1082</v>
      </c>
      <c r="AI717" s="4">
        <f>(AE717+AF717)-AH717</f>
        <v>9392.05</v>
      </c>
      <c r="AJ717" s="4">
        <f>AI717+BP716</f>
        <v>-101629.41</v>
      </c>
      <c r="AK717" s="3" t="s">
        <v>107</v>
      </c>
      <c r="AL717" s="8">
        <f>(9871.66+1000)</f>
        <v>10871.66</v>
      </c>
      <c r="AM717" s="47"/>
      <c r="AN717" s="47"/>
      <c r="AO717" s="8"/>
      <c r="AP717" s="8"/>
      <c r="AQ717" s="47"/>
      <c r="AR717" s="47"/>
      <c r="AS717" s="8"/>
      <c r="AT717" s="8"/>
      <c r="AU717" s="47"/>
      <c r="AV717" s="47"/>
      <c r="AW717" s="8"/>
      <c r="AX717" s="8"/>
      <c r="AY717" s="47"/>
      <c r="AZ717" s="47"/>
      <c r="BA717" s="8"/>
      <c r="BB717" s="8"/>
      <c r="BC717" s="47"/>
      <c r="BD717" s="47"/>
      <c r="BE717" s="8"/>
      <c r="BF717" s="8"/>
      <c r="BG717" s="47"/>
      <c r="BH717" s="47"/>
      <c r="BI717" s="8"/>
      <c r="BJ717" s="3"/>
      <c r="BK717" s="47"/>
      <c r="BL717" s="47"/>
      <c r="BM717" s="46"/>
      <c r="BN717" s="46"/>
      <c r="BO717" s="24">
        <f>AL717+AN717+AP717+AR717+AT717+AV717+AX717+AZ717+BB717+BD717+BF717+BH717+BJ717+BL717</f>
        <v>10871.66</v>
      </c>
      <c r="BP717" s="28">
        <f>AJ717-BO717</f>
        <v>-112501.07</v>
      </c>
      <c r="BQ717" s="2">
        <v>45388</v>
      </c>
    </row>
    <row r="718" spans="1:73" hidden="true">
      <c r="D718" s="9" t="s">
        <v>12</v>
      </c>
      <c r="E718" s="2">
        <v>45389</v>
      </c>
      <c r="F718" s="38"/>
      <c r="G718" s="51"/>
      <c r="H718" s="4">
        <f>F41*50%</f>
        <v>4986.725</v>
      </c>
      <c r="I718" s="120">
        <v>0</v>
      </c>
      <c r="J718" s="4">
        <f>(G718+H718)-I718</f>
        <v>4986.725</v>
      </c>
      <c r="K718" s="4">
        <f>J718+O717</f>
        <v>14238.615</v>
      </c>
      <c r="L718" s="3"/>
      <c r="M718" s="3"/>
      <c r="N718" s="25">
        <f>I718+M718</f>
        <v>0</v>
      </c>
      <c r="O718" s="28">
        <f>K718-M718</f>
        <v>14238.615</v>
      </c>
      <c r="P718" s="9" t="s">
        <v>12</v>
      </c>
      <c r="Q718" s="2">
        <v>45389</v>
      </c>
      <c r="R718" s="38"/>
      <c r="S718" s="52"/>
      <c r="T718" s="4">
        <f>R41*45%</f>
        <v>2704.5</v>
      </c>
      <c r="U718" s="5">
        <v>0</v>
      </c>
      <c r="V718" s="4">
        <f>(S718+T718)-U718</f>
        <v>2704.5</v>
      </c>
      <c r="W718" s="4">
        <f>V718+AA717</f>
        <v>6195.45</v>
      </c>
      <c r="X718" s="3"/>
      <c r="Y718" s="3"/>
      <c r="Z718" s="25">
        <f>U718+Y718</f>
        <v>0</v>
      </c>
      <c r="AA718" s="76">
        <f>W718-Y718</f>
        <v>6195.45</v>
      </c>
      <c r="AB718" s="9" t="s">
        <v>12</v>
      </c>
      <c r="AC718" s="19">
        <v>45389</v>
      </c>
      <c r="AD718" s="41"/>
      <c r="AE718" s="42"/>
      <c r="AF718" s="4">
        <f>AD41-H718-T718</f>
        <v>8292.225</v>
      </c>
      <c r="AG718" s="3"/>
      <c r="AH718" s="8">
        <v>590</v>
      </c>
      <c r="AI718" s="4">
        <f>(AE718+AF718)-AH718</f>
        <v>7702.225</v>
      </c>
      <c r="AJ718" s="4">
        <f>AI718+BP717</f>
        <v>-104798.845</v>
      </c>
      <c r="AK718" s="3" t="s">
        <v>108</v>
      </c>
      <c r="AL718" s="8">
        <f>(500+5000+1000)</f>
        <v>6500</v>
      </c>
      <c r="AM718" s="47"/>
      <c r="AN718" s="47"/>
      <c r="AO718" s="8"/>
      <c r="AP718" s="8"/>
      <c r="AQ718" s="47"/>
      <c r="AR718" s="47"/>
      <c r="AS718" s="8"/>
      <c r="AT718" s="8"/>
      <c r="AU718" s="47"/>
      <c r="AV718" s="47"/>
      <c r="AW718" s="8"/>
      <c r="AX718" s="8"/>
      <c r="AY718" s="47"/>
      <c r="AZ718" s="47"/>
      <c r="BA718" s="8" t="s">
        <v>109</v>
      </c>
      <c r="BB718" s="8">
        <f>(300+320+700)</f>
        <v>1320</v>
      </c>
      <c r="BC718" s="47"/>
      <c r="BD718" s="47"/>
      <c r="BE718" s="8"/>
      <c r="BF718" s="8"/>
      <c r="BG718" s="47"/>
      <c r="BH718" s="47"/>
      <c r="BI718" s="3"/>
      <c r="BJ718" s="3"/>
      <c r="BK718" s="47"/>
      <c r="BL718" s="47"/>
      <c r="BM718" s="46"/>
      <c r="BN718" s="46"/>
      <c r="BO718" s="24">
        <f>AL718+AN718+AP718+AR718+AT718+AV718+AX718+AZ718+BB718+BD718+BF718+BH718+BJ718+BL718</f>
        <v>7820</v>
      </c>
      <c r="BP718" s="28">
        <f>AJ718-BO718</f>
        <v>-112618.845</v>
      </c>
      <c r="BQ718" s="2">
        <v>45389</v>
      </c>
    </row>
    <row r="719" spans="1:73" hidden="true">
      <c r="D719" s="9" t="s">
        <v>13</v>
      </c>
      <c r="E719" s="2">
        <v>45390</v>
      </c>
      <c r="F719" s="38"/>
      <c r="G719" s="51"/>
      <c r="H719" s="4">
        <f>F42*50%</f>
        <v>4428.725</v>
      </c>
      <c r="I719" s="120">
        <v>2050.5</v>
      </c>
      <c r="J719" s="4">
        <f>(G719+H719)-I719</f>
        <v>2378.225</v>
      </c>
      <c r="K719" s="4">
        <f>J719+O718</f>
        <v>16616.84</v>
      </c>
      <c r="L719" s="3"/>
      <c r="M719" s="3"/>
      <c r="N719" s="25">
        <f>I719+M719</f>
        <v>2050.5</v>
      </c>
      <c r="O719" s="28">
        <f>K719-M719</f>
        <v>16616.84</v>
      </c>
      <c r="P719" s="9" t="s">
        <v>13</v>
      </c>
      <c r="Q719" s="2">
        <v>45390</v>
      </c>
      <c r="R719" s="38"/>
      <c r="S719" s="52"/>
      <c r="T719" s="4">
        <f>R42*45%</f>
        <v>5207.85</v>
      </c>
      <c r="U719" s="5">
        <v>0</v>
      </c>
      <c r="V719" s="4">
        <f>(S719+T719)-U719</f>
        <v>5207.85</v>
      </c>
      <c r="W719" s="4">
        <f>V719+AA718</f>
        <v>11403.3</v>
      </c>
      <c r="X719" s="3"/>
      <c r="Y719" s="3"/>
      <c r="Z719" s="25">
        <f>U719+Y719</f>
        <v>0</v>
      </c>
      <c r="AA719" s="76">
        <f>W719-Y719</f>
        <v>11403.3</v>
      </c>
      <c r="AB719" s="9" t="s">
        <v>13</v>
      </c>
      <c r="AC719" s="19">
        <v>45390</v>
      </c>
      <c r="AD719" s="41"/>
      <c r="AE719" s="42"/>
      <c r="AF719" s="4">
        <f>AD42-H719-T719</f>
        <v>10793.875</v>
      </c>
      <c r="AG719" s="3"/>
      <c r="AH719" s="8">
        <v>590</v>
      </c>
      <c r="AI719" s="4">
        <f>(AE719+AF719)-AH719</f>
        <v>10203.875</v>
      </c>
      <c r="AJ719" s="4">
        <f>AI719+BP718</f>
        <v>-102414.97</v>
      </c>
      <c r="AK719" s="3" t="s">
        <v>110</v>
      </c>
      <c r="AL719" s="8">
        <f>(5276.84+1000)</f>
        <v>6276.84</v>
      </c>
      <c r="AM719" s="47"/>
      <c r="AN719" s="47"/>
      <c r="AO719" s="8"/>
      <c r="AP719" s="8"/>
      <c r="AQ719" s="47"/>
      <c r="AR719" s="47"/>
      <c r="AS719" s="8"/>
      <c r="AT719" s="8"/>
      <c r="AU719" s="47"/>
      <c r="AV719" s="47"/>
      <c r="AW719" s="8"/>
      <c r="AX719" s="8"/>
      <c r="AY719" s="47"/>
      <c r="AZ719" s="47"/>
      <c r="BA719" s="8"/>
      <c r="BB719" s="8"/>
      <c r="BC719" s="47"/>
      <c r="BD719" s="47"/>
      <c r="BE719" s="8"/>
      <c r="BF719" s="8"/>
      <c r="BG719" s="47"/>
      <c r="BH719" s="47"/>
      <c r="BI719" s="8"/>
      <c r="BJ719" s="3"/>
      <c r="BK719" s="47"/>
      <c r="BL719" s="47"/>
      <c r="BM719" s="46"/>
      <c r="BN719" s="46"/>
      <c r="BO719" s="24">
        <f>AL719+AN719+AP719+AR719+AT719+AV719+AX719+AZ719+BB719+BD719+BF719+BH719+BJ719+BL719</f>
        <v>6276.84</v>
      </c>
      <c r="BP719" s="28">
        <f>AJ719-BO719</f>
        <v>-108691.81</v>
      </c>
      <c r="BQ719" s="2">
        <v>45390</v>
      </c>
    </row>
    <row r="720" spans="1:73" hidden="true">
      <c r="D720" s="9" t="s">
        <v>14</v>
      </c>
      <c r="E720" s="2">
        <v>45391</v>
      </c>
      <c r="F720" s="38"/>
      <c r="G720" s="51"/>
      <c r="H720" s="4">
        <f>F43*50%</f>
        <v>3804.225</v>
      </c>
      <c r="I720" s="120">
        <v>2113.5</v>
      </c>
      <c r="J720" s="4">
        <f>(G720+H720)-I720</f>
        <v>1690.725</v>
      </c>
      <c r="K720" s="4">
        <f>J720+O719</f>
        <v>18307.565</v>
      </c>
      <c r="L720" s="3" t="s">
        <v>76</v>
      </c>
      <c r="M720" s="3">
        <v>8290</v>
      </c>
      <c r="N720" s="25">
        <f>I720+M720</f>
        <v>10403.5</v>
      </c>
      <c r="O720" s="28">
        <f>K720-M720</f>
        <v>10017.565</v>
      </c>
      <c r="P720" s="9" t="s">
        <v>14</v>
      </c>
      <c r="Q720" s="2">
        <v>45391</v>
      </c>
      <c r="R720" s="38"/>
      <c r="S720" s="52"/>
      <c r="T720" s="4">
        <f>R43*45%</f>
        <v>2698.2</v>
      </c>
      <c r="U720" s="5">
        <v>0</v>
      </c>
      <c r="V720" s="4">
        <f>(S720+T720)-U720</f>
        <v>2698.2</v>
      </c>
      <c r="W720" s="4">
        <f>V720+AA719</f>
        <v>14101.5</v>
      </c>
      <c r="X720" s="3"/>
      <c r="Y720" s="3"/>
      <c r="Z720" s="25">
        <f>U720+Y720</f>
        <v>0</v>
      </c>
      <c r="AA720" s="76">
        <f>W720-Y720</f>
        <v>14101.5</v>
      </c>
      <c r="AB720" s="9" t="s">
        <v>14</v>
      </c>
      <c r="AC720" s="19">
        <v>45391</v>
      </c>
      <c r="AD720" s="41"/>
      <c r="AE720" s="42"/>
      <c r="AF720" s="4">
        <f>AD43-H720-T720</f>
        <v>7102.025</v>
      </c>
      <c r="AG720" s="3"/>
      <c r="AH720" s="8">
        <v>886.1</v>
      </c>
      <c r="AI720" s="4">
        <f>(AE720+AF720)-AH720</f>
        <v>6215.925</v>
      </c>
      <c r="AJ720" s="4">
        <f>AI720+BP719</f>
        <v>-102475.885</v>
      </c>
      <c r="AK720" s="3" t="s">
        <v>111</v>
      </c>
      <c r="AL720" s="8">
        <f>(30608+1000)</f>
        <v>31608</v>
      </c>
      <c r="AM720" s="47"/>
      <c r="AN720" s="47"/>
      <c r="AO720" s="8"/>
      <c r="AP720" s="8"/>
      <c r="AQ720" s="47"/>
      <c r="AR720" s="47"/>
      <c r="AS720" s="8"/>
      <c r="AT720" s="8"/>
      <c r="AU720" s="47"/>
      <c r="AV720" s="47"/>
      <c r="AW720" s="8"/>
      <c r="AX720" s="8"/>
      <c r="AY720" s="47"/>
      <c r="AZ720" s="47"/>
      <c r="BA720" s="8" t="s">
        <v>112</v>
      </c>
      <c r="BB720" s="8">
        <f>(2000+175)</f>
        <v>2175</v>
      </c>
      <c r="BC720" s="47"/>
      <c r="BD720" s="47"/>
      <c r="BE720" s="8"/>
      <c r="BF720" s="8"/>
      <c r="BG720" s="47"/>
      <c r="BH720" s="47"/>
      <c r="BI720" s="3"/>
      <c r="BJ720" s="3"/>
      <c r="BK720" s="47"/>
      <c r="BL720" s="47"/>
      <c r="BM720" s="46"/>
      <c r="BN720" s="46"/>
      <c r="BO720" s="24">
        <f>AL720+AN720+AP720+AR720+AT720+AV720+AX720+AZ720+BB720+BD720+BF720+BH720+BJ720+BL720</f>
        <v>33783</v>
      </c>
      <c r="BP720" s="28">
        <f>AJ720-BO720</f>
        <v>-136258.885</v>
      </c>
      <c r="BQ720" s="2">
        <v>45391</v>
      </c>
    </row>
    <row r="721" spans="1:73" hidden="true">
      <c r="D721" s="9" t="s">
        <v>15</v>
      </c>
      <c r="E721" s="2">
        <v>45392</v>
      </c>
      <c r="F721" s="38"/>
      <c r="G721" s="51"/>
      <c r="H721" s="4">
        <f>F44*50%</f>
        <v>2776.225</v>
      </c>
      <c r="I721" s="120">
        <v>2009</v>
      </c>
      <c r="J721" s="4">
        <f>(G721+H721)-I721</f>
        <v>767.225</v>
      </c>
      <c r="K721" s="4">
        <f>J721+O720</f>
        <v>10784.79</v>
      </c>
      <c r="L721" s="3"/>
      <c r="M721" s="3"/>
      <c r="N721" s="25">
        <f>I721+M721</f>
        <v>2009</v>
      </c>
      <c r="O721" s="28">
        <f>K721-M721</f>
        <v>10784.79</v>
      </c>
      <c r="P721" s="9" t="s">
        <v>15</v>
      </c>
      <c r="Q721" s="2">
        <v>45392</v>
      </c>
      <c r="R721" s="38"/>
      <c r="S721" s="52"/>
      <c r="T721" s="4">
        <f>R44*45%</f>
        <v>2380.95</v>
      </c>
      <c r="U721" s="5">
        <v>0</v>
      </c>
      <c r="V721" s="4">
        <f>(S721+T721)-U721</f>
        <v>2380.95</v>
      </c>
      <c r="W721" s="4">
        <f>V721+AA720</f>
        <v>16482.45</v>
      </c>
      <c r="X721" s="3"/>
      <c r="Y721" s="3"/>
      <c r="Z721" s="25">
        <f>U721+Y721</f>
        <v>0</v>
      </c>
      <c r="AA721" s="76">
        <f>W721-Y721</f>
        <v>16482.45</v>
      </c>
      <c r="AB721" s="9" t="s">
        <v>15</v>
      </c>
      <c r="AC721" s="19">
        <v>45392</v>
      </c>
      <c r="AD721" s="41"/>
      <c r="AE721" s="42"/>
      <c r="AF721" s="4">
        <f>AD44-H721-T721</f>
        <v>5686.275</v>
      </c>
      <c r="AG721" s="3"/>
      <c r="AH721" s="8">
        <v>443.8</v>
      </c>
      <c r="AI721" s="4">
        <f>(AE721+AF721)-AH721</f>
        <v>5242.475</v>
      </c>
      <c r="AJ721" s="4">
        <f>AI721+BP720</f>
        <v>-131016.41</v>
      </c>
      <c r="AK721" s="3" t="s">
        <v>98</v>
      </c>
      <c r="AL721" s="8">
        <f>(1000)</f>
        <v>1000</v>
      </c>
      <c r="AM721" s="47"/>
      <c r="AN721" s="47"/>
      <c r="AO721" s="8"/>
      <c r="AP721" s="8"/>
      <c r="AQ721" s="47"/>
      <c r="AR721" s="47"/>
      <c r="AS721" s="8"/>
      <c r="AT721" s="8"/>
      <c r="AU721" s="47"/>
      <c r="AV721" s="47"/>
      <c r="AW721" s="8"/>
      <c r="AX721" s="8"/>
      <c r="AY721" s="47"/>
      <c r="AZ721" s="47"/>
      <c r="BA721" s="8"/>
      <c r="BB721" s="8"/>
      <c r="BC721" s="47"/>
      <c r="BD721" s="47"/>
      <c r="BE721" s="8"/>
      <c r="BF721" s="8"/>
      <c r="BG721" s="47"/>
      <c r="BH721" s="47"/>
      <c r="BI721" s="3"/>
      <c r="BJ721" s="3"/>
      <c r="BK721" s="48" t="s">
        <v>78</v>
      </c>
      <c r="BL721" s="47"/>
      <c r="BM721" s="46"/>
      <c r="BN721" s="46"/>
      <c r="BO721" s="24">
        <f>AL721+AN721+AP721+AR721+AT721+AV721+AX721+AZ721+BB721+BD721+BF721+BH721+BJ721+BL721</f>
        <v>1000</v>
      </c>
      <c r="BP721" s="28">
        <f>AJ721-BO721</f>
        <v>-132016.41</v>
      </c>
      <c r="BQ721" s="2">
        <v>45392</v>
      </c>
    </row>
    <row r="722" spans="1:73" hidden="true">
      <c r="D722" s="9" t="s">
        <v>16</v>
      </c>
      <c r="E722" s="2">
        <v>45393</v>
      </c>
      <c r="F722" s="38"/>
      <c r="G722" s="51"/>
      <c r="H722" s="4">
        <f>F45*50%</f>
        <v>2974.1</v>
      </c>
      <c r="I722" s="120">
        <v>1474</v>
      </c>
      <c r="J722" s="4">
        <f>(G722+H722)-I722</f>
        <v>1500.1</v>
      </c>
      <c r="K722" s="4">
        <f>J722+O721</f>
        <v>12284.89</v>
      </c>
      <c r="L722" s="3"/>
      <c r="M722" s="3"/>
      <c r="N722" s="25">
        <f>I722+M722</f>
        <v>1474</v>
      </c>
      <c r="O722" s="28">
        <f>K722-M722</f>
        <v>12284.89</v>
      </c>
      <c r="P722" s="9" t="s">
        <v>16</v>
      </c>
      <c r="Q722" s="2">
        <v>45393</v>
      </c>
      <c r="R722" s="38"/>
      <c r="S722" s="52"/>
      <c r="T722" s="4">
        <f>R45*45%</f>
        <v>2674.8</v>
      </c>
      <c r="U722" s="5">
        <v>0</v>
      </c>
      <c r="V722" s="4">
        <f>(S722+T722)-U722</f>
        <v>2674.8</v>
      </c>
      <c r="W722" s="4">
        <f>V722+AA721</f>
        <v>19157.25</v>
      </c>
      <c r="X722" s="3" t="s">
        <v>113</v>
      </c>
      <c r="Y722" s="3">
        <v>30321</v>
      </c>
      <c r="Z722" s="25">
        <f>U722+Y722</f>
        <v>30321</v>
      </c>
      <c r="AA722" s="76">
        <f>W722-Y722</f>
        <v>-11163.75</v>
      </c>
      <c r="AB722" s="9" t="s">
        <v>16</v>
      </c>
      <c r="AC722" s="19">
        <v>45393</v>
      </c>
      <c r="AD722" s="41"/>
      <c r="AE722" s="42"/>
      <c r="AF722" s="4">
        <f>AD45-H722-T722</f>
        <v>6243.3</v>
      </c>
      <c r="AG722" s="3"/>
      <c r="AH722" s="8">
        <v>340.1</v>
      </c>
      <c r="AI722" s="4">
        <f>(AE722+AF722)-AH722</f>
        <v>5903.2</v>
      </c>
      <c r="AJ722" s="4">
        <f>AI722+BP721</f>
        <v>-126113.21</v>
      </c>
      <c r="AK722" s="3" t="s">
        <v>98</v>
      </c>
      <c r="AL722" s="8">
        <f>(1000)</f>
        <v>1000</v>
      </c>
      <c r="AM722" s="47" t="s">
        <v>114</v>
      </c>
      <c r="AN722" s="47">
        <f>(2000)</f>
        <v>2000</v>
      </c>
      <c r="AO722" s="8"/>
      <c r="AP722" s="8"/>
      <c r="AQ722" s="47"/>
      <c r="AR722" s="47"/>
      <c r="AS722" s="8"/>
      <c r="AT722" s="8"/>
      <c r="AU722" s="47"/>
      <c r="AV722" s="47"/>
      <c r="AW722" s="8"/>
      <c r="AX722" s="8"/>
      <c r="AY722" s="47"/>
      <c r="AZ722" s="47"/>
      <c r="BA722" s="8" t="s">
        <v>115</v>
      </c>
      <c r="BB722" s="8">
        <f>(129)</f>
        <v>129</v>
      </c>
      <c r="BC722" s="47"/>
      <c r="BD722" s="47"/>
      <c r="BE722" s="8"/>
      <c r="BF722" s="8"/>
      <c r="BG722" s="47"/>
      <c r="BH722" s="47"/>
      <c r="BI722" s="8"/>
      <c r="BJ722" s="3"/>
      <c r="BK722" s="47"/>
      <c r="BL722" s="47"/>
      <c r="BM722" s="46"/>
      <c r="BN722" s="46"/>
      <c r="BO722" s="24">
        <f>AL722+AN722+AP722+AR722+AT722+AV722+AX722+AZ722+BB722+BD722+BF722+BH722+BJ722+BL722</f>
        <v>3129</v>
      </c>
      <c r="BP722" s="28">
        <f>AJ722-BO722</f>
        <v>-129242.21</v>
      </c>
      <c r="BQ722" s="2">
        <v>45393</v>
      </c>
    </row>
    <row r="723" spans="1:73" hidden="true">
      <c r="D723" s="9" t="s">
        <v>10</v>
      </c>
      <c r="E723" s="2">
        <v>45394</v>
      </c>
      <c r="F723" s="38"/>
      <c r="G723" s="51"/>
      <c r="H723" s="4">
        <f>F46*50%</f>
        <v>3284.1</v>
      </c>
      <c r="I723" s="120">
        <v>3048</v>
      </c>
      <c r="J723" s="4">
        <f>(G723+H723)-I723</f>
        <v>236.1</v>
      </c>
      <c r="K723" s="4">
        <f>J723+O722</f>
        <v>12520.99</v>
      </c>
      <c r="L723" s="3"/>
      <c r="M723" s="3"/>
      <c r="N723" s="25">
        <f>I723+M723</f>
        <v>3048</v>
      </c>
      <c r="O723" s="28">
        <f>K723-M723</f>
        <v>12520.99</v>
      </c>
      <c r="P723" s="9" t="s">
        <v>10</v>
      </c>
      <c r="Q723" s="2">
        <v>45394</v>
      </c>
      <c r="R723" s="38"/>
      <c r="S723" s="52"/>
      <c r="T723" s="4">
        <f>R46*45%</f>
        <v>3766.05</v>
      </c>
      <c r="U723" s="5">
        <v>1384</v>
      </c>
      <c r="V723" s="4">
        <f>(S723+T723)-U723</f>
        <v>2382.05</v>
      </c>
      <c r="W723" s="4">
        <f>V723+AA722</f>
        <v>-8781.7</v>
      </c>
      <c r="X723" s="3" t="s">
        <v>90</v>
      </c>
      <c r="Y723" s="3">
        <v>11867</v>
      </c>
      <c r="Z723" s="25">
        <f>U723+Y723</f>
        <v>13251</v>
      </c>
      <c r="AA723" s="76">
        <f>W723-Y723</f>
        <v>-20648.7</v>
      </c>
      <c r="AB723" s="9" t="s">
        <v>10</v>
      </c>
      <c r="AC723" s="19">
        <v>45394</v>
      </c>
      <c r="AD723" s="41"/>
      <c r="AE723" s="42"/>
      <c r="AF723" s="4">
        <f>AD46-H723-T723</f>
        <v>7887.05</v>
      </c>
      <c r="AG723" s="3"/>
      <c r="AH723" s="8">
        <v>831.2</v>
      </c>
      <c r="AI723" s="4">
        <f>(AE723+AF723)-AH723</f>
        <v>7055.85</v>
      </c>
      <c r="AJ723" s="4">
        <f>AI723+BP722</f>
        <v>-122186.36</v>
      </c>
      <c r="AK723" s="3" t="s">
        <v>98</v>
      </c>
      <c r="AL723" s="8">
        <f>(1000)</f>
        <v>1000</v>
      </c>
      <c r="AM723" s="47"/>
      <c r="AN723" s="47"/>
      <c r="AO723" s="8"/>
      <c r="AP723" s="8"/>
      <c r="AQ723" s="47"/>
      <c r="AR723" s="47"/>
      <c r="AS723" s="8"/>
      <c r="AT723" s="8"/>
      <c r="AU723" s="47"/>
      <c r="AV723" s="47"/>
      <c r="AW723" s="8"/>
      <c r="AX723" s="8"/>
      <c r="AY723" s="47"/>
      <c r="AZ723" s="47"/>
      <c r="BA723" s="8"/>
      <c r="BB723" s="8"/>
      <c r="BC723" s="47"/>
      <c r="BD723" s="47"/>
      <c r="BE723" s="8"/>
      <c r="BF723" s="8"/>
      <c r="BG723" s="47"/>
      <c r="BH723" s="47"/>
      <c r="BI723" s="8"/>
      <c r="BJ723" s="3"/>
      <c r="BK723" s="48"/>
      <c r="BL723" s="47"/>
      <c r="BM723" s="46"/>
      <c r="BN723" s="46"/>
      <c r="BO723" s="24">
        <f>AL723+AN723+AP723+AR723+AT723+AV723+AX723+AZ723+BB723+BD723+BF723+BH723+BJ723+BL723</f>
        <v>1000</v>
      </c>
      <c r="BP723" s="28">
        <f>AJ723-BO723</f>
        <v>-123186.36</v>
      </c>
      <c r="BQ723" s="2">
        <v>45394</v>
      </c>
    </row>
    <row r="724" spans="1:73" hidden="true">
      <c r="D724" s="9" t="s">
        <v>11</v>
      </c>
      <c r="E724" s="2">
        <v>45395</v>
      </c>
      <c r="F724" s="38"/>
      <c r="G724" s="51"/>
      <c r="H724" s="4">
        <f>F47*50%</f>
        <v>4245.05</v>
      </c>
      <c r="I724" s="120">
        <v>2072</v>
      </c>
      <c r="J724" s="4">
        <f>(G724+H724)-I724</f>
        <v>2173.05</v>
      </c>
      <c r="K724" s="4">
        <f>J724+O723</f>
        <v>14694.04</v>
      </c>
      <c r="L724" s="3"/>
      <c r="M724" s="3"/>
      <c r="N724" s="25">
        <f>I724+M724</f>
        <v>2072</v>
      </c>
      <c r="O724" s="28">
        <f>K724-M724</f>
        <v>14694.04</v>
      </c>
      <c r="P724" s="9" t="s">
        <v>11</v>
      </c>
      <c r="Q724" s="2">
        <v>45395</v>
      </c>
      <c r="R724" s="38"/>
      <c r="S724" s="52"/>
      <c r="T724" s="4">
        <f>R47*45%</f>
        <v>5121</v>
      </c>
      <c r="U724" s="5">
        <v>1410</v>
      </c>
      <c r="V724" s="4">
        <f>(S724+T724)-U724</f>
        <v>3711</v>
      </c>
      <c r="W724" s="4">
        <f>V724+AA723</f>
        <v>-16937.7</v>
      </c>
      <c r="X724" s="3"/>
      <c r="Y724" s="3"/>
      <c r="Z724" s="25">
        <f>U724+Y724</f>
        <v>1410</v>
      </c>
      <c r="AA724" s="76">
        <f>W724-Y724</f>
        <v>-16937.7</v>
      </c>
      <c r="AB724" s="9" t="s">
        <v>11</v>
      </c>
      <c r="AC724" s="19">
        <v>45395</v>
      </c>
      <c r="AD724" s="41"/>
      <c r="AE724" s="42"/>
      <c r="AF724" s="4">
        <f>AD47-H724-T724</f>
        <v>10504.05</v>
      </c>
      <c r="AG724" s="3"/>
      <c r="AH724" s="8">
        <v>732</v>
      </c>
      <c r="AI724" s="4">
        <f>(AE724+AF724)-AH724</f>
        <v>9772.05</v>
      </c>
      <c r="AJ724" s="4">
        <f>AI724+BP723</f>
        <v>-113414.31</v>
      </c>
      <c r="AK724" s="3" t="s">
        <v>98</v>
      </c>
      <c r="AL724" s="8">
        <f>(1000)</f>
        <v>1000</v>
      </c>
      <c r="AM724" s="47"/>
      <c r="AN724" s="47"/>
      <c r="AO724" s="8"/>
      <c r="AP724" s="8"/>
      <c r="AQ724" s="47"/>
      <c r="AR724" s="47"/>
      <c r="AS724" s="8"/>
      <c r="AT724" s="8"/>
      <c r="AU724" s="47"/>
      <c r="AV724" s="47"/>
      <c r="AW724" s="8"/>
      <c r="AX724" s="8"/>
      <c r="AY724" s="47" t="s">
        <v>116</v>
      </c>
      <c r="AZ724" s="47">
        <f>(1000)</f>
        <v>1000</v>
      </c>
      <c r="BA724" s="8"/>
      <c r="BB724" s="8"/>
      <c r="BC724" s="47"/>
      <c r="BD724" s="47"/>
      <c r="BE724" s="8"/>
      <c r="BF724" s="8"/>
      <c r="BG724" s="47"/>
      <c r="BH724" s="47"/>
      <c r="BI724" s="8"/>
      <c r="BJ724" s="3"/>
      <c r="BK724" s="47"/>
      <c r="BL724" s="47"/>
      <c r="BM724" s="46"/>
      <c r="BN724" s="46"/>
      <c r="BO724" s="24">
        <f>AL724+AN724+AP724+AR724+AT724+AV724+AX724+AZ724+BB724+BD724+BF724+BH724+BJ724+BL724</f>
        <v>2000</v>
      </c>
      <c r="BP724" s="28">
        <f>AJ724-BO724</f>
        <v>-115414.31</v>
      </c>
      <c r="BQ724" s="2">
        <v>45395</v>
      </c>
    </row>
    <row r="725" spans="1:73" hidden="true">
      <c r="D725" s="9" t="s">
        <v>12</v>
      </c>
      <c r="E725" s="2">
        <v>45396</v>
      </c>
      <c r="F725" s="38"/>
      <c r="G725" s="51"/>
      <c r="H725" s="4">
        <f>F48*50%</f>
        <v>3844.85</v>
      </c>
      <c r="I725" s="120">
        <v>1080</v>
      </c>
      <c r="J725" s="4">
        <f>(G725+H725)-I725</f>
        <v>2764.85</v>
      </c>
      <c r="K725" s="4">
        <f>J725+O724</f>
        <v>17458.89</v>
      </c>
      <c r="L725" s="3"/>
      <c r="M725" s="3"/>
      <c r="N725" s="25">
        <f>I725+M725</f>
        <v>1080</v>
      </c>
      <c r="O725" s="28">
        <f>K725-M725</f>
        <v>17458.89</v>
      </c>
      <c r="P725" s="9" t="s">
        <v>12</v>
      </c>
      <c r="Q725" s="2">
        <v>45396</v>
      </c>
      <c r="R725" s="38"/>
      <c r="S725" s="52"/>
      <c r="T725" s="4">
        <f>R48*45%</f>
        <v>3966.75</v>
      </c>
      <c r="U725" s="5">
        <v>100</v>
      </c>
      <c r="V725" s="4">
        <f>(S725+T725)-U725</f>
        <v>3866.75</v>
      </c>
      <c r="W725" s="4">
        <f>V725+AA724</f>
        <v>-13070.95</v>
      </c>
      <c r="X725" s="3"/>
      <c r="Y725" s="3"/>
      <c r="Z725" s="25">
        <f>U725+Y725</f>
        <v>100</v>
      </c>
      <c r="AA725" s="76">
        <f>W725-Y725</f>
        <v>-13070.95</v>
      </c>
      <c r="AB725" s="9" t="s">
        <v>12</v>
      </c>
      <c r="AC725" s="19">
        <v>45396</v>
      </c>
      <c r="AD725" s="41"/>
      <c r="AE725" s="42"/>
      <c r="AF725" s="4">
        <f>AD48-H725-T725</f>
        <v>8693.1</v>
      </c>
      <c r="AG725" s="3"/>
      <c r="AH725" s="8">
        <v>509.4</v>
      </c>
      <c r="AI725" s="4">
        <f>(AE725+AF725)-AH725</f>
        <v>8183.7</v>
      </c>
      <c r="AJ725" s="4">
        <f>AI725+BP724</f>
        <v>-107230.61</v>
      </c>
      <c r="AK725" s="3" t="s">
        <v>98</v>
      </c>
      <c r="AL725" s="8">
        <f>(1000)</f>
        <v>1000</v>
      </c>
      <c r="AM725" s="47" t="s">
        <v>117</v>
      </c>
      <c r="AN725" s="47">
        <f>(2000)</f>
        <v>2000</v>
      </c>
      <c r="AO725" s="8"/>
      <c r="AP725" s="8"/>
      <c r="AQ725" s="47"/>
      <c r="AR725" s="47"/>
      <c r="AS725" s="8"/>
      <c r="AT725" s="8"/>
      <c r="AU725" s="47"/>
      <c r="AV725" s="47"/>
      <c r="AW725" s="8"/>
      <c r="AX725" s="8"/>
      <c r="AY725" s="47"/>
      <c r="AZ725" s="47"/>
      <c r="BA725" s="8" t="s">
        <v>118</v>
      </c>
      <c r="BB725" s="8">
        <f>(2000)</f>
        <v>2000</v>
      </c>
      <c r="BC725" s="47"/>
      <c r="BD725" s="47"/>
      <c r="BE725" s="8"/>
      <c r="BF725" s="8"/>
      <c r="BG725" s="47"/>
      <c r="BH725" s="47"/>
      <c r="BI725" s="8"/>
      <c r="BJ725" s="3"/>
      <c r="BK725" s="48" t="s">
        <v>119</v>
      </c>
      <c r="BL725" s="47"/>
      <c r="BM725" s="46"/>
      <c r="BN725" s="46"/>
      <c r="BO725" s="24">
        <f>AL725+AN725+AP725+AR725+AT725+AV725+AX725+AZ725+BB725+BD725+BF725+BH725+BJ725+BL725</f>
        <v>5000</v>
      </c>
      <c r="BP725" s="28">
        <f>AJ725-BO725</f>
        <v>-112230.61</v>
      </c>
      <c r="BQ725" s="2">
        <v>45396</v>
      </c>
    </row>
    <row r="726" spans="1:73" hidden="true">
      <c r="D726" s="9" t="s">
        <v>13</v>
      </c>
      <c r="E726" s="2">
        <v>45397</v>
      </c>
      <c r="F726" s="38"/>
      <c r="G726" s="51"/>
      <c r="H726" s="4">
        <f>F49*50%</f>
        <v>3603.85</v>
      </c>
      <c r="I726" s="120">
        <v>1604.9</v>
      </c>
      <c r="J726" s="4">
        <f>(G726+H726)-I726</f>
        <v>1998.95</v>
      </c>
      <c r="K726" s="4">
        <f>J726+O725</f>
        <v>19457.84</v>
      </c>
      <c r="L726" s="3"/>
      <c r="M726" s="3"/>
      <c r="N726" s="25">
        <f>I726+M726</f>
        <v>1604.9</v>
      </c>
      <c r="O726" s="28">
        <f>K726-M726</f>
        <v>19457.84</v>
      </c>
      <c r="P726" s="9" t="s">
        <v>13</v>
      </c>
      <c r="Q726" s="2">
        <v>45397</v>
      </c>
      <c r="R726" s="38"/>
      <c r="S726" s="52"/>
      <c r="T726" s="4">
        <f>R49*45%</f>
        <v>3424.5</v>
      </c>
      <c r="U726" s="5">
        <v>0</v>
      </c>
      <c r="V726" s="4">
        <f>(S726+T726)-U726</f>
        <v>3424.5</v>
      </c>
      <c r="W726" s="4">
        <f>V726+AA725</f>
        <v>-9646.45</v>
      </c>
      <c r="X726" s="3"/>
      <c r="Y726" s="3"/>
      <c r="Z726" s="25">
        <f>U726+Y726</f>
        <v>0</v>
      </c>
      <c r="AA726" s="76">
        <f>W726-Y726</f>
        <v>-9646.45</v>
      </c>
      <c r="AB726" s="9" t="s">
        <v>13</v>
      </c>
      <c r="AC726" s="19">
        <v>45397</v>
      </c>
      <c r="AD726" s="41"/>
      <c r="AE726" s="42"/>
      <c r="AF726" s="4">
        <f>AD49-H726-T726</f>
        <v>7789.35</v>
      </c>
      <c r="AG726" s="3"/>
      <c r="AH726" s="8">
        <v>668.5</v>
      </c>
      <c r="AI726" s="4">
        <f>(AE726+AF726)-AH726</f>
        <v>7120.85</v>
      </c>
      <c r="AJ726" s="4">
        <f>AI726+BP725</f>
        <v>-105109.76</v>
      </c>
      <c r="AK726" s="3" t="s">
        <v>120</v>
      </c>
      <c r="AL726" s="8">
        <f>(4698.85+1000)</f>
        <v>5698.85</v>
      </c>
      <c r="AM726" s="47"/>
      <c r="AN726" s="47"/>
      <c r="AO726" s="8"/>
      <c r="AP726" s="8"/>
      <c r="AQ726" s="47"/>
      <c r="AR726" s="47"/>
      <c r="AS726" s="8"/>
      <c r="AT726" s="8"/>
      <c r="AU726" s="47"/>
      <c r="AV726" s="47"/>
      <c r="AW726" s="8"/>
      <c r="AX726" s="8"/>
      <c r="AY726" s="47"/>
      <c r="AZ726" s="47"/>
      <c r="BA726" s="8"/>
      <c r="BB726" s="8"/>
      <c r="BC726" s="47"/>
      <c r="BD726" s="47"/>
      <c r="BE726" s="8"/>
      <c r="BF726" s="8"/>
      <c r="BG726" s="47"/>
      <c r="BH726" s="47"/>
      <c r="BI726" s="3"/>
      <c r="BJ726" s="3"/>
      <c r="BK726" s="47"/>
      <c r="BL726" s="47"/>
      <c r="BM726" s="46"/>
      <c r="BN726" s="46"/>
      <c r="BO726" s="24">
        <f>AL726+AN726+AP726+AR726+AT726+AV726+AX726+AZ726+BB726+BD726+BF726+BH726+BJ726+BL726</f>
        <v>5698.85</v>
      </c>
      <c r="BP726" s="28">
        <f>AJ726-BO726</f>
        <v>-110808.61</v>
      </c>
      <c r="BQ726" s="2">
        <v>45397</v>
      </c>
    </row>
    <row r="727" spans="1:73" hidden="true">
      <c r="D727" s="9" t="s">
        <v>14</v>
      </c>
      <c r="E727" s="2">
        <v>45398</v>
      </c>
      <c r="F727" s="38"/>
      <c r="G727" s="51"/>
      <c r="H727" s="4">
        <f>F50*50%</f>
        <v>2447.4</v>
      </c>
      <c r="I727" s="120">
        <v>2044.5</v>
      </c>
      <c r="J727" s="4">
        <f>(G727+H727)-I727</f>
        <v>402.9</v>
      </c>
      <c r="K727" s="4">
        <f>J727+O726</f>
        <v>19860.74</v>
      </c>
      <c r="L727" s="3" t="s">
        <v>121</v>
      </c>
      <c r="M727" s="3">
        <v>5591</v>
      </c>
      <c r="N727" s="25">
        <f>I727+M727</f>
        <v>7635.5</v>
      </c>
      <c r="O727" s="28">
        <f>K727-M727</f>
        <v>14269.74</v>
      </c>
      <c r="P727" s="9" t="s">
        <v>14</v>
      </c>
      <c r="Q727" s="2">
        <v>45398</v>
      </c>
      <c r="R727" s="38"/>
      <c r="S727" s="52"/>
      <c r="T727" s="4">
        <f>R50*45%</f>
        <v>2124</v>
      </c>
      <c r="U727" s="5">
        <v>585</v>
      </c>
      <c r="V727" s="4">
        <f>(S727+T727)-U727</f>
        <v>1539</v>
      </c>
      <c r="W727" s="4">
        <f>V727+AA726</f>
        <v>-8107.45</v>
      </c>
      <c r="X727" s="3"/>
      <c r="Y727" s="3"/>
      <c r="Z727" s="25">
        <f>U727+Y727</f>
        <v>585</v>
      </c>
      <c r="AA727" s="76">
        <f>W727-Y727</f>
        <v>-8107.45</v>
      </c>
      <c r="AB727" s="9" t="s">
        <v>14</v>
      </c>
      <c r="AC727" s="19">
        <v>45398</v>
      </c>
      <c r="AD727" s="41"/>
      <c r="AE727" s="42"/>
      <c r="AF727" s="4">
        <f>AD50-H727-T727</f>
        <v>5043.4</v>
      </c>
      <c r="AG727" s="3"/>
      <c r="AH727" s="8">
        <v>472</v>
      </c>
      <c r="AI727" s="4">
        <f>(AE727+AF727)-AH727</f>
        <v>4571.4</v>
      </c>
      <c r="AJ727" s="4">
        <f>AI727+BP726</f>
        <v>-106237.21</v>
      </c>
      <c r="AK727" s="3" t="s">
        <v>120</v>
      </c>
      <c r="AL727" s="8">
        <f>(5094+1000)</f>
        <v>6094</v>
      </c>
      <c r="AM727" s="47"/>
      <c r="AN727" s="47"/>
      <c r="AO727" s="8"/>
      <c r="AP727" s="8"/>
      <c r="AQ727" s="47"/>
      <c r="AR727" s="47"/>
      <c r="AS727" s="8"/>
      <c r="AT727" s="8"/>
      <c r="AU727" s="47"/>
      <c r="AV727" s="47"/>
      <c r="AW727" s="8"/>
      <c r="AX727" s="8"/>
      <c r="AY727" s="47"/>
      <c r="AZ727" s="47"/>
      <c r="BA727" s="8" t="s">
        <v>122</v>
      </c>
      <c r="BB727" s="8">
        <f>(231.1)</f>
        <v>231.1</v>
      </c>
      <c r="BC727" s="47"/>
      <c r="BD727" s="47"/>
      <c r="BE727" s="8"/>
      <c r="BF727" s="8"/>
      <c r="BG727" s="47"/>
      <c r="BH727" s="47"/>
      <c r="BI727" s="8"/>
      <c r="BJ727" s="3"/>
      <c r="BK727" s="47" t="s">
        <v>123</v>
      </c>
      <c r="BL727" s="47">
        <v>1425</v>
      </c>
      <c r="BM727" s="46"/>
      <c r="BN727" s="46"/>
      <c r="BO727" s="24">
        <f>AL727+AN727+AP727+AR727+AT727+AV727+AX727+AZ727+BB727+BD727+BF727+BH727+BJ727+BL727</f>
        <v>7750.1</v>
      </c>
      <c r="BP727" s="28">
        <f>AJ727-BO727</f>
        <v>-113987.31</v>
      </c>
      <c r="BQ727" s="2">
        <v>45398</v>
      </c>
    </row>
    <row r="728" spans="1:73" hidden="true">
      <c r="D728" s="9" t="s">
        <v>15</v>
      </c>
      <c r="E728" s="2">
        <v>45399</v>
      </c>
      <c r="F728" s="38"/>
      <c r="G728" s="51"/>
      <c r="H728" s="4">
        <f>F51*50%</f>
        <v>2377.975</v>
      </c>
      <c r="I728" s="120">
        <v>2011.1</v>
      </c>
      <c r="J728" s="4">
        <f>(G728+H728)-I728</f>
        <v>366.875</v>
      </c>
      <c r="K728" s="4">
        <f>J728+O727</f>
        <v>14636.615</v>
      </c>
      <c r="L728" s="3"/>
      <c r="M728" s="3"/>
      <c r="N728" s="25">
        <f>I728+M728</f>
        <v>2011.1</v>
      </c>
      <c r="O728" s="28">
        <f>K728-M728</f>
        <v>14636.615</v>
      </c>
      <c r="P728" s="9" t="s">
        <v>15</v>
      </c>
      <c r="Q728" s="2">
        <v>45399</v>
      </c>
      <c r="R728" s="38"/>
      <c r="S728" s="52"/>
      <c r="T728" s="4">
        <f>R51*45%</f>
        <v>4432.95</v>
      </c>
      <c r="U728" s="5">
        <v>0</v>
      </c>
      <c r="V728" s="4">
        <f>(S728+T728)-U728</f>
        <v>4432.95</v>
      </c>
      <c r="W728" s="4">
        <f>V728+AA727</f>
        <v>-3674.5</v>
      </c>
      <c r="X728" s="3" t="s">
        <v>124</v>
      </c>
      <c r="Y728" s="3">
        <f>(51920)</f>
        <v>51920</v>
      </c>
      <c r="Z728" s="25">
        <f>U728+Y728</f>
        <v>51920</v>
      </c>
      <c r="AA728" s="76">
        <f>W728-Y728</f>
        <v>-55594.5</v>
      </c>
      <c r="AB728" s="9" t="s">
        <v>15</v>
      </c>
      <c r="AC728" s="19">
        <v>45399</v>
      </c>
      <c r="AD728" s="41"/>
      <c r="AE728" s="42"/>
      <c r="AF728" s="4">
        <f>AD51-H728-T728</f>
        <v>7796.025</v>
      </c>
      <c r="AG728" s="3"/>
      <c r="AH728" s="8">
        <v>835.4</v>
      </c>
      <c r="AI728" s="4">
        <f>(AE728+AF728)-AH728</f>
        <v>6960.625</v>
      </c>
      <c r="AJ728" s="4">
        <f>AI728+BP727</f>
        <v>-107026.685</v>
      </c>
      <c r="AK728" s="3" t="s">
        <v>98</v>
      </c>
      <c r="AL728" s="8">
        <f>(1000)</f>
        <v>1000</v>
      </c>
      <c r="AM728" s="47"/>
      <c r="AN728" s="47"/>
      <c r="AO728" s="8"/>
      <c r="AP728" s="8"/>
      <c r="AQ728" s="47"/>
      <c r="AR728" s="47"/>
      <c r="AS728" s="8"/>
      <c r="AT728" s="8"/>
      <c r="AU728" s="47"/>
      <c r="AV728" s="47"/>
      <c r="AW728" s="8"/>
      <c r="AX728" s="8"/>
      <c r="AY728" s="47"/>
      <c r="AZ728" s="47"/>
      <c r="BA728" s="8"/>
      <c r="BB728" s="8"/>
      <c r="BC728" s="47"/>
      <c r="BD728" s="47"/>
      <c r="BE728" s="8"/>
      <c r="BF728" s="8"/>
      <c r="BG728" s="47"/>
      <c r="BH728" s="47"/>
      <c r="BI728" s="8"/>
      <c r="BJ728" s="3"/>
      <c r="BK728" s="47"/>
      <c r="BL728" s="47"/>
      <c r="BM728" s="46"/>
      <c r="BN728" s="46"/>
      <c r="BO728" s="24">
        <f>AL728+AN728+AP728+AR728+AT728+AV728+AX728+AZ728+BB728+BD728+BF728+BH728+BJ728+BL728</f>
        <v>1000</v>
      </c>
      <c r="BP728" s="28">
        <f>AJ728-BO728</f>
        <v>-108026.685</v>
      </c>
      <c r="BQ728" s="2">
        <v>45399</v>
      </c>
    </row>
    <row r="729" spans="1:73" hidden="true">
      <c r="D729" s="9" t="s">
        <v>16</v>
      </c>
      <c r="E729" s="2">
        <v>45400</v>
      </c>
      <c r="F729" s="38"/>
      <c r="G729" s="51"/>
      <c r="H729" s="4">
        <f>F52*50%</f>
        <v>3718.325</v>
      </c>
      <c r="I729" s="120">
        <v>0</v>
      </c>
      <c r="J729" s="4">
        <f>(G729+H729)-I729</f>
        <v>3718.325</v>
      </c>
      <c r="K729" s="4">
        <f>J729+O728</f>
        <v>18354.94</v>
      </c>
      <c r="L729" s="3"/>
      <c r="M729" s="3"/>
      <c r="N729" s="25">
        <f>I729+M729</f>
        <v>0</v>
      </c>
      <c r="O729" s="28">
        <f>K729-M729</f>
        <v>18354.94</v>
      </c>
      <c r="P729" s="9" t="s">
        <v>16</v>
      </c>
      <c r="Q729" s="2">
        <v>45400</v>
      </c>
      <c r="R729" s="38"/>
      <c r="S729" s="52"/>
      <c r="T729" s="4">
        <f>R52*45%</f>
        <v>1589.85</v>
      </c>
      <c r="U729" s="5">
        <v>0</v>
      </c>
      <c r="V729" s="4">
        <f>(S729+T729)-U729</f>
        <v>1589.85</v>
      </c>
      <c r="W729" s="4">
        <f>V729+AA728</f>
        <v>-54004.65</v>
      </c>
      <c r="X729" s="3"/>
      <c r="Y729" s="3"/>
      <c r="Z729" s="25">
        <f>U729+Y729</f>
        <v>0</v>
      </c>
      <c r="AA729" s="76">
        <f>W729-Y729</f>
        <v>-54004.65</v>
      </c>
      <c r="AB729" s="9" t="s">
        <v>16</v>
      </c>
      <c r="AC729" s="19">
        <v>45400</v>
      </c>
      <c r="AD729" s="41"/>
      <c r="AE729" s="42"/>
      <c r="AF729" s="4">
        <f>AD52-H729-T729</f>
        <v>5661.475</v>
      </c>
      <c r="AG729" s="3"/>
      <c r="AH729" s="8">
        <v>336</v>
      </c>
      <c r="AI729" s="4">
        <f>(AE729+AF729)-AH729</f>
        <v>5325.475</v>
      </c>
      <c r="AJ729" s="4">
        <f>AI729+BP728</f>
        <v>-102701.21</v>
      </c>
      <c r="AK729" s="3" t="s">
        <v>101</v>
      </c>
      <c r="AL729" s="8">
        <f>(1440+1000)</f>
        <v>2440</v>
      </c>
      <c r="AM729" s="47" t="s">
        <v>125</v>
      </c>
      <c r="AN729" s="47">
        <f>(16100+7000)</f>
        <v>23100</v>
      </c>
      <c r="AO729" s="8"/>
      <c r="AP729" s="8"/>
      <c r="AQ729" s="47"/>
      <c r="AR729" s="47"/>
      <c r="AS729" s="8"/>
      <c r="AT729" s="8"/>
      <c r="AU729" s="47"/>
      <c r="AV729" s="47"/>
      <c r="AW729" s="8"/>
      <c r="AX729" s="8"/>
      <c r="AY729" s="47"/>
      <c r="AZ729" s="47"/>
      <c r="BA729" s="8" t="s">
        <v>126</v>
      </c>
      <c r="BB729" s="8">
        <f>(1440)</f>
        <v>1440</v>
      </c>
      <c r="BC729" s="47"/>
      <c r="BD729" s="47"/>
      <c r="BE729" s="8"/>
      <c r="BF729" s="8"/>
      <c r="BG729" s="47"/>
      <c r="BH729" s="47"/>
      <c r="BI729" s="3"/>
      <c r="BJ729" s="3"/>
      <c r="BK729" s="47"/>
      <c r="BL729" s="47"/>
      <c r="BM729" s="46"/>
      <c r="BN729" s="46"/>
      <c r="BO729" s="24">
        <f>AL729+AN729+AP729+AR729+AT729+AV729+AX729+AZ729+BB729+BD729+BF729+BH729+BJ729+BL729</f>
        <v>26980</v>
      </c>
      <c r="BP729" s="28">
        <f>AJ729-BO729</f>
        <v>-129681.21</v>
      </c>
      <c r="BQ729" s="2">
        <v>45400</v>
      </c>
    </row>
    <row r="730" spans="1:73" hidden="true">
      <c r="D730" s="9" t="s">
        <v>10</v>
      </c>
      <c r="E730" s="2">
        <v>45401</v>
      </c>
      <c r="F730" s="38"/>
      <c r="G730" s="51"/>
      <c r="H730" s="4">
        <f>F53*50%</f>
        <v>2791.725</v>
      </c>
      <c r="I730" s="120">
        <v>1976.2</v>
      </c>
      <c r="J730" s="4">
        <f>(G730+H730)-I730</f>
        <v>815.525</v>
      </c>
      <c r="K730" s="4">
        <f>J730+O729</f>
        <v>19170.465</v>
      </c>
      <c r="L730" s="3"/>
      <c r="M730" s="3"/>
      <c r="N730" s="25">
        <f>I730+M730</f>
        <v>1976.2</v>
      </c>
      <c r="O730" s="28">
        <f>K730-M730</f>
        <v>19170.465</v>
      </c>
      <c r="P730" s="9" t="s">
        <v>10</v>
      </c>
      <c r="Q730" s="2">
        <v>45401</v>
      </c>
      <c r="R730" s="38"/>
      <c r="S730" s="52"/>
      <c r="T730" s="4">
        <f>R53*45%</f>
        <v>2584.8</v>
      </c>
      <c r="U730" s="5">
        <v>0</v>
      </c>
      <c r="V730" s="4">
        <f>(S730+T730)-U730</f>
        <v>2584.8</v>
      </c>
      <c r="W730" s="4">
        <f>V730+AA729</f>
        <v>-51419.85</v>
      </c>
      <c r="X730" s="3"/>
      <c r="Y730" s="3"/>
      <c r="Z730" s="25">
        <f>U730+Y730</f>
        <v>0</v>
      </c>
      <c r="AA730" s="76">
        <f>W730-Y730</f>
        <v>-51419.85</v>
      </c>
      <c r="AB730" s="9" t="s">
        <v>10</v>
      </c>
      <c r="AC730" s="19">
        <v>45401</v>
      </c>
      <c r="AD730" s="41"/>
      <c r="AE730" s="42"/>
      <c r="AF730" s="4">
        <f>AD53-H730-T730</f>
        <v>5950.925</v>
      </c>
      <c r="AG730" s="3"/>
      <c r="AH730" s="8">
        <v>380.8</v>
      </c>
      <c r="AI730" s="4">
        <f>(AE730+AF730)-AH730</f>
        <v>5570.125</v>
      </c>
      <c r="AJ730" s="4">
        <f>AI730+BP729</f>
        <v>-124111.085</v>
      </c>
      <c r="AK730" s="3" t="s">
        <v>120</v>
      </c>
      <c r="AL730" s="8">
        <f>(4380.9+1000)</f>
        <v>5380.9</v>
      </c>
      <c r="AM730" s="47" t="s">
        <v>127</v>
      </c>
      <c r="AN730" s="47">
        <f>(8000)</f>
        <v>8000</v>
      </c>
      <c r="AO730" s="8"/>
      <c r="AP730" s="8"/>
      <c r="AQ730" s="47"/>
      <c r="AR730" s="47"/>
      <c r="AS730" s="8"/>
      <c r="AT730" s="8"/>
      <c r="AU730" s="47"/>
      <c r="AV730" s="47"/>
      <c r="AW730" s="8"/>
      <c r="AX730" s="8"/>
      <c r="AY730" s="47"/>
      <c r="AZ730" s="47"/>
      <c r="BA730" s="8" t="s">
        <v>128</v>
      </c>
      <c r="BB730" s="8">
        <f>(2000)</f>
        <v>2000</v>
      </c>
      <c r="BC730" s="47"/>
      <c r="BD730" s="47"/>
      <c r="BE730" s="8"/>
      <c r="BF730" s="8"/>
      <c r="BG730" s="47"/>
      <c r="BH730" s="47"/>
      <c r="BI730" s="8"/>
      <c r="BJ730" s="3"/>
      <c r="BK730" s="48" t="s">
        <v>129</v>
      </c>
      <c r="BL730" s="47"/>
      <c r="BM730" s="46"/>
      <c r="BN730" s="46"/>
      <c r="BO730" s="24">
        <f>AL730+AN730+AP730+AR730+AT730+AV730+AX730+AZ730+BB730+BD730+BF730+BH730+BJ730+BL730</f>
        <v>15380.9</v>
      </c>
      <c r="BP730" s="28">
        <f>AJ730-BO730</f>
        <v>-139491.985</v>
      </c>
      <c r="BQ730" s="2">
        <v>45401</v>
      </c>
    </row>
    <row r="731" spans="1:73" hidden="true">
      <c r="D731" s="9" t="s">
        <v>11</v>
      </c>
      <c r="E731" s="2">
        <v>45402</v>
      </c>
      <c r="F731" s="38"/>
      <c r="G731" s="51"/>
      <c r="H731" s="4">
        <f>F54*50%</f>
        <v>2881.825</v>
      </c>
      <c r="I731" s="120">
        <v>2034</v>
      </c>
      <c r="J731" s="4">
        <f>(G731+H731)-I731</f>
        <v>847.825</v>
      </c>
      <c r="K731" s="4">
        <f>J731+O730</f>
        <v>20018.29</v>
      </c>
      <c r="L731" s="3"/>
      <c r="M731" s="3"/>
      <c r="N731" s="25">
        <f>I731+M731</f>
        <v>2034</v>
      </c>
      <c r="O731" s="28">
        <f>K731-M731</f>
        <v>20018.29</v>
      </c>
      <c r="P731" s="9" t="s">
        <v>11</v>
      </c>
      <c r="Q731" s="2">
        <v>45402</v>
      </c>
      <c r="R731" s="38"/>
      <c r="S731" s="52"/>
      <c r="T731" s="4">
        <f>R54*45%</f>
        <v>2643.75</v>
      </c>
      <c r="U731" s="5">
        <v>1129</v>
      </c>
      <c r="V731" s="4">
        <f>(S731+T731)-U731</f>
        <v>1514.75</v>
      </c>
      <c r="W731" s="4">
        <f>V731+AA730</f>
        <v>-49905.1</v>
      </c>
      <c r="X731" s="3"/>
      <c r="Y731" s="3"/>
      <c r="Z731" s="25">
        <f>U731+Y731</f>
        <v>1129</v>
      </c>
      <c r="AA731" s="76">
        <f>W731-Y731</f>
        <v>-49905.1</v>
      </c>
      <c r="AB731" s="9" t="s">
        <v>130</v>
      </c>
      <c r="AC731" s="19">
        <v>45402</v>
      </c>
      <c r="AD731" s="41"/>
      <c r="AE731" s="42"/>
      <c r="AF731" s="4">
        <f>AD54-H731-T731</f>
        <v>6113.075</v>
      </c>
      <c r="AG731" s="3"/>
      <c r="AH731" s="8">
        <v>583</v>
      </c>
      <c r="AI731" s="4">
        <f>(AE731+AF731)-AH731</f>
        <v>5530.075</v>
      </c>
      <c r="AJ731" s="4">
        <f>AI731+BP730</f>
        <v>-133961.91</v>
      </c>
      <c r="AK731" s="3" t="s">
        <v>98</v>
      </c>
      <c r="AL731" s="8">
        <f>(1000)</f>
        <v>1000</v>
      </c>
      <c r="AM731" s="47"/>
      <c r="AN731" s="47"/>
      <c r="AO731" s="8"/>
      <c r="AP731" s="8"/>
      <c r="AQ731" s="47"/>
      <c r="AR731" s="47"/>
      <c r="AS731" s="8"/>
      <c r="AT731" s="8"/>
      <c r="AU731" s="47"/>
      <c r="AV731" s="47"/>
      <c r="AW731" s="8"/>
      <c r="AX731" s="8"/>
      <c r="AY731" s="47"/>
      <c r="AZ731" s="47"/>
      <c r="BA731" s="8"/>
      <c r="BB731" s="8"/>
      <c r="BC731" s="47"/>
      <c r="BD731" s="47"/>
      <c r="BE731" s="8"/>
      <c r="BF731" s="8"/>
      <c r="BG731" s="47"/>
      <c r="BH731" s="47"/>
      <c r="BI731" s="3"/>
      <c r="BJ731" s="3"/>
      <c r="BK731" s="47" t="s">
        <v>131</v>
      </c>
      <c r="BL731" s="47">
        <f>(3000)</f>
        <v>3000</v>
      </c>
      <c r="BM731" s="46"/>
      <c r="BN731" s="46"/>
      <c r="BO731" s="24">
        <f>AL731+AN731+AP731+AR731+AT731+AV731+AX731+AZ731+BB731+BD731+BF731+BH731+BJ731+BL731</f>
        <v>4000</v>
      </c>
      <c r="BP731" s="28">
        <f>AJ731-BO731</f>
        <v>-137961.91</v>
      </c>
      <c r="BQ731" s="2">
        <v>45402</v>
      </c>
    </row>
    <row r="732" spans="1:73" hidden="true">
      <c r="D732" s="9" t="s">
        <v>12</v>
      </c>
      <c r="E732" s="2">
        <v>45403</v>
      </c>
      <c r="F732" s="38"/>
      <c r="G732" s="51"/>
      <c r="H732" s="4">
        <f>F55*50%</f>
        <v>3285.65</v>
      </c>
      <c r="I732" s="120">
        <v>0</v>
      </c>
      <c r="J732" s="4">
        <f>(G732+H732)-I732</f>
        <v>3285.65</v>
      </c>
      <c r="K732" s="4">
        <f>J732+O731</f>
        <v>23303.94</v>
      </c>
      <c r="L732" s="3" t="s">
        <v>70</v>
      </c>
      <c r="M732" s="3">
        <f>(5000)</f>
        <v>5000</v>
      </c>
      <c r="N732" s="25">
        <f>I732+M732</f>
        <v>5000</v>
      </c>
      <c r="O732" s="28">
        <f>K732-M732</f>
        <v>18303.94</v>
      </c>
      <c r="P732" s="9" t="s">
        <v>12</v>
      </c>
      <c r="Q732" s="2">
        <v>45403</v>
      </c>
      <c r="R732" s="38"/>
      <c r="S732" s="52"/>
      <c r="T732" s="4">
        <f>R55*45%</f>
        <v>3312</v>
      </c>
      <c r="U732" s="5">
        <v>1364</v>
      </c>
      <c r="V732" s="4">
        <f>(S732+T732)-U732</f>
        <v>1948</v>
      </c>
      <c r="W732" s="4">
        <f>V732+AA731</f>
        <v>-47957.1</v>
      </c>
      <c r="X732" s="3"/>
      <c r="Y732" s="3"/>
      <c r="Z732" s="25">
        <f>U732+Y732</f>
        <v>1364</v>
      </c>
      <c r="AA732" s="76">
        <f>W732-Y732</f>
        <v>-47957.1</v>
      </c>
      <c r="AB732" s="9" t="s">
        <v>12</v>
      </c>
      <c r="AC732" s="19">
        <v>45403</v>
      </c>
      <c r="AD732" s="41"/>
      <c r="AE732" s="42"/>
      <c r="AF732" s="4">
        <f>AD55-H732-T732</f>
        <v>7333.65</v>
      </c>
      <c r="AG732" s="3"/>
      <c r="AH732" s="8">
        <v>525.1</v>
      </c>
      <c r="AI732" s="4">
        <f>(AE732+AF732)-AH732</f>
        <v>6808.55</v>
      </c>
      <c r="AJ732" s="4">
        <f>AI732+BP731</f>
        <v>-131153.36</v>
      </c>
      <c r="AK732" s="8" t="s">
        <v>132</v>
      </c>
      <c r="AL732" s="8">
        <f>(9369+1000)</f>
        <v>10369</v>
      </c>
      <c r="AM732" s="47"/>
      <c r="AN732" s="47"/>
      <c r="AO732" s="8"/>
      <c r="AP732" s="8"/>
      <c r="AQ732" s="47"/>
      <c r="AR732" s="47"/>
      <c r="AS732" s="8"/>
      <c r="AT732" s="8"/>
      <c r="AU732" s="47"/>
      <c r="AV732" s="47"/>
      <c r="AW732" s="8"/>
      <c r="AX732" s="8"/>
      <c r="AY732" s="47" t="s">
        <v>133</v>
      </c>
      <c r="AZ732" s="47">
        <f>(1279)</f>
        <v>1279</v>
      </c>
      <c r="BA732" s="3" t="s">
        <v>134</v>
      </c>
      <c r="BB732" s="8">
        <f>(500)</f>
        <v>500</v>
      </c>
      <c r="BC732" s="47"/>
      <c r="BD732" s="47"/>
      <c r="BE732" s="8"/>
      <c r="BF732" s="8"/>
      <c r="BG732" s="47"/>
      <c r="BH732" s="47"/>
      <c r="BI732" s="3"/>
      <c r="BJ732" s="3"/>
      <c r="BK732" s="47"/>
      <c r="BL732" s="47"/>
      <c r="BM732" s="46"/>
      <c r="BN732" s="46"/>
      <c r="BO732" s="24">
        <f>AL732+AN732+AP732+AR732+AT732+AV732+AX732+AZ732+BB732+BD732+BF732+BH732+BJ732+BL732</f>
        <v>12148</v>
      </c>
      <c r="BP732" s="28">
        <f>AJ732-BO732</f>
        <v>-143301.36</v>
      </c>
      <c r="BQ732" s="2">
        <v>45403</v>
      </c>
    </row>
    <row r="733" spans="1:73" hidden="true">
      <c r="D733" s="9" t="s">
        <v>13</v>
      </c>
      <c r="E733" s="2">
        <v>45404</v>
      </c>
      <c r="F733" s="38"/>
      <c r="G733" s="51"/>
      <c r="H733" s="4">
        <f>F56*50%</f>
        <v>2947.8</v>
      </c>
      <c r="I733" s="120">
        <v>2081.2</v>
      </c>
      <c r="J733" s="4">
        <f>(G733+H733)-I733</f>
        <v>866.6</v>
      </c>
      <c r="K733" s="4">
        <f>J733+O732</f>
        <v>19170.54</v>
      </c>
      <c r="L733" s="3"/>
      <c r="M733" s="3"/>
      <c r="N733" s="25">
        <f>I733+M733</f>
        <v>2081.2</v>
      </c>
      <c r="O733" s="28">
        <f>K733-M733</f>
        <v>19170.54</v>
      </c>
      <c r="P733" s="9" t="s">
        <v>13</v>
      </c>
      <c r="Q733" s="2">
        <v>45404</v>
      </c>
      <c r="R733" s="38"/>
      <c r="S733" s="52"/>
      <c r="T733" s="4">
        <f>R56*45%</f>
        <v>4015.8</v>
      </c>
      <c r="U733" s="5">
        <v>0</v>
      </c>
      <c r="V733" s="4">
        <f>(S733+T733)-U733</f>
        <v>4015.8</v>
      </c>
      <c r="W733" s="4">
        <f>V733+AA732</f>
        <v>-43941.3</v>
      </c>
      <c r="X733" s="3"/>
      <c r="Y733" s="3"/>
      <c r="Z733" s="25">
        <f>U733+Y733</f>
        <v>0</v>
      </c>
      <c r="AA733" s="76">
        <f>W733-Y733</f>
        <v>-43941.3</v>
      </c>
      <c r="AB733" s="9" t="s">
        <v>13</v>
      </c>
      <c r="AC733" s="19">
        <v>45404</v>
      </c>
      <c r="AD733" s="41"/>
      <c r="AE733" s="42"/>
      <c r="AF733" s="4">
        <f>AD56-H733-T733</f>
        <v>7856</v>
      </c>
      <c r="AG733" s="3"/>
      <c r="AH733" s="8">
        <v>1113.1</v>
      </c>
      <c r="AI733" s="4">
        <f>(AE733+AF733)-AH733</f>
        <v>6742.9</v>
      </c>
      <c r="AJ733" s="4">
        <f>AI733+BP732</f>
        <v>-136558.46</v>
      </c>
      <c r="AK733" s="3" t="s">
        <v>135</v>
      </c>
      <c r="AL733" s="8">
        <f>(1000+2000+1000)</f>
        <v>4000</v>
      </c>
      <c r="AM733" s="48" t="s">
        <v>136</v>
      </c>
      <c r="AN733" s="47">
        <f>(8035.2+3500+1800+1800)</f>
        <v>15135.2</v>
      </c>
      <c r="AO733" s="8"/>
      <c r="AP733" s="8"/>
      <c r="AQ733" s="47"/>
      <c r="AR733" s="47"/>
      <c r="AS733" s="8"/>
      <c r="AT733" s="8"/>
      <c r="AU733" s="47"/>
      <c r="AV733" s="47"/>
      <c r="AW733" s="8"/>
      <c r="AX733" s="8"/>
      <c r="AY733" s="47"/>
      <c r="AZ733" s="47"/>
      <c r="BA733" s="8"/>
      <c r="BB733" s="8"/>
      <c r="BC733" s="47"/>
      <c r="BD733" s="47"/>
      <c r="BE733" s="8"/>
      <c r="BF733" s="8"/>
      <c r="BG733" s="47"/>
      <c r="BH733" s="47"/>
      <c r="BI733" s="8"/>
      <c r="BJ733" s="3"/>
      <c r="BK733" s="47"/>
      <c r="BL733" s="47"/>
      <c r="BM733" s="46"/>
      <c r="BN733" s="46"/>
      <c r="BO733" s="24">
        <f>AL733+AN733+AP733+AR733+AT733+AV733+AX733+AZ733+BB733+BD733+BF733+BH733+BJ733+BL733</f>
        <v>19135.2</v>
      </c>
      <c r="BP733" s="28">
        <f>AJ733-BO733</f>
        <v>-155693.66</v>
      </c>
      <c r="BQ733" s="2">
        <v>45404</v>
      </c>
    </row>
    <row r="734" spans="1:73" hidden="true">
      <c r="D734" s="9" t="s">
        <v>14</v>
      </c>
      <c r="E734" s="2">
        <v>45405</v>
      </c>
      <c r="F734" s="38"/>
      <c r="G734" s="51"/>
      <c r="H734" s="4">
        <f>F57*50%</f>
        <v>2100.825</v>
      </c>
      <c r="I734" s="120">
        <v>2066</v>
      </c>
      <c r="J734" s="4">
        <f>(G734+H734)-I734</f>
        <v>34.825</v>
      </c>
      <c r="K734" s="4">
        <f>J734+O733</f>
        <v>19205.365</v>
      </c>
      <c r="L734" s="3" t="s">
        <v>90</v>
      </c>
      <c r="M734" s="3">
        <v>10788</v>
      </c>
      <c r="N734" s="25">
        <f>I734+M734</f>
        <v>12854</v>
      </c>
      <c r="O734" s="28">
        <f>K734-M734</f>
        <v>8417.365</v>
      </c>
      <c r="P734" s="9" t="s">
        <v>14</v>
      </c>
      <c r="Q734" s="2">
        <v>45405</v>
      </c>
      <c r="R734" s="38"/>
      <c r="S734" s="52"/>
      <c r="T734" s="4">
        <f>R57*45%</f>
        <v>2600.55</v>
      </c>
      <c r="U734" s="5">
        <v>400</v>
      </c>
      <c r="V734" s="4">
        <f>(S734+T734)-U734</f>
        <v>2200.55</v>
      </c>
      <c r="W734" s="4">
        <f>V734+AA733</f>
        <v>-41740.75</v>
      </c>
      <c r="X734" s="3"/>
      <c r="Y734" s="3"/>
      <c r="Z734" s="25">
        <f>U734+Y734</f>
        <v>400</v>
      </c>
      <c r="AA734" s="76">
        <f>W734-Y734</f>
        <v>-41740.75</v>
      </c>
      <c r="AB734" s="9" t="s">
        <v>14</v>
      </c>
      <c r="AC734" s="19">
        <v>45405</v>
      </c>
      <c r="AD734" s="41"/>
      <c r="AE734" s="42"/>
      <c r="AF734" s="4">
        <f>AD57-H734-T734</f>
        <v>5279.275</v>
      </c>
      <c r="AG734" s="3"/>
      <c r="AH734" s="8">
        <v>370</v>
      </c>
      <c r="AI734" s="4">
        <f>(AE734+AF734)-AH734</f>
        <v>4909.275</v>
      </c>
      <c r="AJ734" s="4">
        <f>AI734+BP733</f>
        <v>-150784.385</v>
      </c>
      <c r="AK734" s="3" t="s">
        <v>137</v>
      </c>
      <c r="AL734" s="8">
        <f>(1000+1500)</f>
        <v>2500</v>
      </c>
      <c r="AM734" s="48" t="s">
        <v>138</v>
      </c>
      <c r="AN734" s="47">
        <f>(13600)</f>
        <v>13600</v>
      </c>
      <c r="AO734" s="8"/>
      <c r="AP734" s="8"/>
      <c r="AQ734" s="47"/>
      <c r="AR734" s="47"/>
      <c r="AS734" s="8"/>
      <c r="AT734" s="8"/>
      <c r="AU734" s="47"/>
      <c r="AV734" s="47"/>
      <c r="AW734" s="8"/>
      <c r="AX734" s="8"/>
      <c r="AY734" s="47"/>
      <c r="AZ734" s="47"/>
      <c r="BA734" s="8" t="s">
        <v>139</v>
      </c>
      <c r="BB734" s="8">
        <f>(552.54+350)</f>
        <v>902.54</v>
      </c>
      <c r="BC734" s="47"/>
      <c r="BD734" s="47"/>
      <c r="BE734" s="8"/>
      <c r="BF734" s="8"/>
      <c r="BG734" s="47"/>
      <c r="BH734" s="47"/>
      <c r="BI734" s="3"/>
      <c r="BJ734" s="3"/>
      <c r="BK734" s="47"/>
      <c r="BL734" s="47"/>
      <c r="BM734" s="46"/>
      <c r="BN734" s="46"/>
      <c r="BO734" s="24">
        <f>AL734+AN734+AP734+AR734+AT734+AV734+AX734+AZ734+BB734+BD734+BF734+BH734+BJ734+BL734</f>
        <v>17002.54</v>
      </c>
      <c r="BP734" s="28">
        <f>AJ734-BO734</f>
        <v>-167786.925</v>
      </c>
      <c r="BQ734" s="2">
        <v>45405</v>
      </c>
    </row>
    <row r="735" spans="1:73" hidden="true">
      <c r="D735" s="9" t="s">
        <v>15</v>
      </c>
      <c r="E735" s="2">
        <v>45406</v>
      </c>
      <c r="F735" s="38"/>
      <c r="G735" s="52"/>
      <c r="H735" s="4">
        <f>F58*50%</f>
        <v>1750.425</v>
      </c>
      <c r="I735" s="120">
        <v>6518.1</v>
      </c>
      <c r="J735" s="4">
        <f>(G735+H735)-I735</f>
        <v>-4767.675</v>
      </c>
      <c r="K735" s="4">
        <f>J735+O734</f>
        <v>3649.69</v>
      </c>
      <c r="L735" s="3"/>
      <c r="M735" s="3"/>
      <c r="N735" s="25">
        <f>I735+M735</f>
        <v>6518.1</v>
      </c>
      <c r="O735" s="28">
        <f>K735-M735</f>
        <v>3649.69</v>
      </c>
      <c r="P735" s="9" t="s">
        <v>15</v>
      </c>
      <c r="Q735" s="2">
        <v>45406</v>
      </c>
      <c r="R735" s="38"/>
      <c r="S735" s="52"/>
      <c r="T735" s="4">
        <f>R58*45%</f>
        <v>2350.8</v>
      </c>
      <c r="U735" s="5">
        <v>0</v>
      </c>
      <c r="V735" s="4">
        <f>(S735+T735)-U735</f>
        <v>2350.8</v>
      </c>
      <c r="W735" s="4">
        <f>V735+AA734</f>
        <v>-39389.95</v>
      </c>
      <c r="X735" s="3"/>
      <c r="Y735" s="3"/>
      <c r="Z735" s="25">
        <f>U735+Y735</f>
        <v>0</v>
      </c>
      <c r="AA735" s="76">
        <f>W735-Y735</f>
        <v>-39389.95</v>
      </c>
      <c r="AB735" s="9" t="s">
        <v>15</v>
      </c>
      <c r="AC735" s="19">
        <v>45406</v>
      </c>
      <c r="AD735" s="41"/>
      <c r="AE735" s="42"/>
      <c r="AF735" s="4">
        <f>AD58-H735-T735</f>
        <v>4623.625</v>
      </c>
      <c r="AG735" s="3"/>
      <c r="AH735" s="8">
        <v>302</v>
      </c>
      <c r="AI735" s="4">
        <f>(AE735+AF735)-AH735</f>
        <v>4321.625</v>
      </c>
      <c r="AJ735" s="4">
        <f>AI735+BP734</f>
        <v>-163465.3</v>
      </c>
      <c r="AK735" s="3" t="s">
        <v>98</v>
      </c>
      <c r="AL735" s="8">
        <f>(1000)</f>
        <v>1000</v>
      </c>
      <c r="AM735" s="48"/>
      <c r="AN735" s="47"/>
      <c r="AO735" s="8"/>
      <c r="AP735" s="8"/>
      <c r="AQ735" s="47"/>
      <c r="AR735" s="47"/>
      <c r="AS735" s="8"/>
      <c r="AT735" s="8"/>
      <c r="AU735" s="47"/>
      <c r="AV735" s="47"/>
      <c r="AW735" s="8"/>
      <c r="AX735" s="8"/>
      <c r="AY735" s="47" t="s">
        <v>116</v>
      </c>
      <c r="AZ735" s="47">
        <f>(2896)</f>
        <v>2896</v>
      </c>
      <c r="BA735" s="8" t="s">
        <v>140</v>
      </c>
      <c r="BB735" s="8">
        <f>(2650+400+200)</f>
        <v>3250</v>
      </c>
      <c r="BC735" s="47"/>
      <c r="BD735" s="47"/>
      <c r="BE735" s="8"/>
      <c r="BF735" s="8"/>
      <c r="BG735" s="47"/>
      <c r="BH735" s="47"/>
      <c r="BI735" s="8"/>
      <c r="BJ735" s="3"/>
      <c r="BK735" s="47" t="s">
        <v>141</v>
      </c>
      <c r="BL735" s="47">
        <f>(300)</f>
        <v>300</v>
      </c>
      <c r="BM735" s="46"/>
      <c r="BN735" s="46"/>
      <c r="BO735" s="24">
        <f>AL735+AN735+AP735+AR735+AT735+AV735+AX735+AZ735+BB735+BD735+BF735+BH735+BJ735+BL735</f>
        <v>7446</v>
      </c>
      <c r="BP735" s="28">
        <f>AJ735-BO735</f>
        <v>-170911.3</v>
      </c>
      <c r="BQ735" s="2">
        <v>45406</v>
      </c>
    </row>
    <row r="736" spans="1:73" hidden="true">
      <c r="D736" s="9" t="s">
        <v>16</v>
      </c>
      <c r="E736" s="2">
        <v>45407</v>
      </c>
      <c r="F736" s="38"/>
      <c r="G736" s="51"/>
      <c r="H736" s="4">
        <f>F59*50%</f>
        <v>2353.175</v>
      </c>
      <c r="I736" s="120">
        <v>10959</v>
      </c>
      <c r="J736" s="4">
        <f>(G736+H736)-I736</f>
        <v>-8605.825</v>
      </c>
      <c r="K736" s="4">
        <f>J736+O735</f>
        <v>-4956.135</v>
      </c>
      <c r="L736" s="3" t="s">
        <v>142</v>
      </c>
      <c r="M736" s="3">
        <f>(14482.8+3000)</f>
        <v>17482.8</v>
      </c>
      <c r="N736" s="25">
        <f>I736+M736</f>
        <v>28441.8</v>
      </c>
      <c r="O736" s="28">
        <f>K736-M736</f>
        <v>-22438.935</v>
      </c>
      <c r="P736" s="9" t="s">
        <v>16</v>
      </c>
      <c r="Q736" s="2">
        <v>45407</v>
      </c>
      <c r="R736" s="38"/>
      <c r="S736" s="52"/>
      <c r="T736" s="4">
        <f>R59*45%</f>
        <v>1877.4</v>
      </c>
      <c r="U736" s="5">
        <v>0</v>
      </c>
      <c r="V736" s="4">
        <f>(S736+T736)-U736</f>
        <v>1877.4</v>
      </c>
      <c r="W736" s="4">
        <f>V736+AA735</f>
        <v>-37512.55</v>
      </c>
      <c r="X736" s="3"/>
      <c r="Y736" s="3"/>
      <c r="Z736" s="25">
        <f>U736+Y736</f>
        <v>0</v>
      </c>
      <c r="AA736" s="76">
        <f>W736-Y736</f>
        <v>-37512.55</v>
      </c>
      <c r="AB736" s="9" t="s">
        <v>16</v>
      </c>
      <c r="AC736" s="19">
        <v>45407</v>
      </c>
      <c r="AD736" s="41"/>
      <c r="AE736" s="42"/>
      <c r="AF736" s="4">
        <f>AD59-H736-T736</f>
        <v>4647.775</v>
      </c>
      <c r="AG736" s="3"/>
      <c r="AH736" s="8">
        <v>417</v>
      </c>
      <c r="AI736" s="4">
        <f>(AE736+AF736)-AH736</f>
        <v>4230.775</v>
      </c>
      <c r="AJ736" s="4">
        <f>AI736+BP735</f>
        <v>-166680.525</v>
      </c>
      <c r="AK736" s="3" t="s">
        <v>143</v>
      </c>
      <c r="AL736" s="8">
        <f>(1000+2000)</f>
        <v>3000</v>
      </c>
      <c r="AM736" s="47"/>
      <c r="AN736" s="47"/>
      <c r="AO736" s="8"/>
      <c r="AP736" s="8"/>
      <c r="AQ736" s="47"/>
      <c r="AR736" s="47"/>
      <c r="AS736" s="8"/>
      <c r="AT736" s="8"/>
      <c r="AU736" s="47"/>
      <c r="AV736" s="47"/>
      <c r="AW736" s="8"/>
      <c r="AX736" s="8"/>
      <c r="AY736" s="47" t="s">
        <v>116</v>
      </c>
      <c r="AZ736" s="47">
        <f>(1000)</f>
        <v>1000</v>
      </c>
      <c r="BA736" s="8"/>
      <c r="BB736" s="8"/>
      <c r="BC736" s="47"/>
      <c r="BD736" s="47"/>
      <c r="BE736" s="8"/>
      <c r="BF736" s="8"/>
      <c r="BG736" s="47"/>
      <c r="BH736" s="47"/>
      <c r="BI736" s="8"/>
      <c r="BJ736" s="3"/>
      <c r="BK736" s="47" t="s">
        <v>144</v>
      </c>
      <c r="BL736" s="47">
        <f>(3000)</f>
        <v>3000</v>
      </c>
      <c r="BM736" s="46"/>
      <c r="BN736" s="46"/>
      <c r="BO736" s="24">
        <f>AL736+AN736+AP736+AR736+AT736+AV736+AX736+AZ736+BB736+BD736+BF736+BH736+BJ736+BL736</f>
        <v>7000</v>
      </c>
      <c r="BP736" s="28">
        <f>AJ736-BO736</f>
        <v>-173680.525</v>
      </c>
      <c r="BQ736" s="2">
        <v>45407</v>
      </c>
    </row>
    <row r="737" spans="1:73" hidden="true">
      <c r="D737" s="9" t="s">
        <v>10</v>
      </c>
      <c r="E737" s="2">
        <v>45408</v>
      </c>
      <c r="F737" s="38"/>
      <c r="G737" s="52"/>
      <c r="H737" s="4">
        <f>F60*50%</f>
        <v>3211.95</v>
      </c>
      <c r="I737" s="120">
        <v>7846.1</v>
      </c>
      <c r="J737" s="4">
        <f>(G737+H737)-I737</f>
        <v>-4634.15</v>
      </c>
      <c r="K737" s="4">
        <f>J737+O736</f>
        <v>-27073.085</v>
      </c>
      <c r="L737" s="3" t="s">
        <v>145</v>
      </c>
      <c r="M737" s="3">
        <f>(5600+5817+1038.4)</f>
        <v>12455.4</v>
      </c>
      <c r="N737" s="25">
        <f>I737+M737</f>
        <v>20301.5</v>
      </c>
      <c r="O737" s="28">
        <f>K737-M737</f>
        <v>-39528.485</v>
      </c>
      <c r="P737" s="9" t="s">
        <v>10</v>
      </c>
      <c r="Q737" s="2">
        <v>45408</v>
      </c>
      <c r="R737" s="38"/>
      <c r="S737" s="52"/>
      <c r="T737" s="4">
        <f>R60*45%</f>
        <v>1655.1</v>
      </c>
      <c r="U737" s="5"/>
      <c r="V737" s="4">
        <f>(S737+T737)-U737</f>
        <v>1655.1</v>
      </c>
      <c r="W737" s="4">
        <f>V737+AA736</f>
        <v>-35857.45</v>
      </c>
      <c r="X737" s="3" t="s">
        <v>94</v>
      </c>
      <c r="Y737" s="3">
        <v>2800</v>
      </c>
      <c r="Z737" s="25">
        <f>U737+Y737</f>
        <v>2800</v>
      </c>
      <c r="AA737" s="76">
        <f>W737-Y737</f>
        <v>-38657.45</v>
      </c>
      <c r="AB737" s="9" t="s">
        <v>10</v>
      </c>
      <c r="AC737" s="19">
        <v>45408</v>
      </c>
      <c r="AD737" s="41"/>
      <c r="AE737" s="42"/>
      <c r="AF737" s="4">
        <f>AD60-H737-T737</f>
        <v>5234.85</v>
      </c>
      <c r="AG737" s="3"/>
      <c r="AH737" s="8">
        <v>476.1</v>
      </c>
      <c r="AI737" s="4">
        <f>(AE737+AF737)-AH737</f>
        <v>4758.75</v>
      </c>
      <c r="AJ737" s="4">
        <f>AI737+BP736</f>
        <v>-168921.775</v>
      </c>
      <c r="AK737" s="3" t="s">
        <v>98</v>
      </c>
      <c r="AL737" s="8">
        <f>(1000)</f>
        <v>1000</v>
      </c>
      <c r="AM737" s="47"/>
      <c r="AN737" s="47"/>
      <c r="AO737" s="8"/>
      <c r="AP737" s="8"/>
      <c r="AQ737" s="47"/>
      <c r="AR737" s="47"/>
      <c r="AS737" s="8"/>
      <c r="AT737" s="8"/>
      <c r="AU737" s="47"/>
      <c r="AV737" s="47"/>
      <c r="AW737" s="8"/>
      <c r="AX737" s="8"/>
      <c r="AY737" s="47"/>
      <c r="AZ737" s="47"/>
      <c r="BA737" s="8" t="s">
        <v>146</v>
      </c>
      <c r="BB737" s="8">
        <f>(457+519)</f>
        <v>976</v>
      </c>
      <c r="BC737" s="47"/>
      <c r="BD737" s="47"/>
      <c r="BE737" s="8"/>
      <c r="BF737" s="8"/>
      <c r="BG737" s="47"/>
      <c r="BH737" s="47"/>
      <c r="BI737" s="8"/>
      <c r="BJ737" s="3"/>
      <c r="BK737" s="48"/>
      <c r="BL737" s="47"/>
      <c r="BM737" s="46"/>
      <c r="BN737" s="46"/>
      <c r="BO737" s="24">
        <f>AL737+AN737+AP737+AR737+AT737+AV737+AX737+AZ737+BB737+BD737+BF737+BH737+BJ737+BL737</f>
        <v>1976</v>
      </c>
      <c r="BP737" s="28">
        <f>AJ737-BO737</f>
        <v>-170897.775</v>
      </c>
      <c r="BQ737" s="2">
        <v>45408</v>
      </c>
    </row>
    <row r="738" spans="1:73" hidden="true">
      <c r="D738" s="9" t="s">
        <v>11</v>
      </c>
      <c r="E738" s="2">
        <v>45409</v>
      </c>
      <c r="F738" s="38"/>
      <c r="G738" s="51"/>
      <c r="H738" s="4">
        <f>F61*50%</f>
        <v>2197.85</v>
      </c>
      <c r="I738" s="120">
        <v>5346</v>
      </c>
      <c r="J738" s="4">
        <f>(G738+H738)-I738</f>
        <v>-3148.15</v>
      </c>
      <c r="K738" s="4">
        <f>J738+O737</f>
        <v>-42676.635</v>
      </c>
      <c r="L738" s="3" t="s">
        <v>70</v>
      </c>
      <c r="M738" s="3">
        <f>(4978)</f>
        <v>4978</v>
      </c>
      <c r="N738" s="25">
        <f>I738+M738</f>
        <v>10324</v>
      </c>
      <c r="O738" s="28">
        <f>K738-M738</f>
        <v>-47654.635</v>
      </c>
      <c r="P738" s="9" t="s">
        <v>11</v>
      </c>
      <c r="Q738" s="2">
        <v>45409</v>
      </c>
      <c r="R738" s="38"/>
      <c r="S738" s="52"/>
      <c r="T738" s="4">
        <f>R61*45%</f>
        <v>2260.71</v>
      </c>
      <c r="U738" s="5"/>
      <c r="V738" s="4">
        <f>(S738+T738)-U738</f>
        <v>2260.71</v>
      </c>
      <c r="W738" s="4">
        <f>V738+AA737</f>
        <v>-36396.74</v>
      </c>
      <c r="X738" s="3"/>
      <c r="Y738" s="3"/>
      <c r="Z738" s="25">
        <f>U738+Y738</f>
        <v>0</v>
      </c>
      <c r="AA738" s="76">
        <f>W738-Y738</f>
        <v>-36396.74</v>
      </c>
      <c r="AB738" s="9" t="s">
        <v>11</v>
      </c>
      <c r="AC738" s="19">
        <v>45409</v>
      </c>
      <c r="AD738" s="41"/>
      <c r="AE738" s="43"/>
      <c r="AF738" s="4">
        <f>AD61-H738-T738</f>
        <v>4960.94</v>
      </c>
      <c r="AG738" s="3"/>
      <c r="AH738" s="8">
        <v>407</v>
      </c>
      <c r="AI738" s="4">
        <f>(AE738+AF738)-AH738</f>
        <v>4553.94</v>
      </c>
      <c r="AJ738" s="4">
        <f>AI738+BP737</f>
        <v>-166343.835</v>
      </c>
      <c r="AK738" s="3" t="s">
        <v>98</v>
      </c>
      <c r="AL738" s="8">
        <f>(1000)</f>
        <v>1000</v>
      </c>
      <c r="AM738" s="47"/>
      <c r="AN738" s="47"/>
      <c r="AO738" s="8"/>
      <c r="AP738" s="8"/>
      <c r="AQ738" s="47"/>
      <c r="AR738" s="47"/>
      <c r="AS738" s="8"/>
      <c r="AT738" s="8"/>
      <c r="AU738" s="47"/>
      <c r="AV738" s="47"/>
      <c r="AW738" s="8"/>
      <c r="AX738" s="8"/>
      <c r="AY738" s="48" t="s">
        <v>116</v>
      </c>
      <c r="AZ738" s="47">
        <f>(1000)</f>
        <v>1000</v>
      </c>
      <c r="BA738" s="8" t="s">
        <v>147</v>
      </c>
      <c r="BB738" s="8">
        <f>(500+6400)</f>
        <v>6900</v>
      </c>
      <c r="BC738" s="47"/>
      <c r="BD738" s="47"/>
      <c r="BE738" s="8"/>
      <c r="BF738" s="8"/>
      <c r="BG738" s="47"/>
      <c r="BH738" s="47"/>
      <c r="BI738" s="3"/>
      <c r="BJ738" s="3"/>
      <c r="BK738" s="48" t="s">
        <v>129</v>
      </c>
      <c r="BL738" s="47">
        <f>(500+1000+500)</f>
        <v>2000</v>
      </c>
      <c r="BM738" s="46"/>
      <c r="BN738" s="46"/>
      <c r="BO738" s="24">
        <f>AL738+AN738+AP738+AR738+AT738+AV738+AX738+AZ738+BB738+BD738+BF738+BH738+BJ738+BL738</f>
        <v>10900</v>
      </c>
      <c r="BP738" s="28">
        <f>AJ738-BO738</f>
        <v>-177243.835</v>
      </c>
      <c r="BQ738" s="2">
        <v>45409</v>
      </c>
    </row>
    <row r="739" spans="1:73" hidden="true">
      <c r="D739" s="9" t="s">
        <v>12</v>
      </c>
      <c r="E739" s="2">
        <v>45410</v>
      </c>
      <c r="F739" s="38"/>
      <c r="G739" s="51"/>
      <c r="H739" s="4">
        <f>F62*50%</f>
        <v>2654.675</v>
      </c>
      <c r="I739" s="120">
        <v>0</v>
      </c>
      <c r="J739" s="4">
        <f>(G739+H739)-I739</f>
        <v>2654.675</v>
      </c>
      <c r="K739" s="4">
        <f>J739+O738</f>
        <v>-44999.96</v>
      </c>
      <c r="L739" s="3"/>
      <c r="M739" s="3"/>
      <c r="N739" s="25">
        <f>I739+M739</f>
        <v>0</v>
      </c>
      <c r="O739" s="28">
        <f>K739-M739</f>
        <v>-44999.96</v>
      </c>
      <c r="P739" s="9" t="s">
        <v>12</v>
      </c>
      <c r="Q739" s="2">
        <v>45410</v>
      </c>
      <c r="R739" s="38"/>
      <c r="S739" s="52"/>
      <c r="T739" s="4">
        <f>R62*45%</f>
        <v>4105.8</v>
      </c>
      <c r="U739" s="5"/>
      <c r="V739" s="4">
        <f>(S739+T739)-U739</f>
        <v>4105.8</v>
      </c>
      <c r="W739" s="4">
        <f>V739+AA738</f>
        <v>-32290.94</v>
      </c>
      <c r="X739" s="3"/>
      <c r="Y739" s="3"/>
      <c r="Z739" s="25">
        <f>U739+Y739</f>
        <v>0</v>
      </c>
      <c r="AA739" s="76">
        <f>W739-Y739</f>
        <v>-32290.94</v>
      </c>
      <c r="AB739" s="9" t="s">
        <v>12</v>
      </c>
      <c r="AC739" s="19">
        <v>45410</v>
      </c>
      <c r="AD739" s="41"/>
      <c r="AE739" s="42"/>
      <c r="AF739" s="4">
        <f>AD62-H739-T739</f>
        <v>7672.875</v>
      </c>
      <c r="AG739" s="3"/>
      <c r="AH739" s="8">
        <v>563</v>
      </c>
      <c r="AI739" s="4">
        <f>(AE739+AF739)-AH739</f>
        <v>7109.875</v>
      </c>
      <c r="AJ739" s="4">
        <f>AI739+BP738</f>
        <v>-170133.96</v>
      </c>
      <c r="AK739" s="3" t="s">
        <v>101</v>
      </c>
      <c r="AL739" s="8">
        <f>(1000)</f>
        <v>1000</v>
      </c>
      <c r="AM739" s="47"/>
      <c r="AN739" s="47"/>
      <c r="AO739" s="8"/>
      <c r="AP739" s="8"/>
      <c r="AQ739" s="47"/>
      <c r="AR739" s="47"/>
      <c r="AS739" s="8"/>
      <c r="AT739" s="8"/>
      <c r="AU739" s="47"/>
      <c r="AV739" s="47"/>
      <c r="AW739" s="8"/>
      <c r="AX739" s="8"/>
      <c r="AY739" s="47"/>
      <c r="AZ739" s="47"/>
      <c r="BA739" s="8"/>
      <c r="BB739" s="8"/>
      <c r="BC739" s="47"/>
      <c r="BD739" s="47"/>
      <c r="BE739" s="8"/>
      <c r="BF739" s="8"/>
      <c r="BG739" s="47"/>
      <c r="BH739" s="47"/>
      <c r="BI739" s="3"/>
      <c r="BJ739" s="3"/>
      <c r="BK739" s="47"/>
      <c r="BL739" s="47"/>
      <c r="BM739" s="46"/>
      <c r="BN739" s="46"/>
      <c r="BO739" s="24">
        <f>AL739+AN739+AP739+AR739+AT739+AV739+AX739+AZ739+BB739+BD739+BF739+BH739+BJ739+BL739</f>
        <v>1000</v>
      </c>
      <c r="BP739" s="28">
        <f>AJ739-BO739</f>
        <v>-171133.96</v>
      </c>
      <c r="BQ739" s="2">
        <v>45410</v>
      </c>
    </row>
    <row r="740" spans="1:73" hidden="true">
      <c r="D740" s="9" t="s">
        <v>13</v>
      </c>
      <c r="E740" s="2">
        <v>45411</v>
      </c>
      <c r="F740" s="38"/>
      <c r="G740" s="51"/>
      <c r="H740" s="4">
        <f>F63*50%</f>
        <v>2940.075</v>
      </c>
      <c r="I740" s="120">
        <v>3669</v>
      </c>
      <c r="J740" s="4">
        <f>(G740+H740)-I740</f>
        <v>-728.925</v>
      </c>
      <c r="K740" s="4">
        <f>J740+O739</f>
        <v>-45728.885</v>
      </c>
      <c r="L740" s="3"/>
      <c r="M740" s="3"/>
      <c r="N740" s="25">
        <f>I740+M740</f>
        <v>3669</v>
      </c>
      <c r="O740" s="28">
        <f>K740-M740</f>
        <v>-45728.885</v>
      </c>
      <c r="P740" s="9" t="s">
        <v>13</v>
      </c>
      <c r="Q740" s="2">
        <v>45411</v>
      </c>
      <c r="R740" s="38"/>
      <c r="S740" s="52"/>
      <c r="T740" s="4">
        <f>R63*45%</f>
        <v>3427.2</v>
      </c>
      <c r="U740" s="5"/>
      <c r="V740" s="4">
        <f>(S740+T740)-U740</f>
        <v>3427.2</v>
      </c>
      <c r="W740" s="4">
        <f>V740+AA739</f>
        <v>-28863.74</v>
      </c>
      <c r="X740" s="3"/>
      <c r="Y740" s="3"/>
      <c r="Z740" s="25">
        <f>U740+Y740</f>
        <v>0</v>
      </c>
      <c r="AA740" s="76">
        <f>W740-Y740</f>
        <v>-28863.74</v>
      </c>
      <c r="AB740" s="9" t="s">
        <v>13</v>
      </c>
      <c r="AC740" s="19">
        <v>45411</v>
      </c>
      <c r="AD740" s="41"/>
      <c r="AE740" s="42"/>
      <c r="AF740" s="4">
        <f>AD63-H740-T740</f>
        <v>7128.875</v>
      </c>
      <c r="AG740" s="3"/>
      <c r="AH740" s="8">
        <v>434</v>
      </c>
      <c r="AI740" s="4">
        <f>(AE740+AF740)-AH740</f>
        <v>6694.875</v>
      </c>
      <c r="AJ740" s="4">
        <f>AI740+BP739</f>
        <v>-164439.085</v>
      </c>
      <c r="AK740" s="3" t="s">
        <v>98</v>
      </c>
      <c r="AL740" s="8">
        <f>(1000)</f>
        <v>1000</v>
      </c>
      <c r="AM740" s="48"/>
      <c r="AN740" s="47"/>
      <c r="AO740" s="8"/>
      <c r="AP740" s="8"/>
      <c r="AQ740" s="47"/>
      <c r="AR740" s="47"/>
      <c r="AS740" s="8"/>
      <c r="AT740" s="8"/>
      <c r="AU740" s="47"/>
      <c r="AV740" s="47"/>
      <c r="AW740" s="8"/>
      <c r="AX740" s="8"/>
      <c r="AY740" s="48" t="s">
        <v>116</v>
      </c>
      <c r="AZ740" s="47">
        <f>(1000)</f>
        <v>1000</v>
      </c>
      <c r="BA740" s="8"/>
      <c r="BB740" s="8"/>
      <c r="BC740" s="47"/>
      <c r="BD740" s="47"/>
      <c r="BE740" s="8"/>
      <c r="BF740" s="8"/>
      <c r="BG740" s="47"/>
      <c r="BH740" s="47"/>
      <c r="BI740" s="8"/>
      <c r="BJ740" s="3"/>
      <c r="BK740" s="47"/>
      <c r="BL740" s="47"/>
      <c r="BM740" s="46"/>
      <c r="BN740" s="46"/>
      <c r="BO740" s="24">
        <f>AL740+AN740+AP740+AR740+AT740+AV740+AX740+AZ740+BB740+BD740+BF740+BH740+BJ740+BL740</f>
        <v>2000</v>
      </c>
      <c r="BP740" s="28">
        <f>AJ740-BO740</f>
        <v>-166439.085</v>
      </c>
      <c r="BQ740" s="2">
        <v>45411</v>
      </c>
    </row>
    <row r="741" spans="1:73" hidden="true" s="13" customFormat="1">
      <c r="D741" s="13" t="s">
        <v>14</v>
      </c>
      <c r="E741" s="10">
        <v>45412</v>
      </c>
      <c r="F741" s="10"/>
      <c r="G741" s="54"/>
      <c r="H741" s="11">
        <f>F64*50%</f>
        <v>2354.75</v>
      </c>
      <c r="I741" s="121">
        <v>4635</v>
      </c>
      <c r="J741" s="11">
        <f>(G741+H741)-I741</f>
        <v>-2280.25</v>
      </c>
      <c r="K741" s="11">
        <f>J741+O740</f>
        <v>-48009.135</v>
      </c>
      <c r="L741" s="11" t="s">
        <v>148</v>
      </c>
      <c r="M741" s="11">
        <f>(78)</f>
        <v>78</v>
      </c>
      <c r="N741" s="26">
        <f>I741+M741</f>
        <v>4713</v>
      </c>
      <c r="O741" s="11">
        <f>K741-M741</f>
        <v>-48087.135</v>
      </c>
      <c r="P741" s="13" t="s">
        <v>14</v>
      </c>
      <c r="Q741" s="10">
        <v>45412</v>
      </c>
      <c r="R741" s="10"/>
      <c r="S741" s="53"/>
      <c r="T741" s="11">
        <f>R64*45%</f>
        <v>5022</v>
      </c>
      <c r="U741" s="12">
        <v>875</v>
      </c>
      <c r="V741" s="11">
        <f>(S741+T741)-U741</f>
        <v>4147</v>
      </c>
      <c r="W741" s="11">
        <f>V741+AA740</f>
        <v>-24716.74</v>
      </c>
      <c r="X741" s="11"/>
      <c r="Y741" s="11"/>
      <c r="Z741" s="26">
        <f>U741+Y741</f>
        <v>875</v>
      </c>
      <c r="AA741" s="53">
        <f>W741-Y741</f>
        <v>-24716.74</v>
      </c>
      <c r="AB741" s="13" t="s">
        <v>14</v>
      </c>
      <c r="AC741" s="20">
        <v>45412</v>
      </c>
      <c r="AD741" s="14"/>
      <c r="AE741" s="27"/>
      <c r="AF741" s="11">
        <f>AD64-H741-T741</f>
        <v>8492.75</v>
      </c>
      <c r="AG741" s="11"/>
      <c r="AH741" s="15">
        <v>780</v>
      </c>
      <c r="AI741" s="11">
        <f>(AE741+AF741)-AH741</f>
        <v>7712.75</v>
      </c>
      <c r="AJ741" s="11">
        <f>AI741+BP740</f>
        <v>-158726.335</v>
      </c>
      <c r="AK741" s="15" t="s">
        <v>149</v>
      </c>
      <c r="AL741" s="15">
        <f>(1000+2472)</f>
        <v>3472</v>
      </c>
      <c r="AM741" s="15" t="s">
        <v>150</v>
      </c>
      <c r="AN741" s="15">
        <v>1707</v>
      </c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 t="s">
        <v>151</v>
      </c>
      <c r="BB741" s="15">
        <v>1000</v>
      </c>
      <c r="BC741" s="15"/>
      <c r="BD741" s="15"/>
      <c r="BE741" s="15"/>
      <c r="BF741" s="15"/>
      <c r="BG741" s="15"/>
      <c r="BH741" s="15"/>
      <c r="BI741" s="15"/>
      <c r="BJ741" s="11"/>
      <c r="BK741" s="15"/>
      <c r="BL741" s="15"/>
      <c r="BM741" s="23"/>
      <c r="BN741" s="23"/>
      <c r="BO741" s="23">
        <f>AL741+AN741+AP741+AR741+AT741+AV741+AX741+AZ741+BB741+BD741+BF741+BH741+BJ741+BL741</f>
        <v>6179</v>
      </c>
      <c r="BP741" s="11">
        <f>AJ741-BO741</f>
        <v>-164905.335</v>
      </c>
      <c r="BQ741" s="10">
        <v>45412</v>
      </c>
    </row>
    <row r="742" spans="1:73" hidden="true">
      <c r="D742" s="9" t="s">
        <v>15</v>
      </c>
      <c r="E742" s="2">
        <v>45413</v>
      </c>
      <c r="F742" s="38"/>
      <c r="G742" s="51"/>
      <c r="H742" s="4">
        <f>F65*50%</f>
        <v>1787.3</v>
      </c>
      <c r="I742" s="120">
        <v>0</v>
      </c>
      <c r="J742" s="4">
        <f>(G742+H742)-I742</f>
        <v>1787.3</v>
      </c>
      <c r="K742" s="4">
        <f>J742+O741</f>
        <v>-46299.835</v>
      </c>
      <c r="L742" s="3"/>
      <c r="M742" s="3"/>
      <c r="N742" s="25">
        <f>I742+M742</f>
        <v>0</v>
      </c>
      <c r="O742" s="28">
        <f>K742-M742</f>
        <v>-46299.835</v>
      </c>
      <c r="P742" s="9" t="s">
        <v>15</v>
      </c>
      <c r="Q742" s="2">
        <v>45413</v>
      </c>
      <c r="R742" s="38"/>
      <c r="S742" s="52"/>
      <c r="T742" s="4">
        <f>R65*45%</f>
        <v>6030.45</v>
      </c>
      <c r="U742" s="5">
        <v>866</v>
      </c>
      <c r="V742" s="4">
        <f>(S742+T742)-U742</f>
        <v>5164.45</v>
      </c>
      <c r="W742" s="4">
        <f>V742+AA741</f>
        <v>-19552.29</v>
      </c>
      <c r="X742" s="3"/>
      <c r="Y742" s="3"/>
      <c r="Z742" s="25">
        <f>U742+Y742</f>
        <v>866</v>
      </c>
      <c r="AA742" s="76">
        <f>W742-Y742</f>
        <v>-19552.29</v>
      </c>
      <c r="AB742" s="9" t="s">
        <v>15</v>
      </c>
      <c r="AC742" s="19">
        <v>45413</v>
      </c>
      <c r="AD742" s="41"/>
      <c r="AE742" s="42"/>
      <c r="AF742" s="4">
        <f>AD65-H742-T742</f>
        <v>9157.85</v>
      </c>
      <c r="AG742" s="3"/>
      <c r="AH742" s="8">
        <v>958</v>
      </c>
      <c r="AI742" s="4">
        <f>(AE742+AF742)-AH742</f>
        <v>8199.85</v>
      </c>
      <c r="AJ742" s="4">
        <f>AI742+BP741</f>
        <v>-156705.485</v>
      </c>
      <c r="AK742" s="8" t="s">
        <v>98</v>
      </c>
      <c r="AL742" s="8">
        <f>(1000)</f>
        <v>1000</v>
      </c>
      <c r="AM742" s="47"/>
      <c r="AN742" s="47"/>
      <c r="AO742" s="8"/>
      <c r="AP742" s="8"/>
      <c r="AQ742" s="47"/>
      <c r="AR742" s="47"/>
      <c r="AS742" s="8"/>
      <c r="AT742" s="8"/>
      <c r="AU742" s="47"/>
      <c r="AV742" s="47"/>
      <c r="AW742" s="8"/>
      <c r="AX742" s="8"/>
      <c r="AY742" s="47"/>
      <c r="AZ742" s="47"/>
      <c r="BA742" s="8"/>
      <c r="BB742" s="8"/>
      <c r="BC742" s="47"/>
      <c r="BD742" s="47"/>
      <c r="BE742" s="8"/>
      <c r="BF742" s="8"/>
      <c r="BG742" s="47"/>
      <c r="BH742" s="47"/>
      <c r="BI742" s="3"/>
      <c r="BJ742" s="3"/>
      <c r="BK742" s="47" t="s">
        <v>152</v>
      </c>
      <c r="BL742" s="47">
        <f>(13600)</f>
        <v>13600</v>
      </c>
      <c r="BM742" s="46"/>
      <c r="BN742" s="46"/>
      <c r="BO742" s="24">
        <f>AL742+AN742+AP742+AR742+AT742+AV742+AX742+AZ742+BB742+BD742+BF742+BH742+BJ742+BL742</f>
        <v>14600</v>
      </c>
      <c r="BP742" s="28">
        <f>AJ742-BO742</f>
        <v>-171305.485</v>
      </c>
      <c r="BQ742" s="2">
        <v>45413</v>
      </c>
    </row>
    <row r="743" spans="1:73" hidden="true">
      <c r="D743" s="9" t="s">
        <v>16</v>
      </c>
      <c r="E743" s="2">
        <v>45414</v>
      </c>
      <c r="F743" s="38"/>
      <c r="G743" s="51"/>
      <c r="H743" s="4">
        <f>F66*50%</f>
        <v>1059</v>
      </c>
      <c r="I743" s="120">
        <v>1004.5</v>
      </c>
      <c r="J743" s="4">
        <f>(G743+H743)-I743</f>
        <v>54.5</v>
      </c>
      <c r="K743" s="4">
        <f>J743+O742</f>
        <v>-46245.335</v>
      </c>
      <c r="L743" s="3" t="s">
        <v>153</v>
      </c>
      <c r="M743" s="3">
        <v>3600</v>
      </c>
      <c r="N743" s="25">
        <f>I743+M743</f>
        <v>4604.5</v>
      </c>
      <c r="O743" s="28">
        <f>K743-M743</f>
        <v>-49845.335</v>
      </c>
      <c r="P743" s="9" t="s">
        <v>16</v>
      </c>
      <c r="Q743" s="2">
        <v>45414</v>
      </c>
      <c r="R743" s="38"/>
      <c r="S743" s="52"/>
      <c r="T743" s="4">
        <f>R66*45%</f>
        <v>4216.95</v>
      </c>
      <c r="U743" s="5"/>
      <c r="V743" s="4">
        <f>(S743+T743)-U743</f>
        <v>4216.95</v>
      </c>
      <c r="W743" s="4">
        <f>V743+AA742</f>
        <v>-15335.34</v>
      </c>
      <c r="X743" s="3" t="s">
        <v>154</v>
      </c>
      <c r="Y743" s="3">
        <f>(35019)</f>
        <v>35019</v>
      </c>
      <c r="Z743" s="25">
        <f>U743+Y743</f>
        <v>35019</v>
      </c>
      <c r="AA743" s="76">
        <f>W743-Y743</f>
        <v>-50354.34</v>
      </c>
      <c r="AB743" s="9" t="s">
        <v>16</v>
      </c>
      <c r="AC743" s="19">
        <v>45414</v>
      </c>
      <c r="AD743" s="41"/>
      <c r="AE743" s="42"/>
      <c r="AF743" s="4">
        <f>AD66-H743-T743</f>
        <v>6213.05</v>
      </c>
      <c r="AG743" s="3"/>
      <c r="AH743" s="8">
        <v>739</v>
      </c>
      <c r="AI743" s="4">
        <f>(AE743+AF743)-AH743</f>
        <v>5474.05</v>
      </c>
      <c r="AJ743" s="4">
        <f>AI743+BP742</f>
        <v>-165831.435</v>
      </c>
      <c r="AK743" s="8" t="s">
        <v>98</v>
      </c>
      <c r="AL743" s="8">
        <f>(1000)</f>
        <v>1000</v>
      </c>
      <c r="AM743" s="47" t="s">
        <v>155</v>
      </c>
      <c r="AN743" s="47">
        <f>(8000+2000)</f>
        <v>10000</v>
      </c>
      <c r="AO743" s="8"/>
      <c r="AP743" s="8"/>
      <c r="AQ743" s="47"/>
      <c r="AR743" s="47"/>
      <c r="AS743" s="8"/>
      <c r="AT743" s="8"/>
      <c r="AU743" s="47"/>
      <c r="AV743" s="47"/>
      <c r="AW743" s="8"/>
      <c r="AX743" s="8"/>
      <c r="AY743" s="47"/>
      <c r="AZ743" s="47"/>
      <c r="BA743" s="8" t="s">
        <v>156</v>
      </c>
      <c r="BB743" s="8">
        <f>(1717+220)</f>
        <v>1937</v>
      </c>
      <c r="BC743" s="47"/>
      <c r="BD743" s="47"/>
      <c r="BE743" s="8"/>
      <c r="BF743" s="8"/>
      <c r="BG743" s="47"/>
      <c r="BH743" s="47"/>
      <c r="BI743" s="8"/>
      <c r="BJ743" s="3"/>
      <c r="BK743" s="47"/>
      <c r="BL743" s="47"/>
      <c r="BM743" s="46"/>
      <c r="BN743" s="46"/>
      <c r="BO743" s="24">
        <f>AL743+AN743+AP743+AR743+AT743+AV743+AX743+AZ743+BB743+BD743+BF743+BH743+BJ743+BL743</f>
        <v>12937</v>
      </c>
      <c r="BP743" s="28">
        <f>AJ743-BO743</f>
        <v>-178768.435</v>
      </c>
      <c r="BQ743" s="2">
        <v>45414</v>
      </c>
    </row>
    <row r="744" spans="1:73" hidden="true">
      <c r="D744" s="9" t="s">
        <v>10</v>
      </c>
      <c r="E744" s="2">
        <v>45415</v>
      </c>
      <c r="F744" s="38"/>
      <c r="G744" s="51"/>
      <c r="H744" s="4">
        <f>F67*50%</f>
        <v>1763.325</v>
      </c>
      <c r="I744" s="120">
        <v>1350</v>
      </c>
      <c r="J744" s="4">
        <f>(G744+H744)-I744</f>
        <v>413.325</v>
      </c>
      <c r="K744" s="4">
        <f>J744+O743</f>
        <v>-49432.01</v>
      </c>
      <c r="L744" s="3"/>
      <c r="M744" s="3"/>
      <c r="N744" s="25">
        <f>I744+M744</f>
        <v>1350</v>
      </c>
      <c r="O744" s="28">
        <f>K744-M744</f>
        <v>-49432.01</v>
      </c>
      <c r="P744" s="9" t="s">
        <v>10</v>
      </c>
      <c r="Q744" s="2">
        <v>45415</v>
      </c>
      <c r="R744" s="38"/>
      <c r="S744" s="52"/>
      <c r="T744" s="4">
        <f>R67*45%</f>
        <v>3705.3</v>
      </c>
      <c r="U744" s="5"/>
      <c r="V744" s="4">
        <f>(S744+T744)-U744</f>
        <v>3705.3</v>
      </c>
      <c r="W744" s="4">
        <f>V744+AA743</f>
        <v>-46649.04</v>
      </c>
      <c r="X744" s="3"/>
      <c r="Y744" s="3"/>
      <c r="Z744" s="25">
        <f>U744+Y744</f>
        <v>0</v>
      </c>
      <c r="AA744" s="76">
        <f>W744-Y744</f>
        <v>-46649.04</v>
      </c>
      <c r="AB744" s="9" t="s">
        <v>10</v>
      </c>
      <c r="AC744" s="19">
        <v>45415</v>
      </c>
      <c r="AD744" s="41"/>
      <c r="AE744" s="42"/>
      <c r="AF744" s="4">
        <f>AD67-H744-T744</f>
        <v>6292.025</v>
      </c>
      <c r="AG744" s="3"/>
      <c r="AH744" s="8">
        <v>600</v>
      </c>
      <c r="AI744" s="4">
        <f>(AE744+AF744)-AH744</f>
        <v>5692.025</v>
      </c>
      <c r="AJ744" s="4">
        <f>AI744+BP743</f>
        <v>-173076.41</v>
      </c>
      <c r="AK744" s="8" t="s">
        <v>157</v>
      </c>
      <c r="AL744" s="8">
        <f>(1000+30427.57)</f>
        <v>31427.57</v>
      </c>
      <c r="AM744" s="47"/>
      <c r="AN744" s="47"/>
      <c r="AO744" s="8"/>
      <c r="AP744" s="8"/>
      <c r="AQ744" s="47"/>
      <c r="AR744" s="47"/>
      <c r="AS744" s="8"/>
      <c r="AT744" s="8"/>
      <c r="AU744" s="47"/>
      <c r="AV744" s="47"/>
      <c r="AW744" s="8"/>
      <c r="AX744" s="8"/>
      <c r="AY744" s="47"/>
      <c r="AZ744" s="47"/>
      <c r="BA744" s="8" t="s">
        <v>158</v>
      </c>
      <c r="BB744" s="8">
        <f>(1000+107)</f>
        <v>1107</v>
      </c>
      <c r="BC744" s="47"/>
      <c r="BD744" s="47"/>
      <c r="BE744" s="8"/>
      <c r="BF744" s="8"/>
      <c r="BG744" s="47"/>
      <c r="BH744" s="47"/>
      <c r="BI744" s="8"/>
      <c r="BJ744" s="3"/>
      <c r="BK744" s="48" t="s">
        <v>129</v>
      </c>
      <c r="BL744" s="47">
        <f>(500+1000+500)</f>
        <v>2000</v>
      </c>
      <c r="BM744" s="46"/>
      <c r="BN744" s="46"/>
      <c r="BO744" s="24">
        <f>AL744+AN744+AP744+AR744+AT744+AV744+AX744+AZ744+BB744+BD744+BF744+BH744+BJ744+BL744</f>
        <v>34534.57</v>
      </c>
      <c r="BP744" s="28">
        <f>AJ744-BO744</f>
        <v>-207610.98</v>
      </c>
      <c r="BQ744" s="2">
        <v>45415</v>
      </c>
    </row>
    <row r="745" spans="1:73" hidden="true">
      <c r="D745" s="9" t="s">
        <v>11</v>
      </c>
      <c r="E745" s="2">
        <v>45416</v>
      </c>
      <c r="F745" s="38"/>
      <c r="G745" s="51"/>
      <c r="H745" s="4">
        <f>F68*50%</f>
        <v>1508.3</v>
      </c>
      <c r="I745" s="120">
        <v>2983.9</v>
      </c>
      <c r="J745" s="4">
        <f>(G745+H745)-I745</f>
        <v>-1475.6</v>
      </c>
      <c r="K745" s="4">
        <f>J745+O744</f>
        <v>-50907.61</v>
      </c>
      <c r="L745" s="3"/>
      <c r="M745" s="3"/>
      <c r="N745" s="25">
        <f>I745+M745</f>
        <v>2983.9</v>
      </c>
      <c r="O745" s="28">
        <f>K745-M745</f>
        <v>-50907.61</v>
      </c>
      <c r="P745" s="9" t="s">
        <v>11</v>
      </c>
      <c r="Q745" s="2">
        <v>45416</v>
      </c>
      <c r="R745" s="38"/>
      <c r="S745" s="52"/>
      <c r="T745" s="4">
        <f>R68*45%</f>
        <v>2542.5</v>
      </c>
      <c r="U745" s="5">
        <v>1540</v>
      </c>
      <c r="V745" s="4">
        <f>(S745+T745)-U745</f>
        <v>1002.5</v>
      </c>
      <c r="W745" s="4">
        <f>V745+AA744</f>
        <v>-45646.54</v>
      </c>
      <c r="X745" s="3"/>
      <c r="Y745" s="3"/>
      <c r="Z745" s="25">
        <f>U745+Y745</f>
        <v>1540</v>
      </c>
      <c r="AA745" s="76">
        <f>W745-Y745</f>
        <v>-45646.54</v>
      </c>
      <c r="AB745" s="9" t="s">
        <v>11</v>
      </c>
      <c r="AC745" s="19">
        <v>45416</v>
      </c>
      <c r="AD745" s="41"/>
      <c r="AE745" s="42"/>
      <c r="AF745" s="4">
        <f>AD68-H745-T745</f>
        <v>4615.8</v>
      </c>
      <c r="AG745" s="3"/>
      <c r="AH745" s="8">
        <v>919.35</v>
      </c>
      <c r="AI745" s="4">
        <f>(AE745+AF745)-AH745</f>
        <v>3696.45</v>
      </c>
      <c r="AJ745" s="4">
        <f>AI745+BP744</f>
        <v>-203914.53</v>
      </c>
      <c r="AK745" s="8" t="s">
        <v>159</v>
      </c>
      <c r="AL745" s="8">
        <f>(28878.39+1000)</f>
        <v>29878.39</v>
      </c>
      <c r="AM745" s="47"/>
      <c r="AN745" s="47"/>
      <c r="AO745" s="8"/>
      <c r="AP745" s="8"/>
      <c r="AQ745" s="47"/>
      <c r="AR745" s="47"/>
      <c r="AS745" s="8"/>
      <c r="AT745" s="8"/>
      <c r="AU745" s="47"/>
      <c r="AV745" s="47"/>
      <c r="AW745" s="8"/>
      <c r="AX745" s="8"/>
      <c r="AY745" s="47"/>
      <c r="AZ745" s="47"/>
      <c r="BA745" s="8"/>
      <c r="BB745" s="8"/>
      <c r="BC745" s="47"/>
      <c r="BD745" s="47"/>
      <c r="BE745" s="8"/>
      <c r="BF745" s="8"/>
      <c r="BG745" s="47"/>
      <c r="BH745" s="47"/>
      <c r="BI745" s="8"/>
      <c r="BJ745" s="3"/>
      <c r="BK745" s="47" t="s">
        <v>97</v>
      </c>
      <c r="BL745" s="47">
        <f>(2000)</f>
        <v>2000</v>
      </c>
      <c r="BM745" s="46"/>
      <c r="BN745" s="46"/>
      <c r="BO745" s="24">
        <f>AL745+AN745+AP745+AR745+AT745+AV745+AX745+AZ745+BB745+BD745+BF745+BH745+BJ745+BL745</f>
        <v>31878.39</v>
      </c>
      <c r="BP745" s="28">
        <f>AJ745-BO745</f>
        <v>-235792.92</v>
      </c>
      <c r="BQ745" s="2">
        <v>45416</v>
      </c>
    </row>
    <row r="746" spans="1:73" hidden="true">
      <c r="D746" s="9" t="s">
        <v>12</v>
      </c>
      <c r="E746" s="2">
        <v>45417</v>
      </c>
      <c r="F746" s="38"/>
      <c r="G746" s="51"/>
      <c r="H746" s="4">
        <f>F69*50%</f>
        <v>1496.225</v>
      </c>
      <c r="I746" s="120">
        <v>0</v>
      </c>
      <c r="J746" s="4">
        <f>(G746+H746)-I746</f>
        <v>1496.225</v>
      </c>
      <c r="K746" s="4">
        <f>J746+O745</f>
        <v>-49411.385</v>
      </c>
      <c r="L746" s="3"/>
      <c r="M746" s="3"/>
      <c r="N746" s="25">
        <f>I746+M746</f>
        <v>0</v>
      </c>
      <c r="O746" s="28">
        <f>K746-M746</f>
        <v>-49411.385</v>
      </c>
      <c r="P746" s="9" t="s">
        <v>12</v>
      </c>
      <c r="Q746" s="2">
        <v>45417</v>
      </c>
      <c r="R746" s="38"/>
      <c r="S746" s="52"/>
      <c r="T746" s="4">
        <f>R69*45%</f>
        <v>3219.3</v>
      </c>
      <c r="U746" s="5"/>
      <c r="V746" s="4">
        <f>(S746+T746)-U746</f>
        <v>3219.3</v>
      </c>
      <c r="W746" s="4">
        <f>V746+AA745</f>
        <v>-42427.24</v>
      </c>
      <c r="X746" s="3"/>
      <c r="Y746" s="3"/>
      <c r="Z746" s="25">
        <f>U746+Y746</f>
        <v>0</v>
      </c>
      <c r="AA746" s="76">
        <f>W746-Y746</f>
        <v>-42427.24</v>
      </c>
      <c r="AB746" s="9" t="s">
        <v>12</v>
      </c>
      <c r="AC746" s="19">
        <v>45417</v>
      </c>
      <c r="AD746" s="41"/>
      <c r="AE746" s="42"/>
      <c r="AF746" s="4">
        <f>AD69-H746-T746</f>
        <v>5430.925</v>
      </c>
      <c r="AG746" s="3"/>
      <c r="AH746" s="8">
        <v>516.4</v>
      </c>
      <c r="AI746" s="4">
        <f>(AE746+AF746)-AH746</f>
        <v>4914.525</v>
      </c>
      <c r="AJ746" s="4">
        <f>AI746+BP745</f>
        <v>-230878.395</v>
      </c>
      <c r="AK746" s="3" t="s">
        <v>98</v>
      </c>
      <c r="AL746" s="8">
        <f>(1000)</f>
        <v>1000</v>
      </c>
      <c r="AM746" s="47"/>
      <c r="AN746" s="47"/>
      <c r="AO746" s="8"/>
      <c r="AP746" s="8"/>
      <c r="AQ746" s="47"/>
      <c r="AR746" s="47"/>
      <c r="AS746" s="8"/>
      <c r="AT746" s="8"/>
      <c r="AU746" s="47"/>
      <c r="AV746" s="47"/>
      <c r="AW746" s="8"/>
      <c r="AX746" s="8"/>
      <c r="AY746" s="47"/>
      <c r="AZ746" s="47"/>
      <c r="BA746" s="8"/>
      <c r="BB746" s="8"/>
      <c r="BC746" s="47"/>
      <c r="BD746" s="47"/>
      <c r="BE746" s="8"/>
      <c r="BF746" s="8"/>
      <c r="BG746" s="47"/>
      <c r="BH746" s="47"/>
      <c r="BI746" s="8"/>
      <c r="BJ746" s="3"/>
      <c r="BK746" s="47"/>
      <c r="BL746" s="47"/>
      <c r="BM746" s="46"/>
      <c r="BN746" s="46"/>
      <c r="BO746" s="24">
        <f>AL746+AN746+AP746+AR746+AT746+AV746+AX746+AZ746+BB746+BD746+BF746+BH746+BJ746+BL746</f>
        <v>1000</v>
      </c>
      <c r="BP746" s="28">
        <f>AJ746-BO746</f>
        <v>-231878.395</v>
      </c>
      <c r="BQ746" s="2">
        <v>45417</v>
      </c>
    </row>
    <row r="747" spans="1:73" hidden="true">
      <c r="D747" s="9" t="s">
        <v>13</v>
      </c>
      <c r="E747" s="2">
        <v>45418</v>
      </c>
      <c r="F747" s="38"/>
      <c r="G747" s="51"/>
      <c r="H747" s="4">
        <f>F70*50%</f>
        <v>2122.75</v>
      </c>
      <c r="I747" s="120">
        <v>1811</v>
      </c>
      <c r="J747" s="4">
        <f>(G747+H747)-I747</f>
        <v>311.75</v>
      </c>
      <c r="K747" s="4">
        <f>J747+O746</f>
        <v>-49099.635</v>
      </c>
      <c r="L747" s="3"/>
      <c r="M747" s="3"/>
      <c r="N747" s="25">
        <f>I747+M747</f>
        <v>1811</v>
      </c>
      <c r="O747" s="28">
        <f>K747-M747</f>
        <v>-49099.635</v>
      </c>
      <c r="P747" s="9" t="s">
        <v>13</v>
      </c>
      <c r="Q747" s="2">
        <v>45418</v>
      </c>
      <c r="R747" s="38"/>
      <c r="S747" s="52"/>
      <c r="T747" s="4">
        <f>R70*45%</f>
        <v>2520</v>
      </c>
      <c r="U747" s="5"/>
      <c r="V747" s="4">
        <f>(S747+T747)-U747</f>
        <v>2520</v>
      </c>
      <c r="W747" s="4">
        <f>V747+AA746</f>
        <v>-39907.24</v>
      </c>
      <c r="X747" s="3"/>
      <c r="Y747" s="3"/>
      <c r="Z747" s="25">
        <f>U747+Y747</f>
        <v>0</v>
      </c>
      <c r="AA747" s="76">
        <f>W747-Y747</f>
        <v>-39907.24</v>
      </c>
      <c r="AB747" s="9" t="s">
        <v>13</v>
      </c>
      <c r="AC747" s="19">
        <v>45418</v>
      </c>
      <c r="AD747" s="41"/>
      <c r="AE747" s="42"/>
      <c r="AF747" s="4">
        <f>AD70-H747-T747</f>
        <v>5202.75</v>
      </c>
      <c r="AG747" s="3"/>
      <c r="AH747" s="8">
        <v>492.7</v>
      </c>
      <c r="AI747" s="4">
        <f>(AE747+AF747)-AH747</f>
        <v>4710.05</v>
      </c>
      <c r="AJ747" s="4">
        <f>AI747+BP746</f>
        <v>-227168.345</v>
      </c>
      <c r="AK747" s="8" t="s">
        <v>98</v>
      </c>
      <c r="AL747" s="8">
        <f>(1000)</f>
        <v>1000</v>
      </c>
      <c r="AM747" s="47"/>
      <c r="AN747" s="47"/>
      <c r="AO747" s="8"/>
      <c r="AP747" s="8"/>
      <c r="AQ747" s="47"/>
      <c r="AR747" s="47"/>
      <c r="AS747" s="8"/>
      <c r="AT747" s="8"/>
      <c r="AU747" s="47"/>
      <c r="AV747" s="47"/>
      <c r="AW747" s="8"/>
      <c r="AX747" s="8"/>
      <c r="AY747" s="47" t="s">
        <v>160</v>
      </c>
      <c r="AZ747" s="47">
        <f>(200+4000)</f>
        <v>4200</v>
      </c>
      <c r="BA747" s="8" t="s">
        <v>161</v>
      </c>
      <c r="BB747" s="8">
        <f>(107)</f>
        <v>107</v>
      </c>
      <c r="BC747" s="47"/>
      <c r="BD747" s="47"/>
      <c r="BE747" s="8"/>
      <c r="BF747" s="8"/>
      <c r="BG747" s="47"/>
      <c r="BH747" s="47"/>
      <c r="BI747" s="3"/>
      <c r="BJ747" s="3"/>
      <c r="BK747" s="47"/>
      <c r="BL747" s="47"/>
      <c r="BM747" s="46"/>
      <c r="BN747" s="46"/>
      <c r="BO747" s="24">
        <f>AL747+AN747+AP747+AR747+AT747+AV747+AX747+AZ747+BB747+BD747+BF747+BH747+BJ747+BL747</f>
        <v>5307</v>
      </c>
      <c r="BP747" s="28">
        <f>AJ747-BO747</f>
        <v>-232475.345</v>
      </c>
      <c r="BQ747" s="2">
        <v>45418</v>
      </c>
    </row>
    <row r="748" spans="1:73" hidden="true">
      <c r="D748" s="9" t="s">
        <v>14</v>
      </c>
      <c r="E748" s="2">
        <v>45419</v>
      </c>
      <c r="F748" s="38"/>
      <c r="G748" s="51"/>
      <c r="H748" s="4">
        <f>F71*50%</f>
        <v>1616.075</v>
      </c>
      <c r="I748" s="120">
        <v>1091.5</v>
      </c>
      <c r="J748" s="4">
        <f>(G748+H748)-I748</f>
        <v>524.575</v>
      </c>
      <c r="K748" s="4">
        <f>J748+O747</f>
        <v>-48575.06</v>
      </c>
      <c r="L748" s="3"/>
      <c r="M748" s="3"/>
      <c r="N748" s="25">
        <f>I748+M748</f>
        <v>1091.5</v>
      </c>
      <c r="O748" s="28">
        <f>K748-M748</f>
        <v>-48575.06</v>
      </c>
      <c r="P748" s="9" t="s">
        <v>14</v>
      </c>
      <c r="Q748" s="2">
        <v>45419</v>
      </c>
      <c r="R748" s="38"/>
      <c r="S748" s="52"/>
      <c r="T748" s="4">
        <f>R71*45%</f>
        <v>2876.4</v>
      </c>
      <c r="U748" s="5"/>
      <c r="V748" s="4">
        <f>(S748+T748)-U748</f>
        <v>2876.4</v>
      </c>
      <c r="W748" s="4">
        <f>V748+AA747</f>
        <v>-37030.84</v>
      </c>
      <c r="X748" s="3"/>
      <c r="Y748" s="3"/>
      <c r="Z748" s="25">
        <f>U748+Y748</f>
        <v>0</v>
      </c>
      <c r="AA748" s="76">
        <f>W748-Y748</f>
        <v>-37030.84</v>
      </c>
      <c r="AB748" s="9" t="s">
        <v>14</v>
      </c>
      <c r="AC748" s="19">
        <v>45419</v>
      </c>
      <c r="AD748" s="41"/>
      <c r="AE748" s="42"/>
      <c r="AF748" s="4">
        <f>AD71-H748-T748</f>
        <v>5131.675</v>
      </c>
      <c r="AG748" s="3"/>
      <c r="AH748" s="8">
        <v>785.65</v>
      </c>
      <c r="AI748" s="4">
        <f>(AE748+AF748)-AH748</f>
        <v>4346.025</v>
      </c>
      <c r="AJ748" s="4">
        <f>AI748+BP747</f>
        <v>-228129.32</v>
      </c>
      <c r="AK748" s="8" t="s">
        <v>162</v>
      </c>
      <c r="AL748" s="8">
        <f>(1000+2500)</f>
        <v>3500</v>
      </c>
      <c r="AM748" s="47"/>
      <c r="AN748" s="47"/>
      <c r="AO748" s="8"/>
      <c r="AP748" s="8"/>
      <c r="AQ748" s="47"/>
      <c r="AR748" s="47"/>
      <c r="AS748" s="8"/>
      <c r="AT748" s="8"/>
      <c r="AU748" s="47"/>
      <c r="AV748" s="47"/>
      <c r="AW748" s="8"/>
      <c r="AX748" s="8"/>
      <c r="AY748" s="47" t="s">
        <v>163</v>
      </c>
      <c r="AZ748" s="47">
        <f>(1200)</f>
        <v>1200</v>
      </c>
      <c r="BA748" s="8"/>
      <c r="BB748" s="8"/>
      <c r="BC748" s="47"/>
      <c r="BD748" s="47"/>
      <c r="BE748" s="8"/>
      <c r="BF748" s="8"/>
      <c r="BG748" s="47"/>
      <c r="BH748" s="47"/>
      <c r="BI748" s="3"/>
      <c r="BJ748" s="3"/>
      <c r="BK748" s="47"/>
      <c r="BL748" s="47"/>
      <c r="BM748" s="46"/>
      <c r="BN748" s="46"/>
      <c r="BO748" s="24">
        <f>AL748+AN748+AP748+AR748+AT748+AV748+AX748+AZ748+BB748+BD748+BF748+BH748+BJ748+BL748</f>
        <v>4700</v>
      </c>
      <c r="BP748" s="28">
        <f>AJ748-BO748</f>
        <v>-232829.32</v>
      </c>
      <c r="BQ748" s="2">
        <v>45419</v>
      </c>
    </row>
    <row r="749" spans="1:73" hidden="true">
      <c r="D749" s="9" t="s">
        <v>15</v>
      </c>
      <c r="E749" s="2">
        <v>45420</v>
      </c>
      <c r="F749" s="38"/>
      <c r="G749" s="51"/>
      <c r="H749" s="4">
        <f>F72*50%</f>
        <v>2068.55</v>
      </c>
      <c r="I749" s="120">
        <v>0</v>
      </c>
      <c r="J749" s="4">
        <f>(G749+H749)-I749</f>
        <v>2068.55</v>
      </c>
      <c r="K749" s="4">
        <f>J749+O748</f>
        <v>-46506.51</v>
      </c>
      <c r="L749" s="3"/>
      <c r="M749" s="3"/>
      <c r="N749" s="25">
        <f>I749+M749</f>
        <v>0</v>
      </c>
      <c r="O749" s="28">
        <f>K749-M749</f>
        <v>-46506.51</v>
      </c>
      <c r="P749" s="9" t="s">
        <v>15</v>
      </c>
      <c r="Q749" s="2">
        <v>45420</v>
      </c>
      <c r="R749" s="38"/>
      <c r="S749" s="52"/>
      <c r="T749" s="4">
        <f>R72*45%</f>
        <v>3394.8</v>
      </c>
      <c r="U749" s="5"/>
      <c r="V749" s="4">
        <f>(S749+T749)-U749</f>
        <v>3394.8</v>
      </c>
      <c r="W749" s="4">
        <f>V749+AA748</f>
        <v>-33636.04</v>
      </c>
      <c r="X749" s="3"/>
      <c r="Y749" s="3"/>
      <c r="Z749" s="25">
        <f>U749+Y749</f>
        <v>0</v>
      </c>
      <c r="AA749" s="76">
        <f>W749-Y749</f>
        <v>-33636.04</v>
      </c>
      <c r="AB749" s="9" t="s">
        <v>15</v>
      </c>
      <c r="AC749" s="19">
        <v>45420</v>
      </c>
      <c r="AD749" s="41"/>
      <c r="AE749" s="42"/>
      <c r="AF749" s="4">
        <f>AD72-H749-T749</f>
        <v>6217.75</v>
      </c>
      <c r="AG749" s="3"/>
      <c r="AH749" s="8">
        <v>472</v>
      </c>
      <c r="AI749" s="4">
        <f>(AE749+AF749)-AH749</f>
        <v>5745.75</v>
      </c>
      <c r="AJ749" s="4">
        <f>AI749+BP748</f>
        <v>-227083.57</v>
      </c>
      <c r="AK749" s="8" t="s">
        <v>164</v>
      </c>
      <c r="AL749" s="8">
        <f>(1000+4800+4457.69+217.6)</f>
        <v>10475.29</v>
      </c>
      <c r="AM749" s="47"/>
      <c r="AN749" s="47"/>
      <c r="AO749" s="8"/>
      <c r="AP749" s="8"/>
      <c r="AQ749" s="47"/>
      <c r="AR749" s="47"/>
      <c r="AS749" s="8"/>
      <c r="AT749" s="8"/>
      <c r="AU749" s="47"/>
      <c r="AV749" s="47"/>
      <c r="AW749" s="8"/>
      <c r="AX749" s="8"/>
      <c r="AY749" s="47" t="s">
        <v>165</v>
      </c>
      <c r="AZ749" s="47">
        <f>(250)</f>
        <v>250</v>
      </c>
      <c r="BA749" s="8"/>
      <c r="BB749" s="8"/>
      <c r="BC749" s="47"/>
      <c r="BD749" s="47"/>
      <c r="BE749" s="8"/>
      <c r="BF749" s="8"/>
      <c r="BG749" s="47"/>
      <c r="BH749" s="47"/>
      <c r="BI749" s="3"/>
      <c r="BJ749" s="3"/>
      <c r="BK749" s="47"/>
      <c r="BL749" s="47"/>
      <c r="BM749" s="46"/>
      <c r="BN749" s="46"/>
      <c r="BO749" s="24">
        <f>AL749+AN749+AP749+AR749+AT749+AV749+AX749+AZ749+BB749+BD749+BF749+BH749+BJ749+BL749</f>
        <v>10725.29</v>
      </c>
      <c r="BP749" s="28">
        <f>AJ749-BO749</f>
        <v>-237808.86</v>
      </c>
      <c r="BQ749" s="2">
        <v>45420</v>
      </c>
    </row>
    <row r="750" spans="1:73" hidden="true">
      <c r="D750" s="9" t="s">
        <v>16</v>
      </c>
      <c r="E750" s="2">
        <v>45421</v>
      </c>
      <c r="F750" s="38"/>
      <c r="G750" s="51"/>
      <c r="H750" s="4">
        <f>F73*50%</f>
        <v>1386.95</v>
      </c>
      <c r="I750" s="120">
        <v>1814.2</v>
      </c>
      <c r="J750" s="4">
        <f>(G750+H750)-I750</f>
        <v>-427.25</v>
      </c>
      <c r="K750" s="4">
        <f>J750+O749</f>
        <v>-46933.76</v>
      </c>
      <c r="L750" s="3"/>
      <c r="M750" s="3"/>
      <c r="N750" s="25">
        <f>I750+M750</f>
        <v>1814.2</v>
      </c>
      <c r="O750" s="28">
        <f>K750-M750</f>
        <v>-46933.76</v>
      </c>
      <c r="P750" s="9" t="s">
        <v>16</v>
      </c>
      <c r="Q750" s="2">
        <v>45421</v>
      </c>
      <c r="R750" s="38"/>
      <c r="S750" s="52"/>
      <c r="T750" s="4">
        <f>R73*45%</f>
        <v>2486.7</v>
      </c>
      <c r="U750" s="5"/>
      <c r="V750" s="4">
        <f>(S750+T750)-U750</f>
        <v>2486.7</v>
      </c>
      <c r="W750" s="4">
        <f>V750+AA749</f>
        <v>-31149.34</v>
      </c>
      <c r="X750" s="3"/>
      <c r="Y750" s="3"/>
      <c r="Z750" s="25">
        <f>U750+Y750</f>
        <v>0</v>
      </c>
      <c r="AA750" s="76">
        <f>W750-Y750</f>
        <v>-31149.34</v>
      </c>
      <c r="AB750" s="9" t="s">
        <v>16</v>
      </c>
      <c r="AC750" s="19">
        <v>45421</v>
      </c>
      <c r="AD750" s="41"/>
      <c r="AE750" s="42"/>
      <c r="AF750" s="4">
        <f>AD73-H750-T750</f>
        <v>4426.25</v>
      </c>
      <c r="AG750" s="3"/>
      <c r="AH750" s="8">
        <v>544</v>
      </c>
      <c r="AI750" s="4">
        <f>(AE750+AF750)-AH750</f>
        <v>3882.25</v>
      </c>
      <c r="AJ750" s="4">
        <f>AI750+BP749</f>
        <v>-233926.61</v>
      </c>
      <c r="AK750" s="8" t="s">
        <v>98</v>
      </c>
      <c r="AL750" s="8">
        <f>(1000)</f>
        <v>1000</v>
      </c>
      <c r="AM750" s="47" t="s">
        <v>166</v>
      </c>
      <c r="AN750" s="47">
        <f>(800)</f>
        <v>800</v>
      </c>
      <c r="AO750" s="8"/>
      <c r="AP750" s="8"/>
      <c r="AQ750" s="47"/>
      <c r="AR750" s="47"/>
      <c r="AS750" s="8"/>
      <c r="AT750" s="8"/>
      <c r="AU750" s="47"/>
      <c r="AV750" s="47"/>
      <c r="AW750" s="8"/>
      <c r="AX750" s="8"/>
      <c r="AY750" s="47"/>
      <c r="AZ750" s="47"/>
      <c r="BA750" s="8"/>
      <c r="BB750" s="8"/>
      <c r="BC750" s="47"/>
      <c r="BD750" s="47"/>
      <c r="BE750" s="8"/>
      <c r="BF750" s="8"/>
      <c r="BG750" s="47"/>
      <c r="BH750" s="47"/>
      <c r="BI750" s="8"/>
      <c r="BJ750" s="3"/>
      <c r="BK750" s="47"/>
      <c r="BL750" s="47"/>
      <c r="BM750" s="46"/>
      <c r="BN750" s="46"/>
      <c r="BO750" s="24">
        <f>AL750+AN750+AP750+AR750+AT750+AV750+AX750+AZ750+BB750+BD750+BF750+BH750+BJ750+BL750</f>
        <v>1800</v>
      </c>
      <c r="BP750" s="28">
        <f>AJ750-BO750</f>
        <v>-235726.61</v>
      </c>
      <c r="BQ750" s="2">
        <v>45421</v>
      </c>
    </row>
    <row r="751" spans="1:73" hidden="true">
      <c r="D751" s="9" t="s">
        <v>10</v>
      </c>
      <c r="E751" s="2">
        <v>45422</v>
      </c>
      <c r="F751" s="38"/>
      <c r="G751" s="51"/>
      <c r="H751" s="4">
        <f>F74*50%</f>
        <v>1541.85</v>
      </c>
      <c r="I751" s="120">
        <v>1692</v>
      </c>
      <c r="J751" s="4">
        <f>(G751+H751)-I751</f>
        <v>-150.15</v>
      </c>
      <c r="K751" s="4">
        <f>J751+O750</f>
        <v>-47083.91</v>
      </c>
      <c r="L751" s="3"/>
      <c r="M751" s="3"/>
      <c r="N751" s="25">
        <f>I751+M751</f>
        <v>1692</v>
      </c>
      <c r="O751" s="28">
        <f>K751-M751</f>
        <v>-47083.91</v>
      </c>
      <c r="P751" s="9" t="s">
        <v>10</v>
      </c>
      <c r="Q751" s="2">
        <v>45422</v>
      </c>
      <c r="R751" s="38"/>
      <c r="S751" s="52"/>
      <c r="T751" s="4">
        <f>R74*45%</f>
        <v>2982.555</v>
      </c>
      <c r="U751" s="5">
        <v>1757</v>
      </c>
      <c r="V751" s="4">
        <f>(S751+T751)-U751</f>
        <v>1225.555</v>
      </c>
      <c r="W751" s="4">
        <f>V751+AA750</f>
        <v>-29923.785</v>
      </c>
      <c r="X751" s="3"/>
      <c r="Y751" s="3"/>
      <c r="Z751" s="25">
        <f>U751+Y751</f>
        <v>1757</v>
      </c>
      <c r="AA751" s="76">
        <f>W751-Y751</f>
        <v>-29923.785</v>
      </c>
      <c r="AB751" s="9" t="s">
        <v>10</v>
      </c>
      <c r="AC751" s="19">
        <v>45422</v>
      </c>
      <c r="AD751" s="41"/>
      <c r="AE751" s="42"/>
      <c r="AF751" s="4">
        <f>AD74-H751-T751</f>
        <v>5187.195</v>
      </c>
      <c r="AG751" s="3"/>
      <c r="AH751" s="8">
        <v>506</v>
      </c>
      <c r="AI751" s="4">
        <f>(AE751+AF751)-AH751</f>
        <v>4681.195</v>
      </c>
      <c r="AJ751" s="4">
        <f>AI751+BP750</f>
        <v>-231045.415</v>
      </c>
      <c r="AK751" s="8" t="s">
        <v>98</v>
      </c>
      <c r="AL751" s="8">
        <f>(1000)</f>
        <v>1000</v>
      </c>
      <c r="AM751" s="47"/>
      <c r="AN751" s="47"/>
      <c r="AO751" s="8"/>
      <c r="AP751" s="8"/>
      <c r="AQ751" s="47"/>
      <c r="AR751" s="47"/>
      <c r="AS751" s="8"/>
      <c r="AT751" s="8"/>
      <c r="AU751" s="47"/>
      <c r="AV751" s="47"/>
      <c r="AW751" s="8"/>
      <c r="AX751" s="8"/>
      <c r="AY751" s="47"/>
      <c r="AZ751" s="47"/>
      <c r="BA751" s="8" t="s">
        <v>167</v>
      </c>
      <c r="BB751" s="8">
        <f>(200)</f>
        <v>200</v>
      </c>
      <c r="BC751" s="47"/>
      <c r="BD751" s="47"/>
      <c r="BE751" s="8"/>
      <c r="BF751" s="8"/>
      <c r="BG751" s="47"/>
      <c r="BH751" s="47"/>
      <c r="BI751" s="8"/>
      <c r="BJ751" s="3"/>
      <c r="BK751" s="48"/>
      <c r="BL751" s="47"/>
      <c r="BM751" s="46"/>
      <c r="BN751" s="46"/>
      <c r="BO751" s="24">
        <f>AL751+AN751+AP751+AR751+AT751+AV751+AX751+AZ751+BB751+BD751+BF751+BH751+BJ751+BL751</f>
        <v>1200</v>
      </c>
      <c r="BP751" s="28">
        <f>AJ751-BO751</f>
        <v>-232245.415</v>
      </c>
      <c r="BQ751" s="2">
        <v>45422</v>
      </c>
    </row>
    <row r="752" spans="1:73" hidden="true">
      <c r="D752" s="9" t="s">
        <v>11</v>
      </c>
      <c r="E752" s="2">
        <v>45423</v>
      </c>
      <c r="F752" s="38"/>
      <c r="G752" s="51"/>
      <c r="H752" s="4">
        <f>F75*50%</f>
        <v>1849.65</v>
      </c>
      <c r="I752" s="120">
        <v>1062</v>
      </c>
      <c r="J752" s="4">
        <f>(G752+H752)-I752</f>
        <v>787.65</v>
      </c>
      <c r="K752" s="4">
        <f>J752+O751</f>
        <v>-46296.26</v>
      </c>
      <c r="L752" s="3"/>
      <c r="M752" s="3"/>
      <c r="N752" s="25">
        <f>I752+M752</f>
        <v>1062</v>
      </c>
      <c r="O752" s="28">
        <f>K752-M752</f>
        <v>-46296.26</v>
      </c>
      <c r="P752" s="9" t="s">
        <v>11</v>
      </c>
      <c r="Q752" s="2">
        <v>45423</v>
      </c>
      <c r="R752" s="38"/>
      <c r="S752" s="52"/>
      <c r="T752" s="4">
        <f>R75*45%</f>
        <v>6098.85</v>
      </c>
      <c r="U752" s="5"/>
      <c r="V752" s="4">
        <f>(S752+T752)-U752</f>
        <v>6098.85</v>
      </c>
      <c r="W752" s="4">
        <f>V752+AA751</f>
        <v>-23824.935</v>
      </c>
      <c r="X752" s="3"/>
      <c r="Y752" s="3"/>
      <c r="Z752" s="25">
        <f>U752+Y752</f>
        <v>0</v>
      </c>
      <c r="AA752" s="76">
        <f>W752-Y752</f>
        <v>-23824.935</v>
      </c>
      <c r="AB752" s="9" t="s">
        <v>11</v>
      </c>
      <c r="AC752" s="19">
        <v>45423</v>
      </c>
      <c r="AD752" s="41"/>
      <c r="AE752" s="42"/>
      <c r="AF752" s="4">
        <f>AD75-H752-T752</f>
        <v>9303.8</v>
      </c>
      <c r="AG752" s="3"/>
      <c r="AH752" s="8">
        <v>1407.05</v>
      </c>
      <c r="AI752" s="4">
        <f>(AE752+AF752)-AH752</f>
        <v>7896.75</v>
      </c>
      <c r="AJ752" s="4">
        <f>AI752+BP751</f>
        <v>-224348.665</v>
      </c>
      <c r="AK752" s="8" t="s">
        <v>98</v>
      </c>
      <c r="AL752" s="8">
        <f>(1000)</f>
        <v>1000</v>
      </c>
      <c r="AM752" s="47" t="s">
        <v>117</v>
      </c>
      <c r="AN752" s="47">
        <f>(2000)</f>
        <v>2000</v>
      </c>
      <c r="AO752" s="8"/>
      <c r="AP752" s="8"/>
      <c r="AQ752" s="47"/>
      <c r="AR752" s="47"/>
      <c r="AS752" s="8"/>
      <c r="AT752" s="8"/>
      <c r="AU752" s="47"/>
      <c r="AV752" s="47"/>
      <c r="AW752" s="8"/>
      <c r="AX752" s="8"/>
      <c r="AY752" s="47" t="s">
        <v>163</v>
      </c>
      <c r="AZ752" s="47">
        <f>(1200)</f>
        <v>1200</v>
      </c>
      <c r="BA752" s="8" t="s">
        <v>133</v>
      </c>
      <c r="BB752" s="8">
        <f>(1756)</f>
        <v>1756</v>
      </c>
      <c r="BC752" s="47"/>
      <c r="BD752" s="47"/>
      <c r="BE752" s="8"/>
      <c r="BF752" s="8"/>
      <c r="BG752" s="47"/>
      <c r="BH752" s="47"/>
      <c r="BI752" s="3"/>
      <c r="BJ752" s="3"/>
      <c r="BK752" s="47"/>
      <c r="BL752" s="47"/>
      <c r="BM752" s="46"/>
      <c r="BN752" s="46"/>
      <c r="BO752" s="24">
        <f>AL752+AN752+AP752+AR752+AT752+AV752+AX752+AZ752+BB752+BD752+BF752+BH752+BJ752+BL752</f>
        <v>5956</v>
      </c>
      <c r="BP752" s="28">
        <f>AJ752-BO752</f>
        <v>-230304.665</v>
      </c>
      <c r="BQ752" s="2">
        <v>45423</v>
      </c>
    </row>
    <row r="753" spans="1:73" hidden="true">
      <c r="D753" s="9" t="s">
        <v>12</v>
      </c>
      <c r="E753" s="2">
        <v>45424</v>
      </c>
      <c r="F753" s="38"/>
      <c r="G753" s="51"/>
      <c r="H753" s="4">
        <f>F76*50%</f>
        <v>3390.725</v>
      </c>
      <c r="I753" s="120">
        <v>0</v>
      </c>
      <c r="J753" s="4">
        <f>(G753+H753)-I753</f>
        <v>3390.725</v>
      </c>
      <c r="K753" s="4">
        <f>J753+O752</f>
        <v>-42905.535</v>
      </c>
      <c r="L753" s="3"/>
      <c r="M753" s="3"/>
      <c r="N753" s="25">
        <f>I753+M753</f>
        <v>0</v>
      </c>
      <c r="O753" s="28">
        <f>K753-M753</f>
        <v>-42905.535</v>
      </c>
      <c r="P753" s="9" t="s">
        <v>12</v>
      </c>
      <c r="Q753" s="2">
        <v>45424</v>
      </c>
      <c r="R753" s="38"/>
      <c r="S753" s="52"/>
      <c r="T753" s="4">
        <f>R76*45%</f>
        <v>3761.55</v>
      </c>
      <c r="U753" s="5"/>
      <c r="V753" s="4">
        <f>(S753+T753)-U753</f>
        <v>3761.55</v>
      </c>
      <c r="W753" s="4">
        <f>V753+AA752</f>
        <v>-20063.385</v>
      </c>
      <c r="X753" s="3"/>
      <c r="Y753" s="3"/>
      <c r="Z753" s="25">
        <f>U753+Y753</f>
        <v>0</v>
      </c>
      <c r="AA753" s="76">
        <f>W753-Y753</f>
        <v>-20063.385</v>
      </c>
      <c r="AB753" s="9" t="s">
        <v>12</v>
      </c>
      <c r="AC753" s="19">
        <v>45424</v>
      </c>
      <c r="AD753" s="41"/>
      <c r="AE753" s="42"/>
      <c r="AF753" s="4">
        <f>AD76-H753-T753</f>
        <v>7988.175</v>
      </c>
      <c r="AG753" s="3"/>
      <c r="AH753" s="8">
        <v>756.6</v>
      </c>
      <c r="AI753" s="4">
        <f>(AE753+AF753)-AH753</f>
        <v>7231.575</v>
      </c>
      <c r="AJ753" s="4">
        <f>AI753+BP752</f>
        <v>-223073.09</v>
      </c>
      <c r="AK753" s="8" t="s">
        <v>98</v>
      </c>
      <c r="AL753" s="8">
        <f>(1000)</f>
        <v>1000</v>
      </c>
      <c r="AM753" s="47" t="s">
        <v>168</v>
      </c>
      <c r="AN753" s="47">
        <f>(2427)</f>
        <v>2427</v>
      </c>
      <c r="AO753" s="8"/>
      <c r="AP753" s="8"/>
      <c r="AQ753" s="47"/>
      <c r="AR753" s="47"/>
      <c r="AS753" s="8"/>
      <c r="AT753" s="8"/>
      <c r="AU753" s="47"/>
      <c r="AV753" s="47"/>
      <c r="AW753" s="8"/>
      <c r="AX753" s="8"/>
      <c r="AY753" s="47"/>
      <c r="AZ753" s="47"/>
      <c r="BA753" s="3"/>
      <c r="BB753" s="8"/>
      <c r="BC753" s="47"/>
      <c r="BD753" s="47"/>
      <c r="BE753" s="8"/>
      <c r="BF753" s="8"/>
      <c r="BG753" s="47"/>
      <c r="BH753" s="47"/>
      <c r="BI753" s="8"/>
      <c r="BJ753" s="3"/>
      <c r="BK753" s="47"/>
      <c r="BL753" s="47"/>
      <c r="BM753" s="46"/>
      <c r="BN753" s="46"/>
      <c r="BO753" s="24">
        <f>AL753+AN753+AP753+AR753+AT753+AV753+AX753+AZ753+BB753+BD753+BF753+BH753+BJ753+BL753</f>
        <v>3427</v>
      </c>
      <c r="BP753" s="28">
        <f>AJ753-BO753</f>
        <v>-226500.09</v>
      </c>
      <c r="BQ753" s="2">
        <v>45424</v>
      </c>
    </row>
    <row r="754" spans="1:73" hidden="true">
      <c r="D754" s="9" t="s">
        <v>13</v>
      </c>
      <c r="E754" s="2">
        <v>45425</v>
      </c>
      <c r="F754" s="38"/>
      <c r="G754" s="51"/>
      <c r="H754" s="4">
        <f>F77*50%</f>
        <v>2140.425</v>
      </c>
      <c r="I754" s="120">
        <v>4068.2</v>
      </c>
      <c r="J754" s="4">
        <f>(G754+H754)-I754</f>
        <v>-1927.775</v>
      </c>
      <c r="K754" s="4">
        <f>J754+O753</f>
        <v>-44833.31</v>
      </c>
      <c r="L754" s="3"/>
      <c r="M754" s="3"/>
      <c r="N754" s="25">
        <f>I754+M754</f>
        <v>4068.2</v>
      </c>
      <c r="O754" s="28">
        <f>K754-M754</f>
        <v>-44833.31</v>
      </c>
      <c r="P754" s="9" t="s">
        <v>13</v>
      </c>
      <c r="Q754" s="2">
        <v>45425</v>
      </c>
      <c r="R754" s="38"/>
      <c r="S754" s="52"/>
      <c r="T754" s="4">
        <f>R77*45%</f>
        <v>2201.4</v>
      </c>
      <c r="U754" s="5"/>
      <c r="V754" s="4">
        <f>(S754+T754)-U754</f>
        <v>2201.4</v>
      </c>
      <c r="W754" s="4">
        <f>V754+AA753</f>
        <v>-17861.985</v>
      </c>
      <c r="X754" s="3"/>
      <c r="Y754" s="3"/>
      <c r="Z754" s="25">
        <f>U754+Y754</f>
        <v>0</v>
      </c>
      <c r="AA754" s="76">
        <f>W754-Y754</f>
        <v>-17861.985</v>
      </c>
      <c r="AB754" s="9" t="s">
        <v>13</v>
      </c>
      <c r="AC754" s="19">
        <v>45425</v>
      </c>
      <c r="AD754" s="41"/>
      <c r="AE754" s="42"/>
      <c r="AF754" s="4">
        <f>AD77-H754-T754</f>
        <v>4831.025</v>
      </c>
      <c r="AG754" s="3"/>
      <c r="AH754" s="8">
        <v>880</v>
      </c>
      <c r="AI754" s="4">
        <f>(AE754+AF754)-AH754</f>
        <v>3951.025</v>
      </c>
      <c r="AJ754" s="4">
        <f>AI754+BP753</f>
        <v>-222549.065</v>
      </c>
      <c r="AK754" s="8" t="s">
        <v>157</v>
      </c>
      <c r="AL754" s="8">
        <f>(1000+5000)</f>
        <v>6000</v>
      </c>
      <c r="AM754" s="47"/>
      <c r="AN754" s="47"/>
      <c r="AO754" s="8"/>
      <c r="AP754" s="8"/>
      <c r="AQ754" s="47"/>
      <c r="AR754" s="47"/>
      <c r="AS754" s="8"/>
      <c r="AT754" s="8"/>
      <c r="AU754" s="47"/>
      <c r="AV754" s="47"/>
      <c r="AW754" s="8"/>
      <c r="AX754" s="8"/>
      <c r="AY754" s="47"/>
      <c r="AZ754" s="47"/>
      <c r="BA754" s="8"/>
      <c r="BB754" s="8"/>
      <c r="BC754" s="47"/>
      <c r="BD754" s="47"/>
      <c r="BE754" s="8"/>
      <c r="BF754" s="8"/>
      <c r="BG754" s="47"/>
      <c r="BH754" s="47"/>
      <c r="BI754" s="8"/>
      <c r="BJ754" s="3"/>
      <c r="BK754" s="47"/>
      <c r="BL754" s="47"/>
      <c r="BM754" s="46"/>
      <c r="BN754" s="46"/>
      <c r="BO754" s="24">
        <f>AL754+AN754+AP754+AR754+AT754+AV754+AX754+AZ754+BB754+BD754+BF754+BH754+BJ754+BL754</f>
        <v>6000</v>
      </c>
      <c r="BP754" s="28">
        <f>AJ754-BO754</f>
        <v>-228549.065</v>
      </c>
      <c r="BQ754" s="2">
        <v>45425</v>
      </c>
    </row>
    <row r="755" spans="1:73" hidden="true">
      <c r="D755" s="9" t="s">
        <v>14</v>
      </c>
      <c r="E755" s="2">
        <v>45426</v>
      </c>
      <c r="F755" s="38"/>
      <c r="G755" s="51"/>
      <c r="H755" s="4">
        <f>F78*50%</f>
        <v>1690.425</v>
      </c>
      <c r="I755" s="120">
        <v>1858</v>
      </c>
      <c r="J755" s="4">
        <f>(G755+H755)-I755</f>
        <v>-167.575</v>
      </c>
      <c r="K755" s="4">
        <f>J755+O754</f>
        <v>-45000.885</v>
      </c>
      <c r="L755" s="3"/>
      <c r="M755" s="3"/>
      <c r="N755" s="25">
        <f>I755+M755</f>
        <v>1858</v>
      </c>
      <c r="O755" s="28">
        <f>K755-M755</f>
        <v>-45000.885</v>
      </c>
      <c r="P755" s="9" t="s">
        <v>14</v>
      </c>
      <c r="Q755" s="2">
        <v>45426</v>
      </c>
      <c r="R755" s="38"/>
      <c r="S755" s="52"/>
      <c r="T755" s="4">
        <f>R78*45%</f>
        <v>3578.4</v>
      </c>
      <c r="U755" s="5"/>
      <c r="V755" s="4">
        <f>(S755+T755)-U755</f>
        <v>3578.4</v>
      </c>
      <c r="W755" s="4">
        <f>V755+AA754</f>
        <v>-14283.585</v>
      </c>
      <c r="X755" s="3" t="s">
        <v>90</v>
      </c>
      <c r="Y755" s="3">
        <v>4317</v>
      </c>
      <c r="Z755" s="25">
        <f>U755+Y755</f>
        <v>4317</v>
      </c>
      <c r="AA755" s="76">
        <f>W755-Y755</f>
        <v>-18600.585</v>
      </c>
      <c r="AB755" s="9" t="s">
        <v>14</v>
      </c>
      <c r="AC755" s="19">
        <v>45426</v>
      </c>
      <c r="AD755" s="41"/>
      <c r="AE755" s="42"/>
      <c r="AF755" s="4">
        <f>AD78-H755-T755</f>
        <v>6064.025</v>
      </c>
      <c r="AG755" s="3"/>
      <c r="AH755" s="8">
        <v>701</v>
      </c>
      <c r="AI755" s="4">
        <f>(AE755+AF755)-AH755</f>
        <v>5363.025</v>
      </c>
      <c r="AJ755" s="4">
        <f>AI755+BP754</f>
        <v>-223186.04</v>
      </c>
      <c r="AK755" s="8" t="s">
        <v>98</v>
      </c>
      <c r="AL755" s="8">
        <f>(1000)</f>
        <v>1000</v>
      </c>
      <c r="AM755" s="47" t="s">
        <v>104</v>
      </c>
      <c r="AN755" s="47">
        <f>(15000)</f>
        <v>15000</v>
      </c>
      <c r="AO755" s="8"/>
      <c r="AP755" s="8"/>
      <c r="AQ755" s="47"/>
      <c r="AR755" s="47"/>
      <c r="AS755" s="8"/>
      <c r="AT755" s="8"/>
      <c r="AU755" s="47"/>
      <c r="AV755" s="47"/>
      <c r="AW755" s="8"/>
      <c r="AX755" s="8"/>
      <c r="AY755" s="47"/>
      <c r="AZ755" s="47"/>
      <c r="BA755" s="8" t="s">
        <v>169</v>
      </c>
      <c r="BB755" s="8">
        <f>(590+275)</f>
        <v>865</v>
      </c>
      <c r="BC755" s="47"/>
      <c r="BD755" s="47"/>
      <c r="BE755" s="8"/>
      <c r="BF755" s="8"/>
      <c r="BG755" s="47"/>
      <c r="BH755" s="47"/>
      <c r="BI755" s="8"/>
      <c r="BJ755" s="3"/>
      <c r="BK755" s="47"/>
      <c r="BL755" s="47"/>
      <c r="BM755" s="46"/>
      <c r="BN755" s="46"/>
      <c r="BO755" s="24">
        <f>AL755+AN755+AP755+AR755+AT755+AV755+AX755+AZ755+BB755+BD755+BF755+BH755+BJ755+BL755</f>
        <v>16865</v>
      </c>
      <c r="BP755" s="28">
        <f>AJ755-BO755</f>
        <v>-240051.04</v>
      </c>
      <c r="BQ755" s="2">
        <v>45426</v>
      </c>
    </row>
    <row r="756" spans="1:73" hidden="true">
      <c r="D756" s="9" t="s">
        <v>15</v>
      </c>
      <c r="E756" s="2">
        <v>45427</v>
      </c>
      <c r="F756" s="38"/>
      <c r="G756" s="51"/>
      <c r="H756" s="4">
        <f>F79*50%</f>
        <v>1705.075</v>
      </c>
      <c r="I756" s="120">
        <v>1564</v>
      </c>
      <c r="J756" s="4">
        <f>(G756+H756)-I756</f>
        <v>141.075</v>
      </c>
      <c r="K756" s="4">
        <f>J756+O755</f>
        <v>-44859.81</v>
      </c>
      <c r="L756" s="3"/>
      <c r="M756" s="3"/>
      <c r="N756" s="25">
        <f>I756+M756</f>
        <v>1564</v>
      </c>
      <c r="O756" s="28">
        <f>K756-M756</f>
        <v>-44859.81</v>
      </c>
      <c r="P756" s="9" t="s">
        <v>15</v>
      </c>
      <c r="Q756" s="2">
        <v>45427</v>
      </c>
      <c r="R756" s="38"/>
      <c r="S756" s="52"/>
      <c r="T756" s="4">
        <f>R79*45%</f>
        <v>3186.45</v>
      </c>
      <c r="U756" s="5"/>
      <c r="V756" s="4">
        <f>(S756+T756)-U756</f>
        <v>3186.45</v>
      </c>
      <c r="W756" s="4">
        <f>V756+AA755</f>
        <v>-15414.135</v>
      </c>
      <c r="X756" s="3"/>
      <c r="Y756" s="3"/>
      <c r="Z756" s="25">
        <f>U756+Y756</f>
        <v>0</v>
      </c>
      <c r="AA756" s="76">
        <f>W756-Y756</f>
        <v>-15414.135</v>
      </c>
      <c r="AB756" s="9" t="s">
        <v>15</v>
      </c>
      <c r="AC756" s="19">
        <v>45427</v>
      </c>
      <c r="AD756" s="41"/>
      <c r="AE756" s="42"/>
      <c r="AF756" s="4">
        <f>AD79-H756-T756</f>
        <v>5599.625</v>
      </c>
      <c r="AG756" s="3"/>
      <c r="AH756" s="8">
        <v>871</v>
      </c>
      <c r="AI756" s="4">
        <f>(AE756+AF756)-AH756</f>
        <v>4728.625</v>
      </c>
      <c r="AJ756" s="4">
        <f>AI756+BP755</f>
        <v>-235322.415</v>
      </c>
      <c r="AK756" s="8" t="s">
        <v>170</v>
      </c>
      <c r="AL756" s="8">
        <f>(1000+5000+242.8)</f>
        <v>6242.8</v>
      </c>
      <c r="AM756" s="47"/>
      <c r="AN756" s="47"/>
      <c r="AO756" s="8"/>
      <c r="AP756" s="8"/>
      <c r="AQ756" s="47"/>
      <c r="AR756" s="47"/>
      <c r="AS756" s="8"/>
      <c r="AT756" s="8"/>
      <c r="AU756" s="47"/>
      <c r="AV756" s="47"/>
      <c r="AW756" s="8"/>
      <c r="AX756" s="8"/>
      <c r="AY756" s="47" t="s">
        <v>163</v>
      </c>
      <c r="AZ756" s="47">
        <f>(1200)</f>
        <v>1200</v>
      </c>
      <c r="BA756" s="8" t="s">
        <v>171</v>
      </c>
      <c r="BB756" s="8">
        <f>(2350+1000)</f>
        <v>3350</v>
      </c>
      <c r="BC756" s="47"/>
      <c r="BD756" s="47"/>
      <c r="BE756" s="8"/>
      <c r="BF756" s="8"/>
      <c r="BG756" s="47"/>
      <c r="BH756" s="47"/>
      <c r="BI756" s="8"/>
      <c r="BJ756" s="3"/>
      <c r="BK756" s="48"/>
      <c r="BL756" s="47"/>
      <c r="BM756" s="46"/>
      <c r="BN756" s="46"/>
      <c r="BO756" s="24">
        <f>AL756+AN756+AP756+AR756+AT756+AV756+AX756+AZ756+BB756+BD756+BF756+BH756+BJ756+BL756</f>
        <v>10792.8</v>
      </c>
      <c r="BP756" s="28">
        <f>AJ756-BO756</f>
        <v>-246115.215</v>
      </c>
      <c r="BQ756" s="2">
        <v>45427</v>
      </c>
    </row>
    <row r="757" spans="1:73" hidden="true">
      <c r="D757" s="9" t="s">
        <v>16</v>
      </c>
      <c r="E757" s="2">
        <v>45428</v>
      </c>
      <c r="F757" s="38"/>
      <c r="G757" s="51"/>
      <c r="H757" s="4">
        <f>F80*50%</f>
        <v>1265.05</v>
      </c>
      <c r="I757" s="120">
        <v>0</v>
      </c>
      <c r="J757" s="4">
        <f>(G757+H757)-I757</f>
        <v>1265.05</v>
      </c>
      <c r="K757" s="4">
        <f>J757+O756</f>
        <v>-43594.76</v>
      </c>
      <c r="L757" s="3" t="s">
        <v>172</v>
      </c>
      <c r="M757" s="3">
        <v>2700</v>
      </c>
      <c r="N757" s="25">
        <f>I757+M757</f>
        <v>2700</v>
      </c>
      <c r="O757" s="28">
        <f>K757-M757</f>
        <v>-46294.76</v>
      </c>
      <c r="P757" s="9" t="s">
        <v>16</v>
      </c>
      <c r="Q757" s="2">
        <v>45428</v>
      </c>
      <c r="R757" s="38"/>
      <c r="S757" s="52"/>
      <c r="T757" s="4">
        <f>R80*45%</f>
        <v>3962.25</v>
      </c>
      <c r="U757" s="5"/>
      <c r="V757" s="4">
        <f>(S757+T757)-U757</f>
        <v>3962.25</v>
      </c>
      <c r="W757" s="4">
        <f>V757+AA756</f>
        <v>-11451.885</v>
      </c>
      <c r="X757" s="3" t="s">
        <v>124</v>
      </c>
      <c r="Y757" s="3">
        <f>(25641)</f>
        <v>25641</v>
      </c>
      <c r="Z757" s="25">
        <f>U757+Y757</f>
        <v>25641</v>
      </c>
      <c r="AA757" s="76">
        <f>W757-Y757</f>
        <v>-37092.885</v>
      </c>
      <c r="AB757" s="9" t="s">
        <v>16</v>
      </c>
      <c r="AC757" s="19">
        <v>45428</v>
      </c>
      <c r="AD757" s="41"/>
      <c r="AE757" s="42"/>
      <c r="AF757" s="4">
        <f>AD80-H757-T757</f>
        <v>6107.8</v>
      </c>
      <c r="AG757" s="3"/>
      <c r="AH757" s="8">
        <v>924</v>
      </c>
      <c r="AI757" s="4">
        <f>(AE757+AF757)-AH757</f>
        <v>5183.8</v>
      </c>
      <c r="AJ757" s="4">
        <f>AI757+BP756</f>
        <v>-240931.415</v>
      </c>
      <c r="AK757" s="8" t="s">
        <v>98</v>
      </c>
      <c r="AL757" s="8">
        <f>(1000)</f>
        <v>1000</v>
      </c>
      <c r="AM757" s="47" t="s">
        <v>173</v>
      </c>
      <c r="AN757" s="47">
        <f>(24450)</f>
        <v>24450</v>
      </c>
      <c r="AO757" s="8"/>
      <c r="AP757" s="8"/>
      <c r="AQ757" s="47"/>
      <c r="AR757" s="47"/>
      <c r="AS757" s="8"/>
      <c r="AT757" s="8"/>
      <c r="AU757" s="47"/>
      <c r="AV757" s="47"/>
      <c r="AW757" s="8"/>
      <c r="AX757" s="8"/>
      <c r="AY757" s="47"/>
      <c r="AZ757" s="47"/>
      <c r="BA757" s="8"/>
      <c r="BB757" s="8"/>
      <c r="BC757" s="47"/>
      <c r="BD757" s="47"/>
      <c r="BE757" s="8"/>
      <c r="BF757" s="8"/>
      <c r="BG757" s="47"/>
      <c r="BH757" s="47"/>
      <c r="BI757" s="8"/>
      <c r="BJ757" s="3"/>
      <c r="BK757" s="47"/>
      <c r="BL757" s="47"/>
      <c r="BM757" s="46"/>
      <c r="BN757" s="46"/>
      <c r="BO757" s="24">
        <f>AL757+AN757+AP757+AR757+AT757+AV757+AX757+AZ757+BB757+BD757+BF757+BH757+BJ757+BL757</f>
        <v>25450</v>
      </c>
      <c r="BP757" s="28">
        <f>AJ757-BO757</f>
        <v>-266381.415</v>
      </c>
      <c r="BQ757" s="2">
        <v>45428</v>
      </c>
    </row>
    <row r="758" spans="1:73" hidden="true">
      <c r="D758" s="9" t="s">
        <v>10</v>
      </c>
      <c r="E758" s="2">
        <v>45429</v>
      </c>
      <c r="F758" s="38"/>
      <c r="G758" s="51"/>
      <c r="H758" s="4">
        <f>F81*50%</f>
        <v>2106.95</v>
      </c>
      <c r="I758" s="120">
        <v>0</v>
      </c>
      <c r="J758" s="4">
        <f>(G758+H758)-I758</f>
        <v>2106.95</v>
      </c>
      <c r="K758" s="4">
        <f>J758+O757</f>
        <v>-44187.81</v>
      </c>
      <c r="L758" s="3" t="s">
        <v>90</v>
      </c>
      <c r="M758" s="3">
        <f>(3159)</f>
        <v>3159</v>
      </c>
      <c r="N758" s="25">
        <f>I758+M758</f>
        <v>3159</v>
      </c>
      <c r="O758" s="28">
        <f>K758-M758</f>
        <v>-47346.81</v>
      </c>
      <c r="P758" s="9" t="s">
        <v>10</v>
      </c>
      <c r="Q758" s="2">
        <v>45429</v>
      </c>
      <c r="R758" s="38"/>
      <c r="S758" s="52"/>
      <c r="T758" s="4">
        <f>R81*45%</f>
        <v>4269.15</v>
      </c>
      <c r="U758" s="5"/>
      <c r="V758" s="4">
        <f>(S758+T758)-U758</f>
        <v>4269.15</v>
      </c>
      <c r="W758" s="4">
        <f>V758+AA757</f>
        <v>-32823.735</v>
      </c>
      <c r="X758" s="3" t="s">
        <v>174</v>
      </c>
      <c r="Y758" s="3">
        <f>(13018)</f>
        <v>13018</v>
      </c>
      <c r="Z758" s="25">
        <f>U758+Y758</f>
        <v>13018</v>
      </c>
      <c r="AA758" s="76">
        <f>W758-Y758</f>
        <v>-45841.735</v>
      </c>
      <c r="AB758" s="9" t="s">
        <v>10</v>
      </c>
      <c r="AC758" s="19">
        <v>45429</v>
      </c>
      <c r="AD758" s="41"/>
      <c r="AE758" s="42"/>
      <c r="AF758" s="4">
        <f>AD81-H758-T758</f>
        <v>7324.8</v>
      </c>
      <c r="AG758" s="3"/>
      <c r="AH758" s="8">
        <v>992</v>
      </c>
      <c r="AI758" s="4">
        <f>(AE758+AF758)-AH758</f>
        <v>6332.8</v>
      </c>
      <c r="AJ758" s="4">
        <f>AI758+BP757</f>
        <v>-260048.615</v>
      </c>
      <c r="AK758" s="8" t="s">
        <v>175</v>
      </c>
      <c r="AL758" s="8">
        <f>(1000+1100)</f>
        <v>2100</v>
      </c>
      <c r="AM758" s="47"/>
      <c r="AN758" s="47"/>
      <c r="AO758" s="8"/>
      <c r="AP758" s="8"/>
      <c r="AQ758" s="47"/>
      <c r="AR758" s="47"/>
      <c r="AS758" s="8"/>
      <c r="AT758" s="8"/>
      <c r="AU758" s="47"/>
      <c r="AV758" s="47"/>
      <c r="AW758" s="8"/>
      <c r="AX758" s="8"/>
      <c r="AY758" s="47"/>
      <c r="AZ758" s="47"/>
      <c r="BA758" s="8" t="s">
        <v>176</v>
      </c>
      <c r="BB758" s="8">
        <f>(275+111+2000)</f>
        <v>2386</v>
      </c>
      <c r="BC758" s="47"/>
      <c r="BD758" s="47"/>
      <c r="BE758" s="8"/>
      <c r="BF758" s="8"/>
      <c r="BG758" s="47"/>
      <c r="BH758" s="47"/>
      <c r="BI758" s="3"/>
      <c r="BJ758" s="3"/>
      <c r="BK758" s="48"/>
      <c r="BL758" s="47"/>
      <c r="BM758" s="46"/>
      <c r="BN758" s="46"/>
      <c r="BO758" s="24">
        <f>AL758+AN758+AP758+AR758+AT758+AV758+AX758+AZ758+BB758+BD758+BF758+BH758+BJ758+BL758</f>
        <v>4486</v>
      </c>
      <c r="BP758" s="28">
        <f>AJ758-BO758</f>
        <v>-264534.615</v>
      </c>
      <c r="BQ758" s="2">
        <v>45429</v>
      </c>
    </row>
    <row r="759" spans="1:73" hidden="true">
      <c r="D759" s="9" t="s">
        <v>11</v>
      </c>
      <c r="E759" s="2">
        <v>45430</v>
      </c>
      <c r="F759" s="38"/>
      <c r="G759" s="51"/>
      <c r="H759" s="4">
        <f>F82*50%</f>
        <v>2487.725</v>
      </c>
      <c r="I759" s="120">
        <v>1431</v>
      </c>
      <c r="J759" s="4">
        <f>(G759+H759)-I759</f>
        <v>1056.725</v>
      </c>
      <c r="K759" s="4">
        <f>J759+O758</f>
        <v>-46290.085</v>
      </c>
      <c r="L759" s="3"/>
      <c r="M759" s="3"/>
      <c r="N759" s="25">
        <f>I759+M759</f>
        <v>1431</v>
      </c>
      <c r="O759" s="28">
        <f>K759-M759</f>
        <v>-46290.085</v>
      </c>
      <c r="P759" s="9" t="s">
        <v>11</v>
      </c>
      <c r="Q759" s="2">
        <v>45430</v>
      </c>
      <c r="R759" s="38"/>
      <c r="S759" s="52"/>
      <c r="T759" s="4">
        <f>R82*45%</f>
        <v>4301.1</v>
      </c>
      <c r="U759" s="5">
        <v>1340</v>
      </c>
      <c r="V759" s="4">
        <f>(S759+T759)-U759</f>
        <v>2961.1</v>
      </c>
      <c r="W759" s="4">
        <f>V759+AA758</f>
        <v>-42880.635</v>
      </c>
      <c r="X759" s="3"/>
      <c r="Y759" s="3"/>
      <c r="Z759" s="25">
        <f>U759+Y759</f>
        <v>1340</v>
      </c>
      <c r="AA759" s="76">
        <f>W759-Y759</f>
        <v>-42880.635</v>
      </c>
      <c r="AB759" s="9" t="s">
        <v>11</v>
      </c>
      <c r="AC759" s="19">
        <v>45430</v>
      </c>
      <c r="AD759" s="41"/>
      <c r="AE759" s="42"/>
      <c r="AF759" s="4">
        <f>AD82-H759-T759</f>
        <v>7744.625</v>
      </c>
      <c r="AG759" s="3"/>
      <c r="AH759" s="8">
        <v>1039.6</v>
      </c>
      <c r="AI759" s="4">
        <f>(AE759+AF759)-AH759</f>
        <v>6705.025</v>
      </c>
      <c r="AJ759" s="4">
        <f>AI759+BP758</f>
        <v>-257829.59</v>
      </c>
      <c r="AK759" s="8" t="s">
        <v>98</v>
      </c>
      <c r="AL759" s="8">
        <f>(1000)</f>
        <v>1000</v>
      </c>
      <c r="AM759" s="47" t="s">
        <v>177</v>
      </c>
      <c r="AN759" s="47">
        <f>(375+325.81)</f>
        <v>700.81</v>
      </c>
      <c r="AO759" s="8"/>
      <c r="AP759" s="8"/>
      <c r="AQ759" s="47"/>
      <c r="AR759" s="47"/>
      <c r="AS759" s="8"/>
      <c r="AT759" s="8"/>
      <c r="AU759" s="47"/>
      <c r="AV759" s="47"/>
      <c r="AW759" s="8"/>
      <c r="AX759" s="8"/>
      <c r="AY759" s="47"/>
      <c r="AZ759" s="47"/>
      <c r="BA759" s="3" t="s">
        <v>178</v>
      </c>
      <c r="BB759" s="8">
        <f>(720+5000)</f>
        <v>5720</v>
      </c>
      <c r="BC759" s="47"/>
      <c r="BD759" s="47"/>
      <c r="BE759" s="8"/>
      <c r="BF759" s="8"/>
      <c r="BG759" s="47"/>
      <c r="BH759" s="47"/>
      <c r="BI759" s="8"/>
      <c r="BJ759" s="3"/>
      <c r="BK759" s="48"/>
      <c r="BL759" s="47"/>
      <c r="BM759" s="46"/>
      <c r="BN759" s="46"/>
      <c r="BO759" s="24">
        <f>AL759+AN759+AP759+AR759+AT759+AV759+AX759+AZ759+BB759+BD759+BF759+BH759+BJ759+BL759</f>
        <v>7420.81</v>
      </c>
      <c r="BP759" s="28">
        <f>AJ759-BO759</f>
        <v>-265250.4</v>
      </c>
      <c r="BQ759" s="2">
        <v>45430</v>
      </c>
    </row>
    <row r="760" spans="1:73" hidden="true">
      <c r="D760" s="9" t="s">
        <v>12</v>
      </c>
      <c r="E760" s="2">
        <v>45431</v>
      </c>
      <c r="F760" s="38"/>
      <c r="G760" s="51"/>
      <c r="H760" s="4">
        <f>F83*50%</f>
        <v>2072.575</v>
      </c>
      <c r="I760" s="120">
        <v>0</v>
      </c>
      <c r="J760" s="4">
        <f>(G760+H760)-I760</f>
        <v>2072.575</v>
      </c>
      <c r="K760" s="4">
        <f>J760+O759</f>
        <v>-44217.51</v>
      </c>
      <c r="L760" s="3"/>
      <c r="M760" s="3"/>
      <c r="N760" s="25">
        <f>I760+M760</f>
        <v>0</v>
      </c>
      <c r="O760" s="28">
        <f>K760-M760</f>
        <v>-44217.51</v>
      </c>
      <c r="P760" s="9" t="s">
        <v>12</v>
      </c>
      <c r="Q760" s="2">
        <v>45431</v>
      </c>
      <c r="R760" s="38"/>
      <c r="S760" s="52"/>
      <c r="T760" s="4">
        <f>R83*45%</f>
        <v>4654.35</v>
      </c>
      <c r="U760" s="5"/>
      <c r="V760" s="4">
        <f>(S760+T760)-U760</f>
        <v>4654.35</v>
      </c>
      <c r="W760" s="4">
        <f>V760+AA759</f>
        <v>-38226.285</v>
      </c>
      <c r="X760" s="3"/>
      <c r="Y760" s="3"/>
      <c r="Z760" s="25">
        <f>U760+Y760</f>
        <v>0</v>
      </c>
      <c r="AA760" s="76">
        <f>W760-Y760</f>
        <v>-38226.285</v>
      </c>
      <c r="AB760" s="9" t="s">
        <v>12</v>
      </c>
      <c r="AC760" s="19">
        <v>45431</v>
      </c>
      <c r="AD760" s="41"/>
      <c r="AE760" s="42"/>
      <c r="AF760" s="4">
        <f>AD83-H760-T760</f>
        <v>7761.225</v>
      </c>
      <c r="AG760" s="3"/>
      <c r="AH760" s="8">
        <v>1098.6</v>
      </c>
      <c r="AI760" s="4">
        <f>(AE760+AF760)-AH760</f>
        <v>6662.625</v>
      </c>
      <c r="AJ760" s="4">
        <f>AI760+BP759</f>
        <v>-258587.775</v>
      </c>
      <c r="AK760" s="8" t="s">
        <v>98</v>
      </c>
      <c r="AL760" s="8">
        <v>1000</v>
      </c>
      <c r="AM760" s="47"/>
      <c r="AN760" s="47"/>
      <c r="AO760" s="8"/>
      <c r="AP760" s="8"/>
      <c r="AQ760" s="47"/>
      <c r="AR760" s="47"/>
      <c r="AS760" s="8"/>
      <c r="AT760" s="8"/>
      <c r="AU760" s="47"/>
      <c r="AV760" s="47"/>
      <c r="AW760" s="8"/>
      <c r="AX760" s="8"/>
      <c r="AY760" s="47"/>
      <c r="AZ760" s="47"/>
      <c r="BA760" s="8"/>
      <c r="BB760" s="8"/>
      <c r="BC760" s="47"/>
      <c r="BD760" s="47"/>
      <c r="BE760" s="8"/>
      <c r="BF760" s="8"/>
      <c r="BG760" s="47"/>
      <c r="BH760" s="47"/>
      <c r="BI760" s="8"/>
      <c r="BJ760" s="3"/>
      <c r="BK760" s="48"/>
      <c r="BL760" s="47"/>
      <c r="BM760" s="46"/>
      <c r="BN760" s="46"/>
      <c r="BO760" s="24">
        <f>AL760+AN760+AP760+AR760+AT760+AV760+AX760+AZ760+BB760+BD760+BF760+BH760+BJ760+BL760</f>
        <v>1000</v>
      </c>
      <c r="BP760" s="28">
        <f>AJ760-BO760</f>
        <v>-259587.775</v>
      </c>
      <c r="BQ760" s="2">
        <v>45431</v>
      </c>
    </row>
    <row r="761" spans="1:73" hidden="true">
      <c r="D761" s="9" t="s">
        <v>13</v>
      </c>
      <c r="E761" s="2">
        <v>45432</v>
      </c>
      <c r="F761" s="38"/>
      <c r="G761" s="51"/>
      <c r="H761" s="4">
        <f>F84*50%</f>
        <v>1993.35</v>
      </c>
      <c r="I761" s="120">
        <v>0</v>
      </c>
      <c r="J761" s="4">
        <f>(G761+H761)-I761</f>
        <v>1993.35</v>
      </c>
      <c r="K761" s="4">
        <f>J761+O760</f>
        <v>-42224.16</v>
      </c>
      <c r="L761" s="3"/>
      <c r="M761" s="3"/>
      <c r="N761" s="25">
        <f>I761+M761</f>
        <v>0</v>
      </c>
      <c r="O761" s="28">
        <f>K761-M761</f>
        <v>-42224.16</v>
      </c>
      <c r="P761" s="9" t="s">
        <v>13</v>
      </c>
      <c r="Q761" s="2">
        <v>45432</v>
      </c>
      <c r="R761" s="38"/>
      <c r="S761" s="52"/>
      <c r="T761" s="4">
        <f>R84*45%</f>
        <v>1965.15</v>
      </c>
      <c r="U761" s="5">
        <v>525</v>
      </c>
      <c r="V761" s="4">
        <f>(S761+T761)-U761</f>
        <v>1440.15</v>
      </c>
      <c r="W761" s="4">
        <f>V761+AA760</f>
        <v>-36786.135</v>
      </c>
      <c r="X761" s="3" t="s">
        <v>179</v>
      </c>
      <c r="Y761" s="3">
        <v>16375</v>
      </c>
      <c r="Z761" s="25">
        <f>U761+Y761</f>
        <v>16900</v>
      </c>
      <c r="AA761" s="76">
        <f>W761-Y761</f>
        <v>-53161.135</v>
      </c>
      <c r="AB761" s="9" t="s">
        <v>13</v>
      </c>
      <c r="AC761" s="19">
        <v>45432</v>
      </c>
      <c r="AD761" s="41"/>
      <c r="AE761" s="42"/>
      <c r="AF761" s="4">
        <f>AD84-H761-T761</f>
        <v>4395.2</v>
      </c>
      <c r="AG761" s="3"/>
      <c r="AH761" s="8">
        <v>660.6</v>
      </c>
      <c r="AI761" s="4">
        <f>(AE761+AF761)-AH761</f>
        <v>3734.6</v>
      </c>
      <c r="AJ761" s="4">
        <f>AI761+BP760</f>
        <v>-255853.175</v>
      </c>
      <c r="AK761" s="8" t="s">
        <v>180</v>
      </c>
      <c r="AL761" s="8">
        <f>(1000+3941.53)</f>
        <v>4941.53</v>
      </c>
      <c r="AM761" s="47"/>
      <c r="AN761" s="47"/>
      <c r="AO761" s="8"/>
      <c r="AP761" s="8"/>
      <c r="AQ761" s="47"/>
      <c r="AR761" s="47"/>
      <c r="AS761" s="8"/>
      <c r="AT761" s="8"/>
      <c r="AU761" s="47"/>
      <c r="AV761" s="47"/>
      <c r="AW761" s="8"/>
      <c r="AX761" s="8"/>
      <c r="AY761" s="47" t="s">
        <v>181</v>
      </c>
      <c r="AZ761" s="47">
        <f>(336.4)</f>
        <v>336.4</v>
      </c>
      <c r="BA761" s="3"/>
      <c r="BB761" s="8"/>
      <c r="BC761" s="47"/>
      <c r="BD761" s="47"/>
      <c r="BE761" s="8"/>
      <c r="BF761" s="8"/>
      <c r="BG761" s="47"/>
      <c r="BH761" s="47"/>
      <c r="BI761" s="8"/>
      <c r="BJ761" s="3"/>
      <c r="BK761" s="48"/>
      <c r="BL761" s="47"/>
      <c r="BM761" s="46"/>
      <c r="BN761" s="46"/>
      <c r="BO761" s="24">
        <f>AL761+AN761+AP761+AR761+AT761+AV761+AX761+AZ761+BB761+BD761+BF761+BH761+BJ761+BL761</f>
        <v>5277.93</v>
      </c>
      <c r="BP761" s="28">
        <f>AJ761-BO761</f>
        <v>-261131.105</v>
      </c>
      <c r="BQ761" s="2">
        <v>45432</v>
      </c>
    </row>
    <row r="762" spans="1:73" hidden="true">
      <c r="D762" s="9" t="s">
        <v>14</v>
      </c>
      <c r="E762" s="2">
        <v>45433</v>
      </c>
      <c r="F762" s="38"/>
      <c r="G762" s="51"/>
      <c r="H762" s="4">
        <f>F85*50%</f>
        <v>1745.625</v>
      </c>
      <c r="I762" s="120">
        <v>0</v>
      </c>
      <c r="J762" s="4">
        <f>(G762+H762)-I762</f>
        <v>1745.625</v>
      </c>
      <c r="K762" s="4">
        <f>J762+O761</f>
        <v>-40478.535</v>
      </c>
      <c r="L762" s="3" t="s">
        <v>182</v>
      </c>
      <c r="M762" s="3">
        <f>(9257)</f>
        <v>9257</v>
      </c>
      <c r="N762" s="25">
        <f>I762+M762</f>
        <v>9257</v>
      </c>
      <c r="O762" s="28">
        <f>K762-M762</f>
        <v>-49735.535</v>
      </c>
      <c r="P762" s="9" t="s">
        <v>14</v>
      </c>
      <c r="Q762" s="2">
        <v>45433</v>
      </c>
      <c r="R762" s="38"/>
      <c r="S762" s="52"/>
      <c r="T762" s="4">
        <f>R85*45%</f>
        <v>1953.9</v>
      </c>
      <c r="U762" s="5"/>
      <c r="V762" s="4">
        <f>(S762+T762)-U762</f>
        <v>1953.9</v>
      </c>
      <c r="W762" s="4">
        <f>V762+AA761</f>
        <v>-51207.235</v>
      </c>
      <c r="X762" s="3"/>
      <c r="Y762" s="3"/>
      <c r="Z762" s="25">
        <f>U762+Y762</f>
        <v>0</v>
      </c>
      <c r="AA762" s="76">
        <f>W762-Y762</f>
        <v>-51207.235</v>
      </c>
      <c r="AB762" s="9" t="s">
        <v>14</v>
      </c>
      <c r="AC762" s="19">
        <v>45433</v>
      </c>
      <c r="AD762" s="41"/>
      <c r="AE762" s="42"/>
      <c r="AF762" s="4">
        <f>AD85-H762-T762</f>
        <v>4133.725</v>
      </c>
      <c r="AG762" s="3"/>
      <c r="AH762" s="8">
        <v>616</v>
      </c>
      <c r="AI762" s="4">
        <f>(AE762+AF762)-AH762</f>
        <v>3517.725</v>
      </c>
      <c r="AJ762" s="4">
        <f>AI762+BP761</f>
        <v>-257613.38</v>
      </c>
      <c r="AK762" s="8" t="s">
        <v>101</v>
      </c>
      <c r="AL762" s="8">
        <f>(1000)</f>
        <v>1000</v>
      </c>
      <c r="AM762" s="47"/>
      <c r="AN762" s="47"/>
      <c r="AO762" s="8"/>
      <c r="AP762" s="8"/>
      <c r="AQ762" s="47"/>
      <c r="AR762" s="47"/>
      <c r="AS762" s="8"/>
      <c r="AT762" s="8"/>
      <c r="AU762" s="47"/>
      <c r="AV762" s="47"/>
      <c r="AW762" s="8"/>
      <c r="AX762" s="8"/>
      <c r="AY762" s="47"/>
      <c r="AZ762" s="47"/>
      <c r="BA762" s="8" t="s">
        <v>183</v>
      </c>
      <c r="BB762" s="8">
        <f>(3400)</f>
        <v>3400</v>
      </c>
      <c r="BC762" s="47"/>
      <c r="BD762" s="47"/>
      <c r="BE762" s="8"/>
      <c r="BF762" s="8"/>
      <c r="BG762" s="47"/>
      <c r="BH762" s="47"/>
      <c r="BI762" s="3"/>
      <c r="BJ762" s="3"/>
      <c r="BK762" s="47"/>
      <c r="BL762" s="47"/>
      <c r="BM762" s="46"/>
      <c r="BN762" s="46"/>
      <c r="BO762" s="24">
        <f>AL762+AN762+AP762+AR762+AT762+AV762+AX762+AZ762+BB762+BD762+BF762+BH762+BJ762+BL762</f>
        <v>4400</v>
      </c>
      <c r="BP762" s="28">
        <f>AJ762-BO762</f>
        <v>-262013.38</v>
      </c>
      <c r="BQ762" s="2">
        <v>45433</v>
      </c>
    </row>
    <row r="763" spans="1:73" hidden="true">
      <c r="D763" s="9" t="s">
        <v>15</v>
      </c>
      <c r="E763" s="2">
        <v>45434</v>
      </c>
      <c r="F763" s="38"/>
      <c r="G763" s="51"/>
      <c r="H763" s="4">
        <f>F86*50%</f>
        <v>1648.625</v>
      </c>
      <c r="I763" s="120">
        <v>0</v>
      </c>
      <c r="J763" s="4">
        <f>(G763+H763)-I763</f>
        <v>1648.625</v>
      </c>
      <c r="K763" s="4">
        <f>J763+O762</f>
        <v>-48086.91</v>
      </c>
      <c r="L763" s="3"/>
      <c r="M763" s="3"/>
      <c r="N763" s="25">
        <f>I763+M763</f>
        <v>0</v>
      </c>
      <c r="O763" s="28">
        <f>K763-M763</f>
        <v>-48086.91</v>
      </c>
      <c r="P763" s="9" t="s">
        <v>15</v>
      </c>
      <c r="Q763" s="2">
        <v>45434</v>
      </c>
      <c r="R763" s="38"/>
      <c r="S763" s="52"/>
      <c r="T763" s="4">
        <f>R86*45%</f>
        <v>4273.2</v>
      </c>
      <c r="U763" s="5">
        <v>540</v>
      </c>
      <c r="V763" s="4">
        <f>(S763+T763)-U763</f>
        <v>3733.2</v>
      </c>
      <c r="W763" s="4">
        <f>V763+AA762</f>
        <v>-47474.035</v>
      </c>
      <c r="X763" s="3"/>
      <c r="Y763" s="3"/>
      <c r="Z763" s="25">
        <f>U763+Y763</f>
        <v>540</v>
      </c>
      <c r="AA763" s="76">
        <f>W763-Y763</f>
        <v>-47474.035</v>
      </c>
      <c r="AB763" s="9" t="s">
        <v>15</v>
      </c>
      <c r="AC763" s="19">
        <v>45434</v>
      </c>
      <c r="AD763" s="41"/>
      <c r="AE763" s="42"/>
      <c r="AF763" s="4">
        <f>AD86-H763-T763</f>
        <v>6871.425</v>
      </c>
      <c r="AG763" s="3"/>
      <c r="AH763" s="8">
        <v>673</v>
      </c>
      <c r="AI763" s="4">
        <f>(AE763+AF763)-AH763</f>
        <v>6198.425</v>
      </c>
      <c r="AJ763" s="4">
        <f>AI763+BP762</f>
        <v>-255814.955</v>
      </c>
      <c r="AK763" s="8" t="s">
        <v>98</v>
      </c>
      <c r="AL763" s="8">
        <f>(1000)</f>
        <v>1000</v>
      </c>
      <c r="AM763" s="47"/>
      <c r="AN763" s="47"/>
      <c r="AO763" s="8"/>
      <c r="AP763" s="8"/>
      <c r="AQ763" s="47"/>
      <c r="AR763" s="47"/>
      <c r="AS763" s="8"/>
      <c r="AT763" s="8"/>
      <c r="AU763" s="47"/>
      <c r="AV763" s="47"/>
      <c r="AW763" s="8"/>
      <c r="AX763" s="8"/>
      <c r="AY763" s="47" t="s">
        <v>163</v>
      </c>
      <c r="AZ763" s="47">
        <f>(500)</f>
        <v>500</v>
      </c>
      <c r="BA763" s="8"/>
      <c r="BB763" s="8"/>
      <c r="BC763" s="47"/>
      <c r="BD763" s="47"/>
      <c r="BE763" s="8"/>
      <c r="BF763" s="8"/>
      <c r="BG763" s="47"/>
      <c r="BH763" s="47"/>
      <c r="BI763" s="3"/>
      <c r="BJ763" s="3"/>
      <c r="BK763" s="48"/>
      <c r="BL763" s="47"/>
      <c r="BM763" s="46"/>
      <c r="BN763" s="46"/>
      <c r="BO763" s="24">
        <f>AL763+AN763+AP763+AR763+AT763+AV763+AX763+AZ763+BB763+BD763+BF763+BH763+BJ763+BL763</f>
        <v>1500</v>
      </c>
      <c r="BP763" s="28">
        <f>AJ763-BO763</f>
        <v>-257314.955</v>
      </c>
      <c r="BQ763" s="2">
        <v>45434</v>
      </c>
    </row>
    <row r="764" spans="1:73" hidden="true">
      <c r="D764" s="9" t="s">
        <v>16</v>
      </c>
      <c r="E764" s="2">
        <v>45435</v>
      </c>
      <c r="F764" s="38"/>
      <c r="G764" s="51"/>
      <c r="H764" s="4">
        <f>F87*50%</f>
        <v>1489.725</v>
      </c>
      <c r="I764" s="120">
        <v>0</v>
      </c>
      <c r="J764" s="4">
        <f>(G764+H764)-I764</f>
        <v>1489.725</v>
      </c>
      <c r="K764" s="4">
        <f>J764+O763</f>
        <v>-46597.185</v>
      </c>
      <c r="L764" s="3"/>
      <c r="M764" s="3"/>
      <c r="N764" s="25">
        <f>I764+M764</f>
        <v>0</v>
      </c>
      <c r="O764" s="28">
        <f>K764-M764</f>
        <v>-46597.185</v>
      </c>
      <c r="P764" s="9" t="s">
        <v>16</v>
      </c>
      <c r="Q764" s="2">
        <v>45435</v>
      </c>
      <c r="R764" s="38"/>
      <c r="S764" s="52"/>
      <c r="T764" s="4">
        <f>R87*45%</f>
        <v>2755.8</v>
      </c>
      <c r="U764" s="5"/>
      <c r="V764" s="4">
        <f>(S764+T764)-U764</f>
        <v>2755.8</v>
      </c>
      <c r="W764" s="4">
        <f>V764+AA763</f>
        <v>-44718.235</v>
      </c>
      <c r="X764" s="3"/>
      <c r="Y764" s="3"/>
      <c r="Z764" s="25">
        <f>U764+Y764</f>
        <v>0</v>
      </c>
      <c r="AA764" s="76">
        <f>W764-Y764</f>
        <v>-44718.235</v>
      </c>
      <c r="AB764" s="9" t="s">
        <v>16</v>
      </c>
      <c r="AC764" s="19">
        <v>45435</v>
      </c>
      <c r="AD764" s="41"/>
      <c r="AE764" s="42"/>
      <c r="AF764" s="4">
        <f>AD87-H764-T764</f>
        <v>4857.925</v>
      </c>
      <c r="AG764" s="3"/>
      <c r="AH764" s="8">
        <v>450</v>
      </c>
      <c r="AI764" s="4">
        <f>(AE764+AF764)-AH764</f>
        <v>4407.925</v>
      </c>
      <c r="AJ764" s="4">
        <f>AI764+BP763</f>
        <v>-252907.03</v>
      </c>
      <c r="AK764" s="8" t="s">
        <v>98</v>
      </c>
      <c r="AL764" s="8">
        <f>(1000)</f>
        <v>1000</v>
      </c>
      <c r="AM764" s="47"/>
      <c r="AN764" s="47"/>
      <c r="AO764" s="8"/>
      <c r="AP764" s="8"/>
      <c r="AQ764" s="47"/>
      <c r="AR764" s="47"/>
      <c r="AS764" s="8"/>
      <c r="AT764" s="8"/>
      <c r="AU764" s="47"/>
      <c r="AV764" s="47"/>
      <c r="AW764" s="8"/>
      <c r="AX764" s="8"/>
      <c r="AY764" s="47"/>
      <c r="AZ764" s="47"/>
      <c r="BA764" s="8"/>
      <c r="BB764" s="8"/>
      <c r="BC764" s="47"/>
      <c r="BD764" s="47"/>
      <c r="BE764" s="8"/>
      <c r="BF764" s="8"/>
      <c r="BG764" s="47"/>
      <c r="BH764" s="47"/>
      <c r="BI764" s="8"/>
      <c r="BJ764" s="3"/>
      <c r="BK764" s="48"/>
      <c r="BL764" s="47"/>
      <c r="BM764" s="46"/>
      <c r="BN764" s="46"/>
      <c r="BO764" s="24">
        <f>AL764+AN764+AP764+AR764+AT764+AV764+AX764+AZ764+BB764+BD764+BF764+BH764+BJ764+BL764</f>
        <v>1000</v>
      </c>
      <c r="BP764" s="28">
        <f>AJ764-BO764</f>
        <v>-253907.03</v>
      </c>
      <c r="BQ764" s="2">
        <v>45435</v>
      </c>
    </row>
    <row r="765" spans="1:73" hidden="true">
      <c r="D765" s="9" t="s">
        <v>10</v>
      </c>
      <c r="E765" s="2">
        <v>45436</v>
      </c>
      <c r="F765" s="38"/>
      <c r="G765" s="51"/>
      <c r="H765" s="4">
        <f>F88*50%</f>
        <v>1465.5</v>
      </c>
      <c r="I765" s="120">
        <v>1080</v>
      </c>
      <c r="J765" s="4">
        <f>(G765+H765)-I765</f>
        <v>385.5</v>
      </c>
      <c r="K765" s="4">
        <f>J765+O764</f>
        <v>-46211.685</v>
      </c>
      <c r="L765" s="3"/>
      <c r="M765" s="3"/>
      <c r="N765" s="25">
        <f>I765+M765</f>
        <v>1080</v>
      </c>
      <c r="O765" s="28">
        <f>K765-M765</f>
        <v>-46211.685</v>
      </c>
      <c r="P765" s="9" t="s">
        <v>10</v>
      </c>
      <c r="Q765" s="2">
        <v>45436</v>
      </c>
      <c r="R765" s="38"/>
      <c r="S765" s="52"/>
      <c r="T765" s="4">
        <f>R88*45%</f>
        <v>5184.9</v>
      </c>
      <c r="U765" s="5">
        <v>842</v>
      </c>
      <c r="V765" s="4">
        <f>(S765+T765)-U765</f>
        <v>4342.9</v>
      </c>
      <c r="W765" s="4">
        <f>V765+AA764</f>
        <v>-40375.335</v>
      </c>
      <c r="X765" s="3"/>
      <c r="Y765" s="3"/>
      <c r="Z765" s="25">
        <f>U765+Y765</f>
        <v>842</v>
      </c>
      <c r="AA765" s="76">
        <f>W765-Y765</f>
        <v>-40375.335</v>
      </c>
      <c r="AB765" s="9" t="s">
        <v>10</v>
      </c>
      <c r="AC765" s="19">
        <v>45436</v>
      </c>
      <c r="AD765" s="41"/>
      <c r="AE765" s="42"/>
      <c r="AF765" s="4">
        <f>AD88-H765-T765</f>
        <v>7802.6</v>
      </c>
      <c r="AG765" s="3"/>
      <c r="AH765" s="8">
        <v>1199.2</v>
      </c>
      <c r="AI765" s="4">
        <f>(AE765+AF765)-AH765</f>
        <v>6603.4</v>
      </c>
      <c r="AJ765" s="4">
        <f>AI765+BP764</f>
        <v>-247303.63</v>
      </c>
      <c r="AK765" s="8" t="s">
        <v>98</v>
      </c>
      <c r="AL765" s="8">
        <f>(1000)</f>
        <v>1000</v>
      </c>
      <c r="AM765" s="47"/>
      <c r="AN765" s="47"/>
      <c r="AO765" s="8"/>
      <c r="AP765" s="8"/>
      <c r="AQ765" s="47"/>
      <c r="AR765" s="47"/>
      <c r="AS765" s="8"/>
      <c r="AT765" s="8"/>
      <c r="AU765" s="47"/>
      <c r="AV765" s="47"/>
      <c r="AW765" s="8"/>
      <c r="AX765" s="8"/>
      <c r="AY765" s="48" t="s">
        <v>163</v>
      </c>
      <c r="AZ765" s="47">
        <f>(700)</f>
        <v>700</v>
      </c>
      <c r="BA765" s="3" t="s">
        <v>184</v>
      </c>
      <c r="BB765" s="8">
        <f>(24744)</f>
        <v>24744</v>
      </c>
      <c r="BC765" s="47"/>
      <c r="BD765" s="47"/>
      <c r="BE765" s="8"/>
      <c r="BF765" s="8"/>
      <c r="BG765" s="47"/>
      <c r="BH765" s="47"/>
      <c r="BI765" s="8"/>
      <c r="BJ765" s="3"/>
      <c r="BK765" s="48"/>
      <c r="BL765" s="47"/>
      <c r="BM765" s="46"/>
      <c r="BN765" s="46"/>
      <c r="BO765" s="24">
        <f>AL765+AN765+AP765+AR765+AT765+AV765+AX765+AZ765+BB765+BD765+BF765+BH765+BJ765+BL765</f>
        <v>26444</v>
      </c>
      <c r="BP765" s="28">
        <f>AJ765-BO765</f>
        <v>-273747.63</v>
      </c>
      <c r="BQ765" s="2">
        <v>45436</v>
      </c>
    </row>
    <row r="766" spans="1:73" hidden="true">
      <c r="D766" s="9" t="s">
        <v>11</v>
      </c>
      <c r="E766" s="2">
        <v>45437</v>
      </c>
      <c r="F766" s="38"/>
      <c r="G766" s="51"/>
      <c r="H766" s="4">
        <f>F89*50%</f>
        <v>1580.75</v>
      </c>
      <c r="I766" s="120">
        <v>1547</v>
      </c>
      <c r="J766" s="4">
        <f>(G766+H766)-I766</f>
        <v>33.75</v>
      </c>
      <c r="K766" s="4">
        <f>J766+O765</f>
        <v>-46177.935</v>
      </c>
      <c r="L766" s="3"/>
      <c r="M766" s="3"/>
      <c r="N766" s="25">
        <f>I766+M766</f>
        <v>1547</v>
      </c>
      <c r="O766" s="28">
        <f>K766-M766</f>
        <v>-46177.935</v>
      </c>
      <c r="P766" s="9" t="s">
        <v>11</v>
      </c>
      <c r="Q766" s="2">
        <v>45437</v>
      </c>
      <c r="R766" s="38"/>
      <c r="S766" s="52"/>
      <c r="T766" s="4">
        <f>R89*45%</f>
        <v>3553.2</v>
      </c>
      <c r="U766" s="5">
        <v>1350</v>
      </c>
      <c r="V766" s="4">
        <f>(S766+T766)-U766</f>
        <v>2203.2</v>
      </c>
      <c r="W766" s="4">
        <f>V766+AA765</f>
        <v>-38172.135</v>
      </c>
      <c r="X766" s="3"/>
      <c r="Y766" s="3"/>
      <c r="Z766" s="25">
        <f>U766+Y766</f>
        <v>1350</v>
      </c>
      <c r="AA766" s="76">
        <f>W766-Y766</f>
        <v>-38172.135</v>
      </c>
      <c r="AB766" s="9" t="s">
        <v>11</v>
      </c>
      <c r="AC766" s="19">
        <v>45437</v>
      </c>
      <c r="AD766" s="41"/>
      <c r="AE766" s="42"/>
      <c r="AF766" s="4">
        <f>AD89-H766-T766</f>
        <v>5923.55</v>
      </c>
      <c r="AG766" s="3"/>
      <c r="AH766" s="8">
        <v>928</v>
      </c>
      <c r="AI766" s="4">
        <f>(AE766+AF766)-AH766</f>
        <v>4995.55</v>
      </c>
      <c r="AJ766" s="4">
        <f>AI766+BP765</f>
        <v>-268752.08</v>
      </c>
      <c r="AK766" s="8" t="s">
        <v>157</v>
      </c>
      <c r="AL766" s="8">
        <f>(1000+4766)</f>
        <v>5766</v>
      </c>
      <c r="AM766" s="47"/>
      <c r="AN766" s="47"/>
      <c r="AO766" s="8"/>
      <c r="AP766" s="8"/>
      <c r="AQ766" s="47"/>
      <c r="AR766" s="47"/>
      <c r="AS766" s="8"/>
      <c r="AT766" s="8"/>
      <c r="AU766" s="47"/>
      <c r="AV766" s="47"/>
      <c r="AW766" s="8"/>
      <c r="AX766" s="8"/>
      <c r="AY766" s="48" t="s">
        <v>185</v>
      </c>
      <c r="AZ766" s="47">
        <f>(60.37)</f>
        <v>60.37</v>
      </c>
      <c r="BA766" s="8" t="s">
        <v>186</v>
      </c>
      <c r="BB766" s="8">
        <f>(2000)</f>
        <v>2000</v>
      </c>
      <c r="BC766" s="47"/>
      <c r="BD766" s="47"/>
      <c r="BE766" s="8"/>
      <c r="BF766" s="8"/>
      <c r="BG766" s="47"/>
      <c r="BH766" s="47"/>
      <c r="BI766" s="8"/>
      <c r="BJ766" s="3"/>
      <c r="BK766" s="47"/>
      <c r="BL766" s="47"/>
      <c r="BM766" s="46"/>
      <c r="BN766" s="46"/>
      <c r="BO766" s="24">
        <f>AL766+AN766+AP766+AR766+AT766+AV766+AX766+AZ766+BB766+BD766+BF766+BH766+BJ766+BL766</f>
        <v>7826.37</v>
      </c>
      <c r="BP766" s="28">
        <f>AJ766-BO766</f>
        <v>-276578.45</v>
      </c>
      <c r="BQ766" s="2">
        <v>45437</v>
      </c>
    </row>
    <row r="767" spans="1:73" hidden="true">
      <c r="D767" s="9" t="s">
        <v>12</v>
      </c>
      <c r="E767" s="2">
        <v>45438</v>
      </c>
      <c r="F767" s="38"/>
      <c r="G767" s="51"/>
      <c r="H767" s="4">
        <f>F90*50%</f>
        <v>1893.2</v>
      </c>
      <c r="I767" s="120">
        <v>0</v>
      </c>
      <c r="J767" s="4">
        <f>(G767+H767)-I767</f>
        <v>1893.2</v>
      </c>
      <c r="K767" s="4">
        <f>J767+O766</f>
        <v>-44284.735</v>
      </c>
      <c r="L767" s="3"/>
      <c r="M767" s="3"/>
      <c r="N767" s="25">
        <f>I767+M767</f>
        <v>0</v>
      </c>
      <c r="O767" s="28">
        <f>K767-M767</f>
        <v>-44284.735</v>
      </c>
      <c r="P767" s="9" t="s">
        <v>12</v>
      </c>
      <c r="Q767" s="2">
        <v>45438</v>
      </c>
      <c r="R767" s="38"/>
      <c r="S767" s="52"/>
      <c r="T767" s="4">
        <f>R90*45%</f>
        <v>3422.25</v>
      </c>
      <c r="U767" s="5"/>
      <c r="V767" s="4">
        <f>(S767+T767)-U767</f>
        <v>3422.25</v>
      </c>
      <c r="W767" s="4">
        <f>V767+AA766</f>
        <v>-34749.885</v>
      </c>
      <c r="X767" s="3"/>
      <c r="Y767" s="3"/>
      <c r="Z767" s="25">
        <f>U767+Y767</f>
        <v>0</v>
      </c>
      <c r="AA767" s="76">
        <f>W767-Y767</f>
        <v>-34749.885</v>
      </c>
      <c r="AB767" s="9" t="s">
        <v>12</v>
      </c>
      <c r="AC767" s="19">
        <v>45438</v>
      </c>
      <c r="AD767" s="41"/>
      <c r="AE767" s="42"/>
      <c r="AF767" s="4">
        <f>AD90-H767-T767</f>
        <v>6075.95</v>
      </c>
      <c r="AG767" s="3"/>
      <c r="AH767" s="8">
        <v>527.6</v>
      </c>
      <c r="AI767" s="4">
        <f>(AE767+AF767)-AH767</f>
        <v>5548.35</v>
      </c>
      <c r="AJ767" s="4">
        <f>AI767+BP766</f>
        <v>-271030.1</v>
      </c>
      <c r="AK767" s="8" t="s">
        <v>98</v>
      </c>
      <c r="AL767" s="8">
        <f>(1000)</f>
        <v>1000</v>
      </c>
      <c r="AM767" s="47"/>
      <c r="AN767" s="47"/>
      <c r="AO767" s="8"/>
      <c r="AP767" s="8"/>
      <c r="AQ767" s="47"/>
      <c r="AR767" s="47"/>
      <c r="AS767" s="8"/>
      <c r="AT767" s="8"/>
      <c r="AU767" s="47"/>
      <c r="AV767" s="47"/>
      <c r="AW767" s="8"/>
      <c r="AX767" s="8"/>
      <c r="AY767" s="47"/>
      <c r="AZ767" s="47"/>
      <c r="BA767" s="3"/>
      <c r="BB767" s="8"/>
      <c r="BC767" s="47"/>
      <c r="BD767" s="47"/>
      <c r="BE767" s="8"/>
      <c r="BF767" s="8"/>
      <c r="BG767" s="47"/>
      <c r="BH767" s="47"/>
      <c r="BI767" s="8"/>
      <c r="BJ767" s="3"/>
      <c r="BK767" s="47" t="s">
        <v>144</v>
      </c>
      <c r="BL767" s="47">
        <f>(3000)</f>
        <v>3000</v>
      </c>
      <c r="BM767" s="46"/>
      <c r="BN767" s="46"/>
      <c r="BO767" s="24">
        <f>AL767+AN767+AP767+AR767+AT767+AV767+AX767+AZ767+BB767+BD767+BF767+BH767+BJ767+BL767</f>
        <v>4000</v>
      </c>
      <c r="BP767" s="28">
        <f>AJ767-BO767</f>
        <v>-275030.1</v>
      </c>
      <c r="BQ767" s="2">
        <v>45438</v>
      </c>
    </row>
    <row r="768" spans="1:73" hidden="true">
      <c r="D768" s="9" t="s">
        <v>13</v>
      </c>
      <c r="E768" s="2">
        <v>45439</v>
      </c>
      <c r="F768" s="38"/>
      <c r="G768" s="51"/>
      <c r="H768" s="4">
        <f>F91*50%</f>
        <v>2768.425</v>
      </c>
      <c r="I768" s="120">
        <v>1000</v>
      </c>
      <c r="J768" s="4">
        <f>(G768+H768)-I768</f>
        <v>1768.425</v>
      </c>
      <c r="K768" s="4">
        <f>J768+O767</f>
        <v>-42516.31</v>
      </c>
      <c r="L768" s="3"/>
      <c r="M768" s="3"/>
      <c r="N768" s="25">
        <f>I768+M768</f>
        <v>1000</v>
      </c>
      <c r="O768" s="28">
        <f>K768-M768</f>
        <v>-42516.31</v>
      </c>
      <c r="P768" s="9" t="s">
        <v>13</v>
      </c>
      <c r="Q768" s="2">
        <v>45439</v>
      </c>
      <c r="R768" s="38"/>
      <c r="S768" s="52"/>
      <c r="T768" s="4">
        <f>R91*45%</f>
        <v>3888.45</v>
      </c>
      <c r="U768" s="5"/>
      <c r="V768" s="4">
        <f>(S768+T768)-U768</f>
        <v>3888.45</v>
      </c>
      <c r="W768" s="4">
        <f>V768+AA767</f>
        <v>-30861.435</v>
      </c>
      <c r="X768" s="3"/>
      <c r="Y768" s="3"/>
      <c r="Z768" s="25">
        <f>U768+Y768</f>
        <v>0</v>
      </c>
      <c r="AA768" s="76">
        <f>W768-Y768</f>
        <v>-30861.435</v>
      </c>
      <c r="AB768" s="9" t="s">
        <v>13</v>
      </c>
      <c r="AC768" s="19">
        <v>45439</v>
      </c>
      <c r="AD768" s="41"/>
      <c r="AE768" s="42"/>
      <c r="AF768" s="4">
        <f>AD91-H768-T768</f>
        <v>7520.975</v>
      </c>
      <c r="AG768" s="3"/>
      <c r="AH768" s="8">
        <v>1383.8</v>
      </c>
      <c r="AI768" s="4">
        <f>(AE768+AF768)-AH768</f>
        <v>6137.175</v>
      </c>
      <c r="AJ768" s="4">
        <f>AI768+BP767</f>
        <v>-268892.925</v>
      </c>
      <c r="AK768" s="8" t="s">
        <v>187</v>
      </c>
      <c r="AL768" s="8">
        <f>(1000+2000)</f>
        <v>3000</v>
      </c>
      <c r="AM768" s="47"/>
      <c r="AN768" s="47"/>
      <c r="AO768" s="8"/>
      <c r="AP768" s="8"/>
      <c r="AQ768" s="47"/>
      <c r="AR768" s="47"/>
      <c r="AS768" s="8"/>
      <c r="AT768" s="8"/>
      <c r="AU768" s="47"/>
      <c r="AV768" s="47"/>
      <c r="AW768" s="8"/>
      <c r="AX768" s="8"/>
      <c r="AY768" s="47" t="s">
        <v>163</v>
      </c>
      <c r="AZ768" s="47">
        <f>(200)</f>
        <v>200</v>
      </c>
      <c r="BA768" s="8"/>
      <c r="BB768" s="8"/>
      <c r="BC768" s="47"/>
      <c r="BD768" s="47"/>
      <c r="BE768" s="8"/>
      <c r="BF768" s="8"/>
      <c r="BG768" s="47"/>
      <c r="BH768" s="47"/>
      <c r="BI768" s="8"/>
      <c r="BJ768" s="3"/>
      <c r="BK768" s="47"/>
      <c r="BL768" s="47"/>
      <c r="BM768" s="46"/>
      <c r="BN768" s="46"/>
      <c r="BO768" s="24">
        <f>AL768+AN768+AP768+AR768+AT768+AV768+AX768+AZ768+BB768+BD768+BF768+BH768+BJ768+BL768</f>
        <v>3200</v>
      </c>
      <c r="BP768" s="28">
        <f>AJ768-BO768</f>
        <v>-272092.925</v>
      </c>
      <c r="BQ768" s="2">
        <v>45439</v>
      </c>
    </row>
    <row r="769" spans="1:73" hidden="true">
      <c r="D769" s="9" t="s">
        <v>14</v>
      </c>
      <c r="E769" s="2">
        <v>45440</v>
      </c>
      <c r="F769" s="38"/>
      <c r="G769" s="51"/>
      <c r="H769" s="4">
        <f>F92*50%</f>
        <v>1836.45</v>
      </c>
      <c r="I769" s="120">
        <v>6342.41</v>
      </c>
      <c r="J769" s="4">
        <f>(G769+H769)-I769</f>
        <v>-4505.96</v>
      </c>
      <c r="K769" s="4">
        <f>J769+O768</f>
        <v>-47022.27</v>
      </c>
      <c r="L769" s="3"/>
      <c r="M769" s="3"/>
      <c r="N769" s="25">
        <f>I769+M769</f>
        <v>6342.41</v>
      </c>
      <c r="O769" s="28">
        <f>K769-M769</f>
        <v>-47022.27</v>
      </c>
      <c r="P769" s="9" t="s">
        <v>14</v>
      </c>
      <c r="Q769" s="2">
        <v>45440</v>
      </c>
      <c r="R769" s="38"/>
      <c r="S769" s="52"/>
      <c r="T769" s="4">
        <f>R92*45%</f>
        <v>2968.65</v>
      </c>
      <c r="U769" s="5">
        <v>830</v>
      </c>
      <c r="V769" s="4">
        <f>(S769+T769)-U769</f>
        <v>2138.65</v>
      </c>
      <c r="W769" s="4">
        <f>V769+AA768</f>
        <v>-28722.785</v>
      </c>
      <c r="X769" s="3"/>
      <c r="Y769" s="3"/>
      <c r="Z769" s="25">
        <f>U769+Y769</f>
        <v>830</v>
      </c>
      <c r="AA769" s="76">
        <f>W769-Y769</f>
        <v>-28722.785</v>
      </c>
      <c r="AB769" s="9" t="s">
        <v>14</v>
      </c>
      <c r="AC769" s="19">
        <v>45440</v>
      </c>
      <c r="AD769" s="41"/>
      <c r="AE769" s="42"/>
      <c r="AF769" s="4">
        <f>AD92-H769-T769</f>
        <v>5464.8</v>
      </c>
      <c r="AG769" s="3"/>
      <c r="AH769" s="8">
        <v>744.1</v>
      </c>
      <c r="AI769" s="4">
        <f>(AE769+AF769)-AH769</f>
        <v>4720.7</v>
      </c>
      <c r="AJ769" s="4">
        <f>AI769+BP768</f>
        <v>-267372.225</v>
      </c>
      <c r="AK769" s="8" t="s">
        <v>98</v>
      </c>
      <c r="AL769" s="8">
        <f>(1000)</f>
        <v>1000</v>
      </c>
      <c r="AM769" s="47"/>
      <c r="AN769" s="47"/>
      <c r="AO769" s="8"/>
      <c r="AP769" s="8"/>
      <c r="AQ769" s="47"/>
      <c r="AR769" s="47"/>
      <c r="AS769" s="8"/>
      <c r="AT769" s="8"/>
      <c r="AU769" s="47"/>
      <c r="AV769" s="47"/>
      <c r="AW769" s="8"/>
      <c r="AX769" s="8"/>
      <c r="AY769" s="47"/>
      <c r="AZ769" s="47"/>
      <c r="BA769" s="3"/>
      <c r="BB769" s="8"/>
      <c r="BC769" s="47"/>
      <c r="BD769" s="47"/>
      <c r="BE769" s="8"/>
      <c r="BF769" s="8"/>
      <c r="BG769" s="47"/>
      <c r="BH769" s="47"/>
      <c r="BI769" s="3"/>
      <c r="BJ769" s="3"/>
      <c r="BK769" s="48"/>
      <c r="BL769" s="47"/>
      <c r="BM769" s="46"/>
      <c r="BN769" s="46"/>
      <c r="BO769" s="24">
        <f>AL769+AN769+AP769+AR769+AT769+AV769+AX769+AZ769+BB769+BD769+BF769+BH769+BJ769+BL769</f>
        <v>1000</v>
      </c>
      <c r="BP769" s="28">
        <f>AJ769-BO769</f>
        <v>-268372.225</v>
      </c>
      <c r="BQ769" s="2">
        <v>45440</v>
      </c>
    </row>
    <row r="770" spans="1:73" hidden="true">
      <c r="D770" s="9" t="s">
        <v>15</v>
      </c>
      <c r="E770" s="2">
        <v>45441</v>
      </c>
      <c r="F770" s="38"/>
      <c r="G770" s="51"/>
      <c r="H770" s="4">
        <f>F93*50%</f>
        <v>2388.55</v>
      </c>
      <c r="I770" s="120">
        <v>1539.5</v>
      </c>
      <c r="J770" s="4">
        <f>(G770+H770)-I770</f>
        <v>849.05</v>
      </c>
      <c r="K770" s="4">
        <f>J770+O769</f>
        <v>-46173.22</v>
      </c>
      <c r="L770" s="3"/>
      <c r="M770" s="3"/>
      <c r="N770" s="25">
        <f>I770+M770</f>
        <v>1539.5</v>
      </c>
      <c r="O770" s="28">
        <f>K770-M770</f>
        <v>-46173.22</v>
      </c>
      <c r="P770" s="9" t="s">
        <v>15</v>
      </c>
      <c r="Q770" s="2">
        <v>45441</v>
      </c>
      <c r="R770" s="38"/>
      <c r="S770" s="52"/>
      <c r="T770" s="4">
        <f>R93*45%</f>
        <v>3055.5</v>
      </c>
      <c r="U770" s="5">
        <v>717</v>
      </c>
      <c r="V770" s="4">
        <f>(S770+T770)-U770</f>
        <v>2338.5</v>
      </c>
      <c r="W770" s="4">
        <f>V770+AA769</f>
        <v>-26384.285</v>
      </c>
      <c r="X770" s="3"/>
      <c r="Y770" s="3"/>
      <c r="Z770" s="25">
        <f>U770+Y770</f>
        <v>717</v>
      </c>
      <c r="AA770" s="76">
        <f>W770-Y770</f>
        <v>-26384.285</v>
      </c>
      <c r="AB770" s="9" t="s">
        <v>15</v>
      </c>
      <c r="AC770" s="19">
        <v>45441</v>
      </c>
      <c r="AD770" s="41"/>
      <c r="AE770" s="42"/>
      <c r="AF770" s="4">
        <f>AD93-H770-T770</f>
        <v>6123.05</v>
      </c>
      <c r="AG770" s="3"/>
      <c r="AH770" s="8">
        <v>1439.9</v>
      </c>
      <c r="AI770" s="4">
        <f>(AE770+AF770)-AH770</f>
        <v>4683.15</v>
      </c>
      <c r="AJ770" s="4">
        <f>AI770+BP769</f>
        <v>-263689.075</v>
      </c>
      <c r="AK770" s="8" t="s">
        <v>98</v>
      </c>
      <c r="AL770" s="8">
        <f>(1000)</f>
        <v>1000</v>
      </c>
      <c r="AM770" s="47" t="s">
        <v>188</v>
      </c>
      <c r="AN770" s="47">
        <f>(13300)</f>
        <v>13300</v>
      </c>
      <c r="AO770" s="8"/>
      <c r="AP770" s="8"/>
      <c r="AQ770" s="47"/>
      <c r="AR770" s="47"/>
      <c r="AS770" s="8"/>
      <c r="AT770" s="8"/>
      <c r="AU770" s="47"/>
      <c r="AV770" s="47"/>
      <c r="AW770" s="8"/>
      <c r="AX770" s="8"/>
      <c r="AY770" s="47" t="s">
        <v>189</v>
      </c>
      <c r="AZ770" s="47">
        <f>(25)</f>
        <v>25</v>
      </c>
      <c r="BA770" s="8" t="s">
        <v>190</v>
      </c>
      <c r="BB770" s="8">
        <f>(1000)</f>
        <v>1000</v>
      </c>
      <c r="BC770" s="47"/>
      <c r="BD770" s="47"/>
      <c r="BE770" s="8"/>
      <c r="BF770" s="8"/>
      <c r="BG770" s="47"/>
      <c r="BH770" s="47"/>
      <c r="BI770" s="3"/>
      <c r="BJ770" s="3"/>
      <c r="BK770" s="48"/>
      <c r="BL770" s="47"/>
      <c r="BM770" s="46"/>
      <c r="BN770" s="46"/>
      <c r="BO770" s="24">
        <f>AL770+AN770+AP770+AR770+AT770+AV770+AX770+AZ770+BB770+BD770+BF770+BH770+BJ770+BL770</f>
        <v>15325</v>
      </c>
      <c r="BP770" s="28">
        <f>AJ770-BO770</f>
        <v>-279014.075</v>
      </c>
      <c r="BQ770" s="2">
        <v>45441</v>
      </c>
    </row>
    <row r="771" spans="1:73" hidden="true">
      <c r="D771" s="9" t="s">
        <v>16</v>
      </c>
      <c r="E771" s="2">
        <v>45442</v>
      </c>
      <c r="F771" s="38"/>
      <c r="G771" s="51"/>
      <c r="H771" s="4">
        <f>F94*50%</f>
        <v>2319.275</v>
      </c>
      <c r="I771" s="120">
        <v>656.5</v>
      </c>
      <c r="J771" s="4">
        <f>(G771+H771)-I771</f>
        <v>1662.775</v>
      </c>
      <c r="K771" s="4">
        <f>J771+O770</f>
        <v>-44510.445</v>
      </c>
      <c r="L771" s="3" t="s">
        <v>70</v>
      </c>
      <c r="M771" s="3">
        <f>(1500)</f>
        <v>1500</v>
      </c>
      <c r="N771" s="25">
        <f>I771+M771</f>
        <v>2156.5</v>
      </c>
      <c r="O771" s="28">
        <f>K771-M771</f>
        <v>-46010.445</v>
      </c>
      <c r="P771" s="9" t="s">
        <v>16</v>
      </c>
      <c r="Q771" s="2">
        <v>45442</v>
      </c>
      <c r="R771" s="38"/>
      <c r="S771" s="52"/>
      <c r="T771" s="4">
        <f>R94*45%</f>
        <v>5108.85</v>
      </c>
      <c r="U771" s="5"/>
      <c r="V771" s="4">
        <f>(S771+T771)-U771</f>
        <v>5108.85</v>
      </c>
      <c r="W771" s="4">
        <f>V771+AA770</f>
        <v>-21275.435</v>
      </c>
      <c r="X771" s="3"/>
      <c r="Y771" s="3"/>
      <c r="Z771" s="25">
        <f>U771+Y771</f>
        <v>0</v>
      </c>
      <c r="AA771" s="76">
        <f>W771-Y771</f>
        <v>-21275.435</v>
      </c>
      <c r="AB771" s="9" t="s">
        <v>16</v>
      </c>
      <c r="AC771" s="19">
        <v>45442</v>
      </c>
      <c r="AD771" s="41"/>
      <c r="AE771" s="42"/>
      <c r="AF771" s="4">
        <f>AD94-H771-T771</f>
        <v>8563.425</v>
      </c>
      <c r="AG771" s="3"/>
      <c r="AH771" s="8">
        <v>2087.6</v>
      </c>
      <c r="AI771" s="4">
        <f>(AE771+AF771)-AH771</f>
        <v>6475.825</v>
      </c>
      <c r="AJ771" s="4">
        <f>AI771+BP770</f>
        <v>-272538.25</v>
      </c>
      <c r="AK771" s="8" t="s">
        <v>98</v>
      </c>
      <c r="AL771" s="8">
        <f>(1000)</f>
        <v>1000</v>
      </c>
      <c r="AM771" s="47" t="s">
        <v>191</v>
      </c>
      <c r="AN771" s="47">
        <f>(1000)</f>
        <v>1000</v>
      </c>
      <c r="AO771" s="8"/>
      <c r="AP771" s="8"/>
      <c r="AQ771" s="47"/>
      <c r="AR771" s="47"/>
      <c r="AS771" s="8"/>
      <c r="AT771" s="8"/>
      <c r="AU771" s="47"/>
      <c r="AV771" s="47"/>
      <c r="AW771" s="8"/>
      <c r="AX771" s="8"/>
      <c r="AY771" s="47"/>
      <c r="AZ771" s="47"/>
      <c r="BA771" s="3"/>
      <c r="BB771" s="8"/>
      <c r="BC771" s="47"/>
      <c r="BD771" s="47"/>
      <c r="BE771" s="8"/>
      <c r="BF771" s="8"/>
      <c r="BG771" s="47"/>
      <c r="BH771" s="47"/>
      <c r="BI771" s="8"/>
      <c r="BJ771" s="3"/>
      <c r="BK771" s="48"/>
      <c r="BL771" s="47"/>
      <c r="BM771" s="46"/>
      <c r="BN771" s="46"/>
      <c r="BO771" s="24">
        <f>AL771+AN771+AP771+AR771+AT771+AV771+AX771+AZ771+BB771+BD771+BF771+BH771+BJ771+BL771</f>
        <v>2000</v>
      </c>
      <c r="BP771" s="28">
        <f>AJ771-BO771</f>
        <v>-274538.25</v>
      </c>
      <c r="BQ771" s="2">
        <v>45442</v>
      </c>
    </row>
    <row r="772" spans="1:73" hidden="true" s="13" customFormat="1">
      <c r="D772" s="13" t="s">
        <v>10</v>
      </c>
      <c r="E772" s="10">
        <v>45443</v>
      </c>
      <c r="F772" s="10"/>
      <c r="G772" s="54"/>
      <c r="H772" s="11">
        <f>F95*50%</f>
        <v>1492.875</v>
      </c>
      <c r="I772" s="121">
        <v>2156</v>
      </c>
      <c r="J772" s="11">
        <f>(G772+H772)-I772</f>
        <v>-663.125</v>
      </c>
      <c r="K772" s="11">
        <f>J772+O771</f>
        <v>-46673.57</v>
      </c>
      <c r="L772" s="11"/>
      <c r="M772" s="11"/>
      <c r="N772" s="26">
        <f>I772+M772</f>
        <v>2156</v>
      </c>
      <c r="O772" s="11">
        <f>K772-M772</f>
        <v>-46673.57</v>
      </c>
      <c r="P772" s="13" t="s">
        <v>10</v>
      </c>
      <c r="Q772" s="10">
        <v>45443</v>
      </c>
      <c r="R772" s="10"/>
      <c r="S772" s="53"/>
      <c r="T772" s="11">
        <f>R95*45%</f>
        <v>3502.8</v>
      </c>
      <c r="U772" s="12">
        <v>570</v>
      </c>
      <c r="V772" s="11">
        <f>(S772+T772)-U772</f>
        <v>2932.8</v>
      </c>
      <c r="W772" s="11">
        <f>V772+AA771</f>
        <v>-18342.635</v>
      </c>
      <c r="X772" s="11"/>
      <c r="Y772" s="11"/>
      <c r="Z772" s="26">
        <f>U772+Y772</f>
        <v>570</v>
      </c>
      <c r="AA772" s="53">
        <f>W772-Y772</f>
        <v>-18342.635</v>
      </c>
      <c r="AB772" s="13" t="s">
        <v>10</v>
      </c>
      <c r="AC772" s="20">
        <v>45443</v>
      </c>
      <c r="AD772" s="14"/>
      <c r="AE772" s="27"/>
      <c r="AF772" s="11">
        <f>AD95-H772-T772</f>
        <v>5774.075</v>
      </c>
      <c r="AG772" s="11"/>
      <c r="AH772" s="15">
        <v>870.2</v>
      </c>
      <c r="AI772" s="11">
        <f>(AE772+AF772)-AH772</f>
        <v>4903.875</v>
      </c>
      <c r="AJ772" s="11">
        <f>AI772+BP771</f>
        <v>-269634.375</v>
      </c>
      <c r="AK772" s="15" t="s">
        <v>98</v>
      </c>
      <c r="AL772" s="15">
        <f>(1000)</f>
        <v>1000</v>
      </c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1"/>
      <c r="BB772" s="15"/>
      <c r="BC772" s="15"/>
      <c r="BD772" s="15"/>
      <c r="BE772" s="15"/>
      <c r="BF772" s="15"/>
      <c r="BG772" s="15"/>
      <c r="BH772" s="15"/>
      <c r="BI772" s="15"/>
      <c r="BJ772" s="11"/>
      <c r="BK772" s="15"/>
      <c r="BL772" s="15"/>
      <c r="BM772" s="23"/>
      <c r="BN772" s="23"/>
      <c r="BO772" s="23">
        <f>AL772+AN772+AP772+AR772+AT772+AV772+AX772+AZ772+BB772+BD772+BF772+BH772+BJ772+BL772</f>
        <v>1000</v>
      </c>
      <c r="BP772" s="11">
        <f>AJ772-BO772</f>
        <v>-270634.375</v>
      </c>
      <c r="BQ772" s="10">
        <v>45443</v>
      </c>
    </row>
    <row r="773" spans="1:73" hidden="true">
      <c r="D773" s="9" t="s">
        <v>11</v>
      </c>
      <c r="E773" s="2">
        <v>45444</v>
      </c>
      <c r="F773" s="38"/>
      <c r="G773" s="52"/>
      <c r="H773" s="4">
        <f>F96*50%</f>
        <v>3573.225</v>
      </c>
      <c r="I773" s="120">
        <v>1345</v>
      </c>
      <c r="J773" s="4">
        <f>(G773+H773)-I773</f>
        <v>2228.225</v>
      </c>
      <c r="K773" s="4">
        <f>J773+O772</f>
        <v>-44445.345</v>
      </c>
      <c r="L773" s="3"/>
      <c r="M773" s="3"/>
      <c r="N773" s="33">
        <f>I773+M773</f>
        <v>1345</v>
      </c>
      <c r="O773" s="28">
        <f>K773-M773</f>
        <v>-44445.345</v>
      </c>
      <c r="P773" s="9" t="s">
        <v>11</v>
      </c>
      <c r="Q773" s="2">
        <v>45444</v>
      </c>
      <c r="R773" s="38"/>
      <c r="S773" s="52"/>
      <c r="T773" s="4">
        <f>R96*45%</f>
        <v>4519.8</v>
      </c>
      <c r="U773" s="5">
        <v>1645.15</v>
      </c>
      <c r="V773" s="4">
        <f>(S773+T773)-U773</f>
        <v>2874.65</v>
      </c>
      <c r="W773" s="4">
        <f>V773+AA772</f>
        <v>-15467.985</v>
      </c>
      <c r="X773" s="3" t="s">
        <v>154</v>
      </c>
      <c r="Y773" s="3">
        <f>(25773)</f>
        <v>25773</v>
      </c>
      <c r="Z773" s="25">
        <f>U773+Y773</f>
        <v>27418.15</v>
      </c>
      <c r="AA773" s="76">
        <f>W773-Y773</f>
        <v>-41240.985</v>
      </c>
      <c r="AB773" s="9" t="s">
        <v>11</v>
      </c>
      <c r="AC773" s="19">
        <v>45444</v>
      </c>
      <c r="AD773" s="41"/>
      <c r="AE773" s="42"/>
      <c r="AF773" s="4">
        <f>AD96-H773-T773</f>
        <v>9097.425</v>
      </c>
      <c r="AG773" s="3"/>
      <c r="AH773" s="8">
        <v>1030.95</v>
      </c>
      <c r="AI773" s="4">
        <f>(AE773+AF773)-AH773</f>
        <v>8066.475</v>
      </c>
      <c r="AJ773" s="4">
        <f>AI773+BP772</f>
        <v>-262567.9</v>
      </c>
      <c r="AK773" s="8" t="s">
        <v>98</v>
      </c>
      <c r="AL773" s="8">
        <f>(1000)</f>
        <v>1000</v>
      </c>
      <c r="AM773" s="47" t="s">
        <v>192</v>
      </c>
      <c r="AN773" s="47">
        <f>(4500)</f>
        <v>4500</v>
      </c>
      <c r="AO773" s="8"/>
      <c r="AP773" s="8"/>
      <c r="AQ773" s="47"/>
      <c r="AR773" s="47"/>
      <c r="AS773" s="8"/>
      <c r="AT773" s="8"/>
      <c r="AU773" s="47"/>
      <c r="AV773" s="47"/>
      <c r="AW773" s="8"/>
      <c r="AX773" s="8"/>
      <c r="AY773" s="47"/>
      <c r="AZ773" s="47"/>
      <c r="BA773" s="8" t="s">
        <v>193</v>
      </c>
      <c r="BB773" s="8">
        <v>17460.6555</v>
      </c>
      <c r="BC773" s="47"/>
      <c r="BD773" s="47"/>
      <c r="BE773" s="8"/>
      <c r="BF773" s="8"/>
      <c r="BG773" s="47"/>
      <c r="BH773" s="47"/>
      <c r="BI773" s="3"/>
      <c r="BJ773" s="3"/>
      <c r="BK773" s="48"/>
      <c r="BL773" s="47"/>
      <c r="BM773" s="46"/>
      <c r="BN773" s="46"/>
      <c r="BO773" s="24">
        <f>AL773+AN773+AP773+AR773+AT773+AV773+AX773+AZ773+BB773+BD773+BF773+BH773+BJ773+BL773</f>
        <v>22960.6555</v>
      </c>
      <c r="BP773" s="28">
        <f>AJ773-BO773</f>
        <v>-285528.5555</v>
      </c>
      <c r="BQ773" s="2">
        <v>45444</v>
      </c>
    </row>
    <row r="774" spans="1:73" hidden="true">
      <c r="D774" s="9" t="s">
        <v>12</v>
      </c>
      <c r="E774" s="2">
        <v>45445</v>
      </c>
      <c r="F774" s="38"/>
      <c r="G774" s="51"/>
      <c r="H774" s="4">
        <f>F97*50%</f>
        <v>2218.2</v>
      </c>
      <c r="I774" s="120">
        <v>3510</v>
      </c>
      <c r="J774" s="4">
        <f>(G774+H774)-I774</f>
        <v>-1291.8</v>
      </c>
      <c r="K774" s="4">
        <f>J774+O773</f>
        <v>-45737.145</v>
      </c>
      <c r="L774" s="3"/>
      <c r="M774" s="3"/>
      <c r="N774" s="33">
        <f>I774+M774</f>
        <v>3510</v>
      </c>
      <c r="O774" s="28">
        <f>K774-M774</f>
        <v>-45737.145</v>
      </c>
      <c r="P774" s="9" t="s">
        <v>12</v>
      </c>
      <c r="Q774" s="2">
        <v>45445</v>
      </c>
      <c r="R774" s="38"/>
      <c r="S774" s="52"/>
      <c r="T774" s="4">
        <f>R97*45%</f>
        <v>5038.2</v>
      </c>
      <c r="U774" s="5"/>
      <c r="V774" s="4">
        <f>(S774+T774)-U774</f>
        <v>5038.2</v>
      </c>
      <c r="W774" s="4">
        <f>V774+AA773</f>
        <v>-36202.785</v>
      </c>
      <c r="X774" s="3"/>
      <c r="Y774" s="3"/>
      <c r="Z774" s="25">
        <f>U774+Y774</f>
        <v>0</v>
      </c>
      <c r="AA774" s="76">
        <f>W774-Y774</f>
        <v>-36202.785</v>
      </c>
      <c r="AB774" s="9" t="s">
        <v>12</v>
      </c>
      <c r="AC774" s="19">
        <v>45445</v>
      </c>
      <c r="AD774" s="41"/>
      <c r="AE774" s="42"/>
      <c r="AF774" s="4">
        <f>AD97-H774-T774</f>
        <v>8376</v>
      </c>
      <c r="AG774" s="3"/>
      <c r="AH774" s="8">
        <v>1551</v>
      </c>
      <c r="AI774" s="4">
        <f>(AE774+AF774)-AH774</f>
        <v>6825</v>
      </c>
      <c r="AJ774" s="4">
        <f>AI774+BP773</f>
        <v>-278703.5555</v>
      </c>
      <c r="AK774" s="8" t="s">
        <v>98</v>
      </c>
      <c r="AL774" s="8">
        <f>(1000)</f>
        <v>1000</v>
      </c>
      <c r="AM774" s="47"/>
      <c r="AN774" s="47"/>
      <c r="AO774" s="8"/>
      <c r="AP774" s="8"/>
      <c r="AQ774" s="47"/>
      <c r="AR774" s="47"/>
      <c r="AS774" s="8"/>
      <c r="AT774" s="8"/>
      <c r="AU774" s="47"/>
      <c r="AV774" s="47"/>
      <c r="AW774" s="8"/>
      <c r="AX774" s="8"/>
      <c r="AY774" s="47"/>
      <c r="AZ774" s="47"/>
      <c r="BA774" s="8"/>
      <c r="BB774" s="8"/>
      <c r="BC774" s="47"/>
      <c r="BD774" s="47"/>
      <c r="BE774" s="8"/>
      <c r="BF774" s="8"/>
      <c r="BG774" s="47"/>
      <c r="BH774" s="47"/>
      <c r="BI774" s="3"/>
      <c r="BJ774" s="3"/>
      <c r="BK774" s="48"/>
      <c r="BL774" s="47"/>
      <c r="BM774" s="46"/>
      <c r="BN774" s="46"/>
      <c r="BO774" s="24">
        <f>AL774+AN774+AP774+AR774+AT774+AV774+AX774+AZ774+BB774+BD774+BF774+BH774+BJ774+BL774</f>
        <v>1000</v>
      </c>
      <c r="BP774" s="28">
        <f>AJ774-BO774</f>
        <v>-279703.5555</v>
      </c>
      <c r="BQ774" s="2">
        <v>45445</v>
      </c>
      <c r="BU774">
        <v>280766</v>
      </c>
    </row>
    <row r="775" spans="1:73" hidden="true">
      <c r="D775" s="9" t="s">
        <v>13</v>
      </c>
      <c r="E775" s="2">
        <v>45446</v>
      </c>
      <c r="F775" s="38"/>
      <c r="G775" s="51"/>
      <c r="H775" s="4">
        <f>F98*50%</f>
        <v>1888.325</v>
      </c>
      <c r="I775" s="120">
        <v>2002.6</v>
      </c>
      <c r="J775" s="4">
        <f>(G775+H775)-I775</f>
        <v>-114.275</v>
      </c>
      <c r="K775" s="4">
        <f>J775+O774</f>
        <v>-45851.42</v>
      </c>
      <c r="L775" s="3"/>
      <c r="M775" s="3"/>
      <c r="N775" s="33">
        <f>I775+M775</f>
        <v>2002.6</v>
      </c>
      <c r="O775" s="28">
        <f>K775-M775</f>
        <v>-45851.42</v>
      </c>
      <c r="P775" s="9" t="s">
        <v>13</v>
      </c>
      <c r="Q775" s="2">
        <v>45446</v>
      </c>
      <c r="R775" s="38"/>
      <c r="S775" s="52"/>
      <c r="T775" s="4">
        <f>R98*45%</f>
        <v>3298.95</v>
      </c>
      <c r="U775" s="5">
        <v>1212</v>
      </c>
      <c r="V775" s="4">
        <f>(S775+T775)-U775</f>
        <v>2086.95</v>
      </c>
      <c r="W775" s="4">
        <f>V775+AA774</f>
        <v>-34115.835</v>
      </c>
      <c r="X775" s="3"/>
      <c r="Y775" s="3"/>
      <c r="Z775" s="25">
        <f>U775+Y775</f>
        <v>1212</v>
      </c>
      <c r="AA775" s="76">
        <f>W775-Y775</f>
        <v>-34115.835</v>
      </c>
      <c r="AB775" s="9" t="s">
        <v>13</v>
      </c>
      <c r="AC775" s="19">
        <v>45446</v>
      </c>
      <c r="AD775" s="41"/>
      <c r="AE775" s="42"/>
      <c r="AF775" s="4">
        <f>AD98-H775-T775</f>
        <v>5920.375</v>
      </c>
      <c r="AG775" s="3"/>
      <c r="AH775" s="8">
        <v>815.8</v>
      </c>
      <c r="AI775" s="4">
        <f>(AE775+AF775)-AH775</f>
        <v>5104.575</v>
      </c>
      <c r="AJ775" s="4">
        <f>AI775+BP774</f>
        <v>-274598.9805</v>
      </c>
      <c r="AK775" s="8" t="s">
        <v>98</v>
      </c>
      <c r="AL775" s="8">
        <f>(1000)</f>
        <v>1000</v>
      </c>
      <c r="AM775" s="47"/>
      <c r="AN775" s="47"/>
      <c r="AO775" s="8"/>
      <c r="AP775" s="8"/>
      <c r="AQ775" s="47"/>
      <c r="AR775" s="47"/>
      <c r="AS775" s="8"/>
      <c r="AT775" s="8"/>
      <c r="AU775" s="47"/>
      <c r="AV775" s="47"/>
      <c r="AW775" s="8"/>
      <c r="AX775" s="8"/>
      <c r="AY775" s="47"/>
      <c r="AZ775" s="47"/>
      <c r="BA775" s="8"/>
      <c r="BB775" s="8"/>
      <c r="BC775" s="47"/>
      <c r="BD775" s="47"/>
      <c r="BE775" s="8"/>
      <c r="BF775" s="8"/>
      <c r="BG775" s="47"/>
      <c r="BH775" s="47"/>
      <c r="BI775" s="8"/>
      <c r="BJ775" s="3"/>
      <c r="BK775" s="48"/>
      <c r="BL775" s="47"/>
      <c r="BM775" s="46"/>
      <c r="BN775" s="46"/>
      <c r="BO775" s="24">
        <f>AL775+AN775+AP775+AR775+AT775+AV775+AX775+AZ775+BB775+BD775+BF775+BH775+BJ775+BL775</f>
        <v>1000</v>
      </c>
      <c r="BP775" s="28">
        <f>AJ775-BO775</f>
        <v>-275598.9805</v>
      </c>
      <c r="BQ775" s="2">
        <v>45446</v>
      </c>
      <c r="BU775">
        <v>89415</v>
      </c>
    </row>
    <row r="776" spans="1:73" hidden="true">
      <c r="D776" s="9" t="s">
        <v>14</v>
      </c>
      <c r="E776" s="2">
        <v>45447</v>
      </c>
      <c r="F776" s="38"/>
      <c r="G776" s="51"/>
      <c r="H776" s="4">
        <f>F99*50%</f>
        <v>2309.725</v>
      </c>
      <c r="I776" s="120">
        <v>1692.3</v>
      </c>
      <c r="J776" s="4">
        <f>(G776+H776)-I776</f>
        <v>617.425</v>
      </c>
      <c r="K776" s="4">
        <f>J776+O775</f>
        <v>-45233.995</v>
      </c>
      <c r="L776" s="3"/>
      <c r="M776" s="3"/>
      <c r="N776" s="33">
        <f>I776+M776</f>
        <v>1692.3</v>
      </c>
      <c r="O776" s="28">
        <f>K776-M776</f>
        <v>-45233.995</v>
      </c>
      <c r="P776" s="9" t="s">
        <v>14</v>
      </c>
      <c r="Q776" s="2">
        <v>45447</v>
      </c>
      <c r="R776" s="38"/>
      <c r="S776" s="52"/>
      <c r="T776" s="4">
        <f>R99*45%</f>
        <v>2470.5</v>
      </c>
      <c r="U776" s="5"/>
      <c r="V776" s="4">
        <f>(S776+T776)-U776</f>
        <v>2470.5</v>
      </c>
      <c r="W776" s="4">
        <f>V776+AA775</f>
        <v>-31645.335</v>
      </c>
      <c r="X776" s="3" t="s">
        <v>179</v>
      </c>
      <c r="Y776" s="3">
        <f>(15000)</f>
        <v>15000</v>
      </c>
      <c r="Z776" s="25">
        <f>U776+Y776</f>
        <v>15000</v>
      </c>
      <c r="AA776" s="76">
        <f>W776-Y776</f>
        <v>-46645.335</v>
      </c>
      <c r="AB776" s="9" t="s">
        <v>14</v>
      </c>
      <c r="AC776" s="19">
        <v>45447</v>
      </c>
      <c r="AD776" s="41"/>
      <c r="AE776" s="42"/>
      <c r="AF776" s="4">
        <f>AD99-H776-T776</f>
        <v>5329.225</v>
      </c>
      <c r="AG776" s="3"/>
      <c r="AH776" s="8">
        <v>809</v>
      </c>
      <c r="AI776" s="4">
        <f>(AE776+AF776)-AH776</f>
        <v>4520.225</v>
      </c>
      <c r="AJ776" s="4">
        <f>AI776+BP775</f>
        <v>-271078.7555</v>
      </c>
      <c r="AK776" s="8" t="s">
        <v>157</v>
      </c>
      <c r="AL776" s="8">
        <f>(1000+4078)</f>
        <v>5078</v>
      </c>
      <c r="AM776" s="47"/>
      <c r="AN776" s="47"/>
      <c r="AO776" s="8"/>
      <c r="AP776" s="8"/>
      <c r="AQ776" s="47"/>
      <c r="AR776" s="47"/>
      <c r="AS776" s="8"/>
      <c r="AT776" s="8"/>
      <c r="AU776" s="47"/>
      <c r="AV776" s="47"/>
      <c r="AW776" s="8"/>
      <c r="AX776" s="8"/>
      <c r="AY776" s="47" t="s">
        <v>194</v>
      </c>
      <c r="AZ776" s="47">
        <f>(700+312.28)</f>
        <v>1012.28</v>
      </c>
      <c r="BA776" s="3"/>
      <c r="BB776" s="8"/>
      <c r="BC776" s="47"/>
      <c r="BD776" s="47"/>
      <c r="BE776" s="8"/>
      <c r="BF776" s="8"/>
      <c r="BG776" s="47"/>
      <c r="BH776" s="47"/>
      <c r="BI776" s="8"/>
      <c r="BJ776" s="3"/>
      <c r="BK776" s="48"/>
      <c r="BL776" s="47"/>
      <c r="BM776" s="46"/>
      <c r="BN776" s="46"/>
      <c r="BO776" s="24">
        <f>AL776+AN776+AP776+AR776+AT776+AV776+AX776+AZ776+BB776+BD776+BF776+BH776+BJ776+BL776</f>
        <v>6090.28</v>
      </c>
      <c r="BP776" s="28">
        <f>AJ776-BO776</f>
        <v>-277169.0355</v>
      </c>
      <c r="BQ776" s="2">
        <v>45447</v>
      </c>
      <c r="BU776">
        <v>39693</v>
      </c>
    </row>
    <row r="777" spans="1:73" hidden="true">
      <c r="D777" s="9" t="s">
        <v>15</v>
      </c>
      <c r="E777" s="2">
        <v>45448</v>
      </c>
      <c r="F777" s="38"/>
      <c r="G777" s="51"/>
      <c r="H777" s="4">
        <f>F100*50%</f>
        <v>1634.3</v>
      </c>
      <c r="I777" s="120">
        <v>449</v>
      </c>
      <c r="J777" s="4">
        <f>(G777+H777)-I777</f>
        <v>1185.3</v>
      </c>
      <c r="K777" s="4">
        <f>J777+O776</f>
        <v>-44048.695</v>
      </c>
      <c r="L777" s="3" t="s">
        <v>70</v>
      </c>
      <c r="M777" s="3">
        <f>(1645)</f>
        <v>1645</v>
      </c>
      <c r="N777" s="33">
        <f>I777+M777</f>
        <v>2094</v>
      </c>
      <c r="O777" s="28">
        <f>K777-M777</f>
        <v>-45693.695</v>
      </c>
      <c r="P777" s="9" t="s">
        <v>15</v>
      </c>
      <c r="Q777" s="2">
        <v>45448</v>
      </c>
      <c r="R777" s="38"/>
      <c r="S777" s="52"/>
      <c r="T777" s="4">
        <f>R100*45%</f>
        <v>3236.4</v>
      </c>
      <c r="U777" s="5"/>
      <c r="V777" s="4">
        <f>(S777+T777)-U777</f>
        <v>3236.4</v>
      </c>
      <c r="W777" s="4">
        <f>V777+AA776</f>
        <v>-43408.935</v>
      </c>
      <c r="X777" s="3"/>
      <c r="Y777" s="3"/>
      <c r="Z777" s="25">
        <f>U777+Y777</f>
        <v>0</v>
      </c>
      <c r="AA777" s="76">
        <f>W777-Y777</f>
        <v>-43408.935</v>
      </c>
      <c r="AB777" s="9" t="s">
        <v>15</v>
      </c>
      <c r="AC777" s="19">
        <v>45448</v>
      </c>
      <c r="AD777" s="41"/>
      <c r="AE777" s="42"/>
      <c r="AF777" s="4">
        <f>AD100-H777-T777</f>
        <v>5589.9</v>
      </c>
      <c r="AG777" s="3"/>
      <c r="AH777" s="8">
        <v>814</v>
      </c>
      <c r="AI777" s="4">
        <f>(AE777+AF777)-AH777</f>
        <v>4775.9</v>
      </c>
      <c r="AJ777" s="4">
        <f>AI777+BP776</f>
        <v>-272393.1355</v>
      </c>
      <c r="AK777" s="8" t="s">
        <v>157</v>
      </c>
      <c r="AL777" s="8">
        <f>(1000+1000)</f>
        <v>2000</v>
      </c>
      <c r="AM777" s="47"/>
      <c r="AN777" s="47"/>
      <c r="AO777" s="8"/>
      <c r="AP777" s="8"/>
      <c r="AQ777" s="47"/>
      <c r="AR777" s="47"/>
      <c r="AS777" s="8"/>
      <c r="AT777" s="8"/>
      <c r="AU777" s="47"/>
      <c r="AV777" s="47"/>
      <c r="AW777" s="8"/>
      <c r="AX777" s="8"/>
      <c r="AY777" s="47" t="s">
        <v>195</v>
      </c>
      <c r="AZ777" s="47">
        <f>(1250)</f>
        <v>1250</v>
      </c>
      <c r="BA777" s="8"/>
      <c r="BB777" s="8"/>
      <c r="BC777" s="47"/>
      <c r="BD777" s="47"/>
      <c r="BE777" s="8"/>
      <c r="BF777" s="8"/>
      <c r="BG777" s="47"/>
      <c r="BH777" s="47"/>
      <c r="BI777" s="8"/>
      <c r="BJ777" s="3"/>
      <c r="BK777" s="47"/>
      <c r="BL777" s="47"/>
      <c r="BM777" s="46"/>
      <c r="BN777" s="46"/>
      <c r="BO777" s="24">
        <f>AL777+AN777+AP777+AR777+AT777+AV777+AX777+AZ777+BB777+BD777+BF777+BH777+BJ777+BL777</f>
        <v>3250</v>
      </c>
      <c r="BP777" s="28">
        <f>AJ777-BO777</f>
        <v>-275643.1355</v>
      </c>
      <c r="BQ777" s="2">
        <v>45448</v>
      </c>
    </row>
    <row r="778" spans="1:73" hidden="true">
      <c r="D778" s="9" t="s">
        <v>16</v>
      </c>
      <c r="E778" s="2">
        <v>45449</v>
      </c>
      <c r="F778" s="38"/>
      <c r="G778" s="51"/>
      <c r="H778" s="4">
        <f>F101*50%</f>
        <v>1378.425</v>
      </c>
      <c r="I778" s="120">
        <v>1502</v>
      </c>
      <c r="J778" s="4">
        <f>(G778+H778)-I778</f>
        <v>-123.575</v>
      </c>
      <c r="K778" s="4">
        <f>J778+O777</f>
        <v>-45817.27</v>
      </c>
      <c r="L778" s="3"/>
      <c r="M778" s="3"/>
      <c r="N778" s="33">
        <f>I778+M778</f>
        <v>1502</v>
      </c>
      <c r="O778" s="28">
        <f>K778-M778</f>
        <v>-45817.27</v>
      </c>
      <c r="P778" s="9" t="s">
        <v>16</v>
      </c>
      <c r="Q778" s="2">
        <v>45449</v>
      </c>
      <c r="R778" s="38"/>
      <c r="S778" s="52"/>
      <c r="T778" s="4">
        <f>R101*45%</f>
        <v>4084.65</v>
      </c>
      <c r="U778" s="5"/>
      <c r="V778" s="4">
        <f>(S778+T778)-U778</f>
        <v>4084.65</v>
      </c>
      <c r="W778" s="4">
        <f>V778+AA777</f>
        <v>-39324.285</v>
      </c>
      <c r="X778" s="3" t="s">
        <v>90</v>
      </c>
      <c r="Y778" s="3">
        <f>(6225)</f>
        <v>6225</v>
      </c>
      <c r="Z778" s="25">
        <f>U778+Y778</f>
        <v>6225</v>
      </c>
      <c r="AA778" s="76">
        <f>W778-Y778</f>
        <v>-45549.285</v>
      </c>
      <c r="AB778" s="9" t="s">
        <v>16</v>
      </c>
      <c r="AC778" s="19">
        <v>45449</v>
      </c>
      <c r="AD778" s="41"/>
      <c r="AE778" s="42"/>
      <c r="AF778" s="4">
        <f>AD101-H778-T778</f>
        <v>6370.775</v>
      </c>
      <c r="AG778" s="3"/>
      <c r="AH778" s="8">
        <v>1107.8</v>
      </c>
      <c r="AI778" s="4">
        <f>(AE778+AF778)-AH778</f>
        <v>5262.975</v>
      </c>
      <c r="AJ778" s="4">
        <f>AI778+BP777</f>
        <v>-270380.1605</v>
      </c>
      <c r="AK778" s="3" t="s">
        <v>157</v>
      </c>
      <c r="AL778" s="8">
        <f>(1000+24918.23)</f>
        <v>25918.23</v>
      </c>
      <c r="AM778" s="47" t="s">
        <v>196</v>
      </c>
      <c r="AN778" s="47">
        <f>(1800+8561.35)</f>
        <v>10361.35</v>
      </c>
      <c r="AO778" s="8"/>
      <c r="AP778" s="8"/>
      <c r="AQ778" s="47"/>
      <c r="AR778" s="47"/>
      <c r="AS778" s="8"/>
      <c r="AT778" s="8"/>
      <c r="AU778" s="47"/>
      <c r="AV778" s="47"/>
      <c r="AW778" s="8"/>
      <c r="AX778" s="8"/>
      <c r="AY778" s="47"/>
      <c r="AZ778" s="47"/>
      <c r="BA778" s="3"/>
      <c r="BB778" s="8"/>
      <c r="BC778" s="47"/>
      <c r="BD778" s="47"/>
      <c r="BE778" s="8"/>
      <c r="BF778" s="8"/>
      <c r="BG778" s="47"/>
      <c r="BH778" s="47"/>
      <c r="BI778" s="8"/>
      <c r="BJ778" s="3"/>
      <c r="BK778" s="47"/>
      <c r="BL778" s="47"/>
      <c r="BM778" s="46"/>
      <c r="BN778" s="46"/>
      <c r="BO778" s="24">
        <f>AL778+AN778+AP778+AR778+AT778+AV778+AX778+AZ778+BB778+BD778+BF778+BH778+BJ778+BL778</f>
        <v>36279.58</v>
      </c>
      <c r="BP778" s="28">
        <f>AJ778-BO778</f>
        <v>-306659.7405</v>
      </c>
      <c r="BQ778" s="2">
        <v>45449</v>
      </c>
      <c r="BU778">
        <f>SUM(BU774:BU777)</f>
        <v>409874</v>
      </c>
    </row>
    <row r="779" spans="1:73" hidden="true">
      <c r="D779" s="9" t="s">
        <v>10</v>
      </c>
      <c r="E779" s="2">
        <v>45450</v>
      </c>
      <c r="F779" s="38"/>
      <c r="G779" s="51"/>
      <c r="H779" s="4">
        <f>F102*50%</f>
        <v>1431.85</v>
      </c>
      <c r="I779" s="120">
        <v>1193</v>
      </c>
      <c r="J779" s="4">
        <f>(G779+H779)-I779</f>
        <v>238.85</v>
      </c>
      <c r="K779" s="4">
        <f>J779+O778</f>
        <v>-45578.42</v>
      </c>
      <c r="L779" s="3"/>
      <c r="M779" s="3"/>
      <c r="N779" s="33">
        <f>I779+M779</f>
        <v>1193</v>
      </c>
      <c r="O779" s="28">
        <f>K779-M779</f>
        <v>-45578.42</v>
      </c>
      <c r="P779" s="9" t="s">
        <v>10</v>
      </c>
      <c r="Q779" s="2">
        <v>45450</v>
      </c>
      <c r="R779" s="38"/>
      <c r="S779" s="52"/>
      <c r="T779" s="4">
        <f>R102*45%</f>
        <v>4727.25</v>
      </c>
      <c r="U779" s="5">
        <v>1948</v>
      </c>
      <c r="V779" s="4">
        <f>(S779+T779)-U779</f>
        <v>2779.25</v>
      </c>
      <c r="W779" s="4">
        <f>V779+AA778</f>
        <v>-42770.035</v>
      </c>
      <c r="X779" s="3"/>
      <c r="Y779" s="3"/>
      <c r="Z779" s="25">
        <f>U779+Y779</f>
        <v>1948</v>
      </c>
      <c r="AA779" s="76">
        <f>W779-Y779</f>
        <v>-42770.035</v>
      </c>
      <c r="AB779" s="9" t="s">
        <v>10</v>
      </c>
      <c r="AC779" s="19">
        <v>45450</v>
      </c>
      <c r="AD779" s="41"/>
      <c r="AE779" s="42"/>
      <c r="AF779" s="4">
        <f>AD102-H779-T779</f>
        <v>7209.6</v>
      </c>
      <c r="AG779" s="3"/>
      <c r="AH779" s="8">
        <v>1387</v>
      </c>
      <c r="AI779" s="4">
        <f>(AE779+AF779)-AH779</f>
        <v>5822.6</v>
      </c>
      <c r="AJ779" s="4">
        <f>AI779+BP778</f>
        <v>-300837.1405</v>
      </c>
      <c r="AK779" s="8" t="s">
        <v>197</v>
      </c>
      <c r="AL779" s="8">
        <f>(1000+4800+2500)</f>
        <v>8300</v>
      </c>
      <c r="AM779" s="47"/>
      <c r="AN779" s="47"/>
      <c r="AO779" s="8"/>
      <c r="AP779" s="8"/>
      <c r="AQ779" s="47"/>
      <c r="AR779" s="47"/>
      <c r="AS779" s="8"/>
      <c r="AT779" s="8"/>
      <c r="AU779" s="47"/>
      <c r="AV779" s="47"/>
      <c r="AW779" s="8"/>
      <c r="AX779" s="8"/>
      <c r="AY779" s="47"/>
      <c r="AZ779" s="47"/>
      <c r="BA779" s="8" t="s">
        <v>198</v>
      </c>
      <c r="BB779" s="8">
        <f>(339+323+300)</f>
        <v>962</v>
      </c>
      <c r="BC779" s="47"/>
      <c r="BD779" s="47"/>
      <c r="BE779" s="8"/>
      <c r="BF779" s="8"/>
      <c r="BG779" s="47"/>
      <c r="BH779" s="47"/>
      <c r="BI779" s="8"/>
      <c r="BJ779" s="3"/>
      <c r="BK779" s="47"/>
      <c r="BL779" s="47"/>
      <c r="BM779" s="46"/>
      <c r="BN779" s="46"/>
      <c r="BO779" s="24">
        <f>AL779+AN779+AP779+AR779+AT779+AV779+AX779+AZ779+BB779+BD779+BF779+BH779+BJ779+BL779</f>
        <v>9262</v>
      </c>
      <c r="BP779" s="28">
        <f>AJ779-BO779</f>
        <v>-310099.1405</v>
      </c>
      <c r="BQ779" s="2">
        <v>45450</v>
      </c>
      <c r="BU779" s="35">
        <v>31450.35</v>
      </c>
    </row>
    <row r="780" spans="1:73" hidden="true">
      <c r="D780" s="9" t="s">
        <v>11</v>
      </c>
      <c r="E780" s="2">
        <v>45451</v>
      </c>
      <c r="F780" s="38"/>
      <c r="G780" s="51"/>
      <c r="H780" s="4">
        <f>F103*50%</f>
        <v>2238.05</v>
      </c>
      <c r="I780" s="120">
        <v>1257</v>
      </c>
      <c r="J780" s="4">
        <f>(G780+H780)-I780</f>
        <v>981.05</v>
      </c>
      <c r="K780" s="4">
        <f>J780+O779</f>
        <v>-44597.37</v>
      </c>
      <c r="L780" s="3"/>
      <c r="M780" s="3"/>
      <c r="N780" s="33">
        <f>I780+M780</f>
        <v>1257</v>
      </c>
      <c r="O780" s="28">
        <f>K780-M780</f>
        <v>-44597.37</v>
      </c>
      <c r="P780" s="9" t="s">
        <v>11</v>
      </c>
      <c r="Q780" s="2">
        <v>45451</v>
      </c>
      <c r="R780" s="38"/>
      <c r="S780" s="52"/>
      <c r="T780" s="4">
        <f>R103*45%</f>
        <v>3742.2</v>
      </c>
      <c r="U780" s="5"/>
      <c r="V780" s="4">
        <f>(S780+T780)-U780</f>
        <v>3742.2</v>
      </c>
      <c r="W780" s="4">
        <f>V780+AA779</f>
        <v>-39027.835</v>
      </c>
      <c r="X780" s="3"/>
      <c r="Y780" s="3"/>
      <c r="Z780" s="25">
        <f>U780+Y780</f>
        <v>0</v>
      </c>
      <c r="AA780" s="76">
        <f>W780-Y780</f>
        <v>-39027.835</v>
      </c>
      <c r="AB780" s="9" t="s">
        <v>11</v>
      </c>
      <c r="AC780" s="19">
        <v>45451</v>
      </c>
      <c r="AD780" s="41"/>
      <c r="AE780" s="42"/>
      <c r="AF780" s="4">
        <f>AD103-H780-T780</f>
        <v>6811.85</v>
      </c>
      <c r="AG780" s="3"/>
      <c r="AH780" s="8">
        <v>1201</v>
      </c>
      <c r="AI780" s="4">
        <f>(AE780+AF780)-AH780</f>
        <v>5610.85</v>
      </c>
      <c r="AJ780" s="4">
        <f>AI780+BP779</f>
        <v>-304488.2905</v>
      </c>
      <c r="AK780" s="8" t="s">
        <v>157</v>
      </c>
      <c r="AL780" s="8">
        <f>(1000+10259.85)</f>
        <v>11259.85</v>
      </c>
      <c r="AM780" s="47"/>
      <c r="AN780" s="47"/>
      <c r="AO780" s="8"/>
      <c r="AP780" s="8"/>
      <c r="AQ780" s="47"/>
      <c r="AR780" s="47"/>
      <c r="AS780" s="8"/>
      <c r="AT780" s="8"/>
      <c r="AU780" s="47"/>
      <c r="AV780" s="47"/>
      <c r="AW780" s="8"/>
      <c r="AX780" s="8"/>
      <c r="AY780" s="47"/>
      <c r="AZ780" s="47"/>
      <c r="BA780" s="3"/>
      <c r="BB780" s="8"/>
      <c r="BC780" s="47"/>
      <c r="BD780" s="47"/>
      <c r="BE780" s="8"/>
      <c r="BF780" s="8"/>
      <c r="BG780" s="47"/>
      <c r="BH780" s="47"/>
      <c r="BI780" s="8"/>
      <c r="BJ780" s="3"/>
      <c r="BK780" s="47"/>
      <c r="BL780" s="47"/>
      <c r="BM780" s="46"/>
      <c r="BN780" s="46"/>
      <c r="BO780" s="24">
        <f>AL780+AN780+AP780+AR780+AT780+AV780+AX780+AZ780+BB780+BD780+BF780+BH780+BJ780+BL780</f>
        <v>11259.85</v>
      </c>
      <c r="BP780" s="28">
        <f>AJ780-BO780</f>
        <v>-315748.1405</v>
      </c>
      <c r="BQ780" s="2">
        <v>45451</v>
      </c>
    </row>
    <row r="781" spans="1:73" hidden="true">
      <c r="D781" s="9" t="s">
        <v>12</v>
      </c>
      <c r="E781" s="2">
        <v>45452</v>
      </c>
      <c r="F781" s="38"/>
      <c r="G781" s="51"/>
      <c r="H781" s="4">
        <f>F104*50%</f>
        <v>2710.85</v>
      </c>
      <c r="I781" s="120"/>
      <c r="J781" s="4">
        <f>(G781+H781)-I781</f>
        <v>2710.85</v>
      </c>
      <c r="K781" s="4">
        <f>J781+O780</f>
        <v>-41886.52</v>
      </c>
      <c r="L781" s="3"/>
      <c r="M781" s="3"/>
      <c r="N781" s="33">
        <f>I781+M781</f>
        <v>0</v>
      </c>
      <c r="O781" s="28">
        <f>K781-M781</f>
        <v>-41886.52</v>
      </c>
      <c r="P781" s="9" t="s">
        <v>12</v>
      </c>
      <c r="Q781" s="2">
        <v>45452</v>
      </c>
      <c r="R781" s="38"/>
      <c r="S781" s="52"/>
      <c r="T781" s="4">
        <f>R104*45%</f>
        <v>5215.5</v>
      </c>
      <c r="U781" s="5"/>
      <c r="V781" s="4">
        <f>(S781+T781)-U781</f>
        <v>5215.5</v>
      </c>
      <c r="W781" s="4">
        <f>V781+AA780</f>
        <v>-33812.335</v>
      </c>
      <c r="X781" s="3"/>
      <c r="Y781" s="3"/>
      <c r="Z781" s="25">
        <f>U781+Y781</f>
        <v>0</v>
      </c>
      <c r="AA781" s="76">
        <f>W781-Y781</f>
        <v>-33812.335</v>
      </c>
      <c r="AB781" s="9" t="s">
        <v>12</v>
      </c>
      <c r="AC781" s="19">
        <v>45452</v>
      </c>
      <c r="AD781" s="41"/>
      <c r="AE781" s="42"/>
      <c r="AF781" s="4">
        <f>AD104-H781-T781</f>
        <v>9085.35</v>
      </c>
      <c r="AG781" s="3"/>
      <c r="AH781" s="8">
        <v>1995</v>
      </c>
      <c r="AI781" s="4">
        <f>(AE781+AF781)-AH781</f>
        <v>7090.35</v>
      </c>
      <c r="AJ781" s="4">
        <f>AI781+BP780</f>
        <v>-308657.7905</v>
      </c>
      <c r="AK781" s="8" t="s">
        <v>157</v>
      </c>
      <c r="AL781" s="8">
        <f>(1000+15368.08)</f>
        <v>16368.08</v>
      </c>
      <c r="AM781" s="47" t="s">
        <v>117</v>
      </c>
      <c r="AN781" s="47">
        <f>(2000)</f>
        <v>2000</v>
      </c>
      <c r="AO781" s="8"/>
      <c r="AP781" s="8"/>
      <c r="AQ781" s="47"/>
      <c r="AR781" s="47"/>
      <c r="AS781" s="8"/>
      <c r="AT781" s="8"/>
      <c r="AU781" s="47"/>
      <c r="AV781" s="47"/>
      <c r="AW781" s="8"/>
      <c r="AX781" s="8"/>
      <c r="AY781" s="47"/>
      <c r="AZ781" s="47"/>
      <c r="BA781" s="8"/>
      <c r="BB781" s="8"/>
      <c r="BC781" s="47"/>
      <c r="BD781" s="47"/>
      <c r="BE781" s="8"/>
      <c r="BF781" s="8"/>
      <c r="BG781" s="47"/>
      <c r="BH781" s="47"/>
      <c r="BI781" s="8"/>
      <c r="BJ781" s="3"/>
      <c r="BK781" s="47"/>
      <c r="BL781" s="47"/>
      <c r="BM781" s="46"/>
      <c r="BN781" s="46"/>
      <c r="BO781" s="24">
        <f>AL781+AN781+AP781+AR781+AT781+AV781+AX781+AZ781+BB781+BD781+BF781+BH781+BJ781+BL781</f>
        <v>18368.08</v>
      </c>
      <c r="BP781" s="28">
        <f>AJ781-BO781</f>
        <v>-327025.8705</v>
      </c>
      <c r="BQ781" s="2">
        <v>45452</v>
      </c>
      <c r="BU781">
        <f>SUM(BU778:BU780)</f>
        <v>441324.35</v>
      </c>
    </row>
    <row r="782" spans="1:73" hidden="true">
      <c r="D782" s="9" t="s">
        <v>13</v>
      </c>
      <c r="E782" s="2">
        <v>45453</v>
      </c>
      <c r="F782" s="38"/>
      <c r="G782" s="51"/>
      <c r="H782" s="4">
        <f>F105*50%</f>
        <v>1791.775</v>
      </c>
      <c r="I782" s="120">
        <v>4211</v>
      </c>
      <c r="J782" s="4">
        <f>(G782+H782)-I782</f>
        <v>-2419.225</v>
      </c>
      <c r="K782" s="4">
        <f>J782+O781</f>
        <v>-44305.745</v>
      </c>
      <c r="L782" s="3"/>
      <c r="M782" s="3"/>
      <c r="N782" s="33">
        <f>I782+M782</f>
        <v>4211</v>
      </c>
      <c r="O782" s="28">
        <f>K782-M782</f>
        <v>-44305.745</v>
      </c>
      <c r="P782" s="9" t="s">
        <v>13</v>
      </c>
      <c r="Q782" s="2">
        <v>45453</v>
      </c>
      <c r="R782" s="38"/>
      <c r="S782" s="52"/>
      <c r="T782" s="4">
        <f>R105*45%</f>
        <v>3333.15</v>
      </c>
      <c r="U782" s="5"/>
      <c r="V782" s="4">
        <f>(S782+T782)-U782</f>
        <v>3333.15</v>
      </c>
      <c r="W782" s="4">
        <f>V782+AA781</f>
        <v>-30479.185</v>
      </c>
      <c r="X782" s="3"/>
      <c r="Y782" s="3"/>
      <c r="Z782" s="25">
        <f>U782+Y782</f>
        <v>0</v>
      </c>
      <c r="AA782" s="76">
        <f>W782-Y782</f>
        <v>-30479.185</v>
      </c>
      <c r="AB782" s="9" t="s">
        <v>13</v>
      </c>
      <c r="AC782" s="19">
        <v>45453</v>
      </c>
      <c r="AD782" s="41"/>
      <c r="AE782" s="42"/>
      <c r="AF782" s="4">
        <f>AD105-H782-T782</f>
        <v>5865.625</v>
      </c>
      <c r="AG782" s="3"/>
      <c r="AH782" s="8">
        <v>1695.6</v>
      </c>
      <c r="AI782" s="4">
        <f>(AE782+AF782)-AH782</f>
        <v>4170.025</v>
      </c>
      <c r="AJ782" s="4">
        <f>AI782+BP781</f>
        <v>-322855.8455</v>
      </c>
      <c r="AK782" s="8" t="s">
        <v>98</v>
      </c>
      <c r="AL782" s="8">
        <f>(1000+5000)</f>
        <v>6000</v>
      </c>
      <c r="AM782" s="47"/>
      <c r="AN782" s="47"/>
      <c r="AO782" s="8"/>
      <c r="AP782" s="8"/>
      <c r="AQ782" s="47"/>
      <c r="AR782" s="47"/>
      <c r="AS782" s="8"/>
      <c r="AT782" s="8"/>
      <c r="AU782" s="47"/>
      <c r="AV782" s="47"/>
      <c r="AW782" s="8"/>
      <c r="AX782" s="8"/>
      <c r="AY782" s="47"/>
      <c r="AZ782" s="47"/>
      <c r="BA782" s="3"/>
      <c r="BB782" s="8"/>
      <c r="BC782" s="47"/>
      <c r="BD782" s="47"/>
      <c r="BE782" s="8"/>
      <c r="BF782" s="8"/>
      <c r="BG782" s="47"/>
      <c r="BH782" s="47"/>
      <c r="BI782" s="8"/>
      <c r="BJ782" s="3"/>
      <c r="BK782" s="47"/>
      <c r="BL782" s="47"/>
      <c r="BM782" s="46"/>
      <c r="BN782" s="46"/>
      <c r="BO782" s="24">
        <f>AL782+AN782+AP782+AR782+AT782+AV782+AX782+AZ782+BB782+BD782+BF782+BH782+BJ782+BL782</f>
        <v>6000</v>
      </c>
      <c r="BP782" s="28">
        <f>AJ782-BO782</f>
        <v>-328855.8455</v>
      </c>
      <c r="BQ782" s="2">
        <v>45453</v>
      </c>
    </row>
    <row r="783" spans="1:73" hidden="true">
      <c r="D783" s="9" t="s">
        <v>14</v>
      </c>
      <c r="E783" s="2">
        <v>45454</v>
      </c>
      <c r="F783" s="38"/>
      <c r="G783" s="51"/>
      <c r="H783" s="4">
        <f>F106*50%</f>
        <v>2289.375</v>
      </c>
      <c r="I783" s="120">
        <v>1552.5</v>
      </c>
      <c r="J783" s="4">
        <f>(G783+H783)-I783</f>
        <v>736.875</v>
      </c>
      <c r="K783" s="4">
        <f>J783+O782</f>
        <v>-43568.87</v>
      </c>
      <c r="L783" s="3"/>
      <c r="M783" s="3"/>
      <c r="N783" s="33">
        <f>I783+M783</f>
        <v>1552.5</v>
      </c>
      <c r="O783" s="28">
        <f>K783-M783</f>
        <v>-43568.87</v>
      </c>
      <c r="P783" s="9" t="s">
        <v>14</v>
      </c>
      <c r="Q783" s="2">
        <v>45454</v>
      </c>
      <c r="R783" s="38"/>
      <c r="S783" s="52"/>
      <c r="T783" s="4">
        <f>R106*45%</f>
        <v>4398.3</v>
      </c>
      <c r="U783" s="5"/>
      <c r="V783" s="4">
        <f>(S783+T783)-U783</f>
        <v>4398.3</v>
      </c>
      <c r="W783" s="4">
        <f>V783+AA782</f>
        <v>-26080.885</v>
      </c>
      <c r="X783" s="3"/>
      <c r="Y783" s="3"/>
      <c r="Z783" s="25">
        <f>U783+Y783</f>
        <v>0</v>
      </c>
      <c r="AA783" s="76">
        <f>W783-Y783</f>
        <v>-26080.885</v>
      </c>
      <c r="AB783" s="9" t="s">
        <v>14</v>
      </c>
      <c r="AC783" s="19">
        <v>45454</v>
      </c>
      <c r="AD783" s="41"/>
      <c r="AE783" s="42"/>
      <c r="AF783" s="4">
        <f>AD106-H783-T783</f>
        <v>7665.075</v>
      </c>
      <c r="AG783" s="3"/>
      <c r="AH783" s="8">
        <v>1467.05</v>
      </c>
      <c r="AI783" s="4">
        <f>(AE783+AF783)-AH783</f>
        <v>6198.025</v>
      </c>
      <c r="AJ783" s="4">
        <f>AI783+BP782</f>
        <v>-322657.8205</v>
      </c>
      <c r="AK783" s="8" t="s">
        <v>199</v>
      </c>
      <c r="AL783" s="8">
        <f>(1000+2500+5000)</f>
        <v>8500</v>
      </c>
      <c r="AM783" s="47" t="s">
        <v>200</v>
      </c>
      <c r="AN783" s="47">
        <f>(2800+15000+13600+7000)</f>
        <v>38400</v>
      </c>
      <c r="AO783" s="8"/>
      <c r="AP783" s="8"/>
      <c r="AQ783" s="47"/>
      <c r="AR783" s="47"/>
      <c r="AS783" s="8"/>
      <c r="AT783" s="8"/>
      <c r="AU783" s="47"/>
      <c r="AV783" s="47"/>
      <c r="AW783" s="8"/>
      <c r="AX783" s="8"/>
      <c r="AY783" s="47"/>
      <c r="AZ783" s="47"/>
      <c r="BA783" s="8"/>
      <c r="BB783" s="8"/>
      <c r="BC783" s="47"/>
      <c r="BD783" s="47"/>
      <c r="BE783" s="8"/>
      <c r="BF783" s="8"/>
      <c r="BG783" s="47"/>
      <c r="BH783" s="47"/>
      <c r="BI783" s="8"/>
      <c r="BJ783" s="3"/>
      <c r="BK783" s="47"/>
      <c r="BL783" s="47"/>
      <c r="BM783" s="46"/>
      <c r="BN783" s="46"/>
      <c r="BO783" s="24">
        <f>AL783+AN783+AP783+AR783+AT783+AV783+AX783+AZ783+BB783+BD783+BF783+BH783+BJ783+BL783</f>
        <v>46900</v>
      </c>
      <c r="BP783" s="28">
        <f>AJ783-BO783</f>
        <v>-369557.8205</v>
      </c>
      <c r="BQ783" s="2">
        <v>45454</v>
      </c>
      <c r="BU783">
        <v>446667.1</v>
      </c>
    </row>
    <row r="784" spans="1:73" hidden="true">
      <c r="D784" s="9" t="s">
        <v>15</v>
      </c>
      <c r="E784" s="2">
        <v>45455</v>
      </c>
      <c r="F784" s="38"/>
      <c r="G784" s="51"/>
      <c r="H784" s="4">
        <f>F107*50%</f>
        <v>1936.025</v>
      </c>
      <c r="I784" s="120">
        <v>2021</v>
      </c>
      <c r="J784" s="4">
        <f>(G784+H784)-I784</f>
        <v>-84.975</v>
      </c>
      <c r="K784" s="4">
        <f>J784+O783</f>
        <v>-43653.845</v>
      </c>
      <c r="L784" s="3"/>
      <c r="M784" s="3"/>
      <c r="N784" s="33">
        <f>I784+M784</f>
        <v>2021</v>
      </c>
      <c r="O784" s="28">
        <f>K784-M784</f>
        <v>-43653.845</v>
      </c>
      <c r="P784" s="9" t="s">
        <v>15</v>
      </c>
      <c r="Q784" s="2">
        <v>45455</v>
      </c>
      <c r="R784" s="38"/>
      <c r="S784" s="52"/>
      <c r="T784" s="4">
        <f>R107*45%</f>
        <v>2876.85</v>
      </c>
      <c r="U784" s="5">
        <v>868</v>
      </c>
      <c r="V784" s="4">
        <f>(S784+T784)-U784</f>
        <v>2008.85</v>
      </c>
      <c r="W784" s="4">
        <f>V784+AA783</f>
        <v>-24072.035</v>
      </c>
      <c r="X784" s="3"/>
      <c r="Y784" s="3"/>
      <c r="Z784" s="25">
        <f>U784+Y784</f>
        <v>868</v>
      </c>
      <c r="AA784" s="76">
        <f>W784-Y784</f>
        <v>-24072.035</v>
      </c>
      <c r="AB784" s="9" t="s">
        <v>15</v>
      </c>
      <c r="AC784" s="19">
        <v>45455</v>
      </c>
      <c r="AD784" s="41"/>
      <c r="AE784" s="42"/>
      <c r="AF784" s="4">
        <f>AD107-H784-T784</f>
        <v>5452.175</v>
      </c>
      <c r="AG784" s="3"/>
      <c r="AH784" s="8">
        <v>1007.7</v>
      </c>
      <c r="AI784" s="4">
        <f>(AE784+AF784)-AH784</f>
        <v>4444.475</v>
      </c>
      <c r="AJ784" s="4">
        <f>AI784+BP783</f>
        <v>-365113.3455</v>
      </c>
      <c r="AK784" s="8" t="s">
        <v>157</v>
      </c>
      <c r="AL784" s="8">
        <f>(1000+9925.38)</f>
        <v>10925.38</v>
      </c>
      <c r="AM784" s="47" t="s">
        <v>201</v>
      </c>
      <c r="AN784" s="47">
        <f>(1200)</f>
        <v>1200</v>
      </c>
      <c r="AO784" s="8"/>
      <c r="AP784" s="8"/>
      <c r="AQ784" s="47"/>
      <c r="AR784" s="47"/>
      <c r="AS784" s="8"/>
      <c r="AT784" s="8"/>
      <c r="AU784" s="47"/>
      <c r="AV784" s="47"/>
      <c r="AW784" s="8"/>
      <c r="AX784" s="8"/>
      <c r="AY784" s="47"/>
      <c r="AZ784" s="47"/>
      <c r="BA784" s="3" t="s">
        <v>186</v>
      </c>
      <c r="BB784" s="8">
        <f>(4000)</f>
        <v>4000</v>
      </c>
      <c r="BC784" s="47"/>
      <c r="BD784" s="47"/>
      <c r="BE784" s="8"/>
      <c r="BF784" s="8"/>
      <c r="BG784" s="47"/>
      <c r="BH784" s="47"/>
      <c r="BI784" s="8"/>
      <c r="BJ784" s="3"/>
      <c r="BK784" s="47"/>
      <c r="BL784" s="47"/>
      <c r="BM784" s="46"/>
      <c r="BN784" s="46"/>
      <c r="BO784" s="24">
        <f>AL784+AN784+AP784+AR784+AT784+AV784+AX784+AZ784+BB784+BD784+BF784+BH784+BJ784+BL784</f>
        <v>16125.38</v>
      </c>
      <c r="BP784" s="28">
        <f>AJ784-BO784</f>
        <v>-381238.7255</v>
      </c>
      <c r="BQ784" s="2">
        <v>45455</v>
      </c>
      <c r="BS784">
        <f>(14466.11+1406.11+2567+15+5864.65)</f>
        <v>24318.87</v>
      </c>
    </row>
    <row r="785" spans="1:73" hidden="true">
      <c r="D785" s="9" t="s">
        <v>16</v>
      </c>
      <c r="E785" s="2">
        <v>45456</v>
      </c>
      <c r="F785" s="38"/>
      <c r="G785" s="51"/>
      <c r="H785" s="4">
        <f>F108*50%</f>
        <v>2033.425</v>
      </c>
      <c r="I785" s="120"/>
      <c r="J785" s="4">
        <f>(G785+H785)-I785</f>
        <v>2033.425</v>
      </c>
      <c r="K785" s="4">
        <f>J785+O784</f>
        <v>-41620.42</v>
      </c>
      <c r="L785" s="3"/>
      <c r="M785" s="3"/>
      <c r="N785" s="33">
        <f>I785+M785</f>
        <v>0</v>
      </c>
      <c r="O785" s="28">
        <f>K785-M785</f>
        <v>-41620.42</v>
      </c>
      <c r="P785" s="9" t="s">
        <v>16</v>
      </c>
      <c r="Q785" s="2">
        <v>45456</v>
      </c>
      <c r="R785" s="38"/>
      <c r="S785" s="52"/>
      <c r="T785" s="4">
        <f>R108*45%</f>
        <v>2604.6</v>
      </c>
      <c r="U785" s="5">
        <f>(1878+1118.7+1980)</f>
        <v>4976.7</v>
      </c>
      <c r="V785" s="4">
        <f>(S785+T785)-U785</f>
        <v>-2372.1</v>
      </c>
      <c r="W785" s="4">
        <f>V785+AA784</f>
        <v>-26444.135</v>
      </c>
      <c r="X785" s="3"/>
      <c r="Y785" s="3"/>
      <c r="Z785" s="25">
        <f>U785+Y785</f>
        <v>4976.7</v>
      </c>
      <c r="AA785" s="76">
        <f>W785-Y785</f>
        <v>-26444.135</v>
      </c>
      <c r="AB785" s="9" t="s">
        <v>16</v>
      </c>
      <c r="AC785" s="19">
        <v>45456</v>
      </c>
      <c r="AD785" s="41"/>
      <c r="AE785" s="42"/>
      <c r="AF785" s="4">
        <f>AD108-H785-T785</f>
        <v>5216.825</v>
      </c>
      <c r="AG785" s="3"/>
      <c r="AH785" s="8">
        <v>1000</v>
      </c>
      <c r="AI785" s="4">
        <f>(AE785+AF785)-AH785</f>
        <v>4216.825</v>
      </c>
      <c r="AJ785" s="4">
        <f>AI785+BP784</f>
        <v>-377021.9005</v>
      </c>
      <c r="AK785" s="8" t="s">
        <v>157</v>
      </c>
      <c r="AL785" s="8">
        <f>(1000+1900)</f>
        <v>2900</v>
      </c>
      <c r="AM785" s="47" t="s">
        <v>202</v>
      </c>
      <c r="AN785" s="47">
        <f>(1800)</f>
        <v>1800</v>
      </c>
      <c r="AO785" s="8"/>
      <c r="AP785" s="8"/>
      <c r="AQ785" s="47"/>
      <c r="AR785" s="47"/>
      <c r="AS785" s="8"/>
      <c r="AT785" s="8"/>
      <c r="AU785" s="47"/>
      <c r="AV785" s="47"/>
      <c r="AW785" s="8"/>
      <c r="AX785" s="8"/>
      <c r="AY785" s="47"/>
      <c r="AZ785" s="47"/>
      <c r="BA785" s="8" t="s">
        <v>203</v>
      </c>
      <c r="BB785" s="8">
        <f>(2500+1707)</f>
        <v>4207</v>
      </c>
      <c r="BC785" s="47"/>
      <c r="BD785" s="47"/>
      <c r="BE785" s="8"/>
      <c r="BF785" s="8"/>
      <c r="BG785" s="47"/>
      <c r="BH785" s="47"/>
      <c r="BI785" s="8"/>
      <c r="BJ785" s="3"/>
      <c r="BK785" s="47"/>
      <c r="BL785" s="47"/>
      <c r="BM785" s="46"/>
      <c r="BN785" s="46"/>
      <c r="BO785" s="24">
        <f>AL785+AN785+AP785+AR785+AT785+AV785+AX785+AZ785+BB785+BD785+BF785+BH785+BJ785+BL785</f>
        <v>8907</v>
      </c>
      <c r="BP785" s="28">
        <f>AJ785-BO785</f>
        <v>-385928.9005</v>
      </c>
      <c r="BQ785" s="2">
        <v>45456</v>
      </c>
    </row>
    <row r="786" spans="1:73" hidden="true">
      <c r="D786" s="9" t="s">
        <v>10</v>
      </c>
      <c r="E786" s="2">
        <v>45457</v>
      </c>
      <c r="F786" s="38"/>
      <c r="G786" s="51"/>
      <c r="H786" s="4">
        <f>F109*50%</f>
        <v>1475.5</v>
      </c>
      <c r="I786" s="120">
        <v>1406</v>
      </c>
      <c r="J786" s="4">
        <f>(G786+H786)-I786</f>
        <v>69.5</v>
      </c>
      <c r="K786" s="4">
        <f>J786+O785</f>
        <v>-41550.92</v>
      </c>
      <c r="L786" s="3"/>
      <c r="M786" s="3"/>
      <c r="N786" s="33">
        <f>I786+M786</f>
        <v>1406</v>
      </c>
      <c r="O786" s="28">
        <f>K786-M786</f>
        <v>-41550.92</v>
      </c>
      <c r="P786" s="9" t="s">
        <v>10</v>
      </c>
      <c r="Q786" s="2">
        <v>45457</v>
      </c>
      <c r="R786" s="38"/>
      <c r="S786" s="52"/>
      <c r="T786" s="4">
        <f>R109*45%</f>
        <v>5198.85</v>
      </c>
      <c r="U786" s="5"/>
      <c r="V786" s="4">
        <f>(S786+T786)-U786</f>
        <v>5198.85</v>
      </c>
      <c r="W786" s="4">
        <f>V786+AA785</f>
        <v>-21245.285</v>
      </c>
      <c r="X786" s="3"/>
      <c r="Y786" s="3"/>
      <c r="Z786" s="25">
        <f>U786+Y786</f>
        <v>0</v>
      </c>
      <c r="AA786" s="76">
        <f>W786-Y786</f>
        <v>-21245.285</v>
      </c>
      <c r="AB786" s="9" t="s">
        <v>10</v>
      </c>
      <c r="AC786" s="19">
        <v>45457</v>
      </c>
      <c r="AD786" s="41"/>
      <c r="AE786" s="42"/>
      <c r="AF786" s="4">
        <f>AD109-H786-T786</f>
        <v>7829.65</v>
      </c>
      <c r="AG786" s="3"/>
      <c r="AH786" s="8">
        <v>1676.4</v>
      </c>
      <c r="AI786" s="4">
        <f>(AE786+AF786)-AH786</f>
        <v>6153.25</v>
      </c>
      <c r="AJ786" s="4">
        <f>AI786+BP785</f>
        <v>-379775.6505</v>
      </c>
      <c r="AK786" s="8" t="s">
        <v>204</v>
      </c>
      <c r="AL786" s="8">
        <f>(1000+2472+486.2)</f>
        <v>3958.2</v>
      </c>
      <c r="AM786" s="47"/>
      <c r="AN786" s="47"/>
      <c r="AO786" s="8"/>
      <c r="AP786" s="8"/>
      <c r="AQ786" s="47"/>
      <c r="AR786" s="47"/>
      <c r="AS786" s="8"/>
      <c r="AT786" s="8"/>
      <c r="AU786" s="47"/>
      <c r="AV786" s="47"/>
      <c r="AW786" s="8"/>
      <c r="AX786" s="8"/>
      <c r="AY786" s="47" t="s">
        <v>163</v>
      </c>
      <c r="AZ786" s="47">
        <f>(1000)</f>
        <v>1000</v>
      </c>
      <c r="BA786" s="3" t="s">
        <v>205</v>
      </c>
      <c r="BB786" s="8">
        <f>(628)</f>
        <v>628</v>
      </c>
      <c r="BC786" s="47"/>
      <c r="BD786" s="47"/>
      <c r="BE786" s="8"/>
      <c r="BF786" s="8"/>
      <c r="BG786" s="47"/>
      <c r="BH786" s="47"/>
      <c r="BI786" s="8"/>
      <c r="BJ786" s="3"/>
      <c r="BK786" s="47"/>
      <c r="BL786" s="47"/>
      <c r="BM786" s="46"/>
      <c r="BN786" s="46"/>
      <c r="BO786" s="24">
        <f>AL786+AN786+AP786+AR786+AT786+AV786+AX786+AZ786+BB786+BD786+BF786+BH786+BJ786+BL786</f>
        <v>5586.2</v>
      </c>
      <c r="BP786" s="28">
        <f>AJ786-BO786</f>
        <v>-385361.8505</v>
      </c>
      <c r="BQ786" s="2">
        <v>45457</v>
      </c>
    </row>
    <row r="787" spans="1:73" hidden="true">
      <c r="D787" s="9" t="s">
        <v>11</v>
      </c>
      <c r="E787" s="2">
        <v>45458</v>
      </c>
      <c r="F787" s="38"/>
      <c r="G787" s="51"/>
      <c r="H787" s="4">
        <f>F110*50%</f>
        <v>2242.175</v>
      </c>
      <c r="I787" s="120">
        <v>1320.6</v>
      </c>
      <c r="J787" s="4">
        <f>(G787+H787)-I787</f>
        <v>921.575</v>
      </c>
      <c r="K787" s="4">
        <f>J787+O786</f>
        <v>-40629.345</v>
      </c>
      <c r="L787" s="3"/>
      <c r="M787" s="3"/>
      <c r="N787" s="33">
        <f>I787+M787</f>
        <v>1320.6</v>
      </c>
      <c r="O787" s="28">
        <f>K787-M787</f>
        <v>-40629.345</v>
      </c>
      <c r="P787" s="9" t="s">
        <v>11</v>
      </c>
      <c r="Q787" s="2">
        <v>45458</v>
      </c>
      <c r="R787" s="38"/>
      <c r="S787" s="52"/>
      <c r="T787" s="4">
        <f>R110*45%</f>
        <v>3754.8</v>
      </c>
      <c r="U787" s="5">
        <v>1110</v>
      </c>
      <c r="V787" s="4">
        <f>(S787+T787)-U787</f>
        <v>2644.8</v>
      </c>
      <c r="W787" s="4">
        <f>V787+AA786</f>
        <v>-18600.485</v>
      </c>
      <c r="X787" s="3"/>
      <c r="Y787" s="3"/>
      <c r="Z787" s="25">
        <f>U787+Y787</f>
        <v>1110</v>
      </c>
      <c r="AA787" s="76">
        <f>W787-Y787</f>
        <v>-18600.485</v>
      </c>
      <c r="AB787" s="9" t="s">
        <v>11</v>
      </c>
      <c r="AC787" s="19">
        <v>45458</v>
      </c>
      <c r="AD787" s="41"/>
      <c r="AE787" s="42"/>
      <c r="AF787" s="4">
        <f>AD110-H787-T787</f>
        <v>6831.375</v>
      </c>
      <c r="AG787" s="3"/>
      <c r="AH787" s="8">
        <v>1449.3</v>
      </c>
      <c r="AI787" s="4">
        <f>(AE787+AF787)-AH787</f>
        <v>5382.075</v>
      </c>
      <c r="AJ787" s="4">
        <f>AI787+BP786</f>
        <v>-379979.7755</v>
      </c>
      <c r="AK787" s="8" t="s">
        <v>157</v>
      </c>
      <c r="AL787" s="8">
        <f>(1000+6081)</f>
        <v>7081</v>
      </c>
      <c r="AM787" s="47"/>
      <c r="AN787" s="47"/>
      <c r="AO787" s="8"/>
      <c r="AP787" s="8"/>
      <c r="AQ787" s="47"/>
      <c r="AR787" s="47"/>
      <c r="AS787" s="8"/>
      <c r="AT787" s="8"/>
      <c r="AU787" s="47"/>
      <c r="AV787" s="47"/>
      <c r="AW787" s="8"/>
      <c r="AX787" s="8"/>
      <c r="AY787" s="47"/>
      <c r="AZ787" s="47"/>
      <c r="BA787" s="3" t="s">
        <v>206</v>
      </c>
      <c r="BB787" s="8">
        <f>(1800)</f>
        <v>1800</v>
      </c>
      <c r="BC787" s="47"/>
      <c r="BD787" s="47"/>
      <c r="BE787" s="8"/>
      <c r="BF787" s="8"/>
      <c r="BG787" s="47"/>
      <c r="BH787" s="47"/>
      <c r="BI787" s="8"/>
      <c r="BJ787" s="3"/>
      <c r="BK787" s="47"/>
      <c r="BL787" s="47"/>
      <c r="BM787" s="46"/>
      <c r="BN787" s="46"/>
      <c r="BO787" s="24">
        <f>AL787+AN787+AP787+AR787+AT787+AV787+AX787+AZ787+BB787+BD787+BF787+BH787+BJ787+BL787</f>
        <v>8881</v>
      </c>
      <c r="BP787" s="28">
        <f>AJ787-BO787</f>
        <v>-388860.7755</v>
      </c>
      <c r="BQ787" s="2">
        <v>45458</v>
      </c>
    </row>
    <row r="788" spans="1:73" hidden="true">
      <c r="D788" s="9" t="s">
        <v>12</v>
      </c>
      <c r="E788" s="2">
        <v>45459</v>
      </c>
      <c r="F788" s="38"/>
      <c r="G788" s="51"/>
      <c r="H788" s="4">
        <f>F111*50%</f>
        <v>2713.8</v>
      </c>
      <c r="I788" s="120"/>
      <c r="J788" s="4">
        <f>(G788+H788)-I788</f>
        <v>2713.8</v>
      </c>
      <c r="K788" s="4">
        <f>J788+O787</f>
        <v>-37915.545</v>
      </c>
      <c r="L788" s="3"/>
      <c r="M788" s="3"/>
      <c r="N788" s="33">
        <f>I788+M788</f>
        <v>0</v>
      </c>
      <c r="O788" s="28">
        <f>K788-M788</f>
        <v>-37915.545</v>
      </c>
      <c r="P788" s="9" t="s">
        <v>12</v>
      </c>
      <c r="Q788" s="2">
        <v>45459</v>
      </c>
      <c r="R788" s="38"/>
      <c r="S788" s="52"/>
      <c r="T788" s="4">
        <f>R111*45%</f>
        <v>4981.5</v>
      </c>
      <c r="U788" s="5"/>
      <c r="V788" s="4">
        <f>(S788+T788)-U788</f>
        <v>4981.5</v>
      </c>
      <c r="W788" s="4">
        <f>V788+AA787</f>
        <v>-13618.985</v>
      </c>
      <c r="X788" s="3"/>
      <c r="Y788" s="3"/>
      <c r="Z788" s="25">
        <f>U788+Y788</f>
        <v>0</v>
      </c>
      <c r="AA788" s="76">
        <f>W788-Y788</f>
        <v>-13618.985</v>
      </c>
      <c r="AB788" s="9" t="s">
        <v>12</v>
      </c>
      <c r="AC788" s="19">
        <v>45459</v>
      </c>
      <c r="AD788" s="41"/>
      <c r="AE788" s="42"/>
      <c r="AF788" s="4">
        <f>AD111-H788-T788</f>
        <v>8802.3</v>
      </c>
      <c r="AG788" s="3"/>
      <c r="AH788" s="8">
        <v>1299</v>
      </c>
      <c r="AI788" s="4">
        <f>(AE788+AF788)-AH788</f>
        <v>7503.3</v>
      </c>
      <c r="AJ788" s="4">
        <f>AI788+BP787</f>
        <v>-381357.4755</v>
      </c>
      <c r="AK788" s="8" t="s">
        <v>98</v>
      </c>
      <c r="AL788" s="8">
        <f>(1000)</f>
        <v>1000</v>
      </c>
      <c r="AM788" s="47"/>
      <c r="AN788" s="47"/>
      <c r="AO788" s="8"/>
      <c r="AP788" s="8"/>
      <c r="AQ788" s="47"/>
      <c r="AR788" s="47"/>
      <c r="AS788" s="8"/>
      <c r="AT788" s="8"/>
      <c r="AU788" s="47"/>
      <c r="AV788" s="47"/>
      <c r="AW788" s="8"/>
      <c r="AX788" s="8"/>
      <c r="AY788" s="47"/>
      <c r="AZ788" s="47"/>
      <c r="BA788" s="8" t="s">
        <v>207</v>
      </c>
      <c r="BB788" s="8">
        <f>(2000)</f>
        <v>2000</v>
      </c>
      <c r="BC788" s="47"/>
      <c r="BD788" s="47"/>
      <c r="BE788" s="8"/>
      <c r="BF788" s="8"/>
      <c r="BG788" s="47"/>
      <c r="BH788" s="47"/>
      <c r="BI788" s="8"/>
      <c r="BJ788" s="3"/>
      <c r="BK788" s="47"/>
      <c r="BL788" s="47"/>
      <c r="BM788" s="46"/>
      <c r="BN788" s="46"/>
      <c r="BO788" s="24">
        <f>AL788+AN788+AP788+AR788+AT788+AV788+AX788+AZ788+BB788+BD788+BF788+BH788+BJ788+BL788</f>
        <v>3000</v>
      </c>
      <c r="BP788" s="28">
        <f>AJ788-BO788</f>
        <v>-384357.4755</v>
      </c>
      <c r="BQ788" s="2">
        <v>45459</v>
      </c>
      <c r="BU788">
        <f>BU783-BU781</f>
        <v>5342.75</v>
      </c>
    </row>
    <row r="789" spans="1:73" hidden="true">
      <c r="D789" s="9" t="s">
        <v>13</v>
      </c>
      <c r="E789" s="2">
        <v>45460</v>
      </c>
      <c r="F789" s="38"/>
      <c r="G789" s="51"/>
      <c r="H789" s="4">
        <f>F112*50%</f>
        <v>2425.6</v>
      </c>
      <c r="I789" s="120"/>
      <c r="J789" s="4">
        <f>(G789+H789)-I789</f>
        <v>2425.6</v>
      </c>
      <c r="K789" s="4">
        <f>J789+O788</f>
        <v>-35489.945</v>
      </c>
      <c r="L789" s="3"/>
      <c r="M789" s="3"/>
      <c r="N789" s="33">
        <f>I789+M789</f>
        <v>0</v>
      </c>
      <c r="O789" s="28">
        <f>K789-M789</f>
        <v>-35489.945</v>
      </c>
      <c r="P789" s="9" t="s">
        <v>13</v>
      </c>
      <c r="Q789" s="2">
        <v>45460</v>
      </c>
      <c r="R789" s="38"/>
      <c r="S789" s="52"/>
      <c r="T789" s="4">
        <f>R112*45%</f>
        <v>2970.45</v>
      </c>
      <c r="U789" s="5"/>
      <c r="V789" s="4">
        <f>(S789+T789)-U789</f>
        <v>2970.45</v>
      </c>
      <c r="W789" s="4">
        <f>V789+AA788</f>
        <v>-10648.535</v>
      </c>
      <c r="X789" s="3"/>
      <c r="Y789" s="3"/>
      <c r="Z789" s="25">
        <f>U789+Y789</f>
        <v>0</v>
      </c>
      <c r="AA789" s="76">
        <f>W789-Y789</f>
        <v>-10648.535</v>
      </c>
      <c r="AB789" s="9" t="s">
        <v>13</v>
      </c>
      <c r="AC789" s="19">
        <v>45460</v>
      </c>
      <c r="AD789" s="41"/>
      <c r="AE789" s="42"/>
      <c r="AF789" s="4">
        <f>AD112-H789-T789</f>
        <v>6056.15</v>
      </c>
      <c r="AG789" s="3"/>
      <c r="AH789" s="8">
        <v>994</v>
      </c>
      <c r="AI789" s="4">
        <f>(AE789+AF789)-AH789</f>
        <v>5062.15</v>
      </c>
      <c r="AJ789" s="4">
        <f>AI789+BP788</f>
        <v>-379295.3255</v>
      </c>
      <c r="AK789" s="8" t="s">
        <v>98</v>
      </c>
      <c r="AL789" s="8">
        <f>(1000)</f>
        <v>1000</v>
      </c>
      <c r="AM789" s="47"/>
      <c r="AN789" s="47"/>
      <c r="AO789" s="8"/>
      <c r="AP789" s="8"/>
      <c r="AQ789" s="47"/>
      <c r="AR789" s="47"/>
      <c r="AS789" s="8"/>
      <c r="AT789" s="8"/>
      <c r="AU789" s="47"/>
      <c r="AV789" s="47"/>
      <c r="AW789" s="8"/>
      <c r="AX789" s="8"/>
      <c r="AY789" s="47"/>
      <c r="AZ789" s="47"/>
      <c r="BA789" s="3"/>
      <c r="BB789" s="8"/>
      <c r="BC789" s="47"/>
      <c r="BD789" s="47"/>
      <c r="BE789" s="8"/>
      <c r="BF789" s="8"/>
      <c r="BG789" s="47"/>
      <c r="BH789" s="47"/>
      <c r="BI789" s="8"/>
      <c r="BJ789" s="3"/>
      <c r="BK789" s="47"/>
      <c r="BL789" s="47"/>
      <c r="BM789" s="46"/>
      <c r="BN789" s="46"/>
      <c r="BO789" s="24">
        <f>AL789+AN789+AP789+AR789+AT789+AV789+AX789+AZ789+BB789+BD789+BF789+BH789+BJ789+BL789</f>
        <v>1000</v>
      </c>
      <c r="BP789" s="28">
        <f>AJ789-BO789</f>
        <v>-380295.3255</v>
      </c>
      <c r="BQ789" s="2">
        <v>45460</v>
      </c>
    </row>
    <row r="790" spans="1:73" hidden="true">
      <c r="D790" s="9" t="s">
        <v>14</v>
      </c>
      <c r="E790" s="2">
        <v>45461</v>
      </c>
      <c r="F790" s="38"/>
      <c r="G790" s="51"/>
      <c r="H790" s="4">
        <f>F113*50%</f>
        <v>2370.7</v>
      </c>
      <c r="I790" s="120">
        <v>1703</v>
      </c>
      <c r="J790" s="4">
        <f>(G790+H790)-I790</f>
        <v>667.7</v>
      </c>
      <c r="K790" s="4">
        <f>J790+O789</f>
        <v>-34822.245</v>
      </c>
      <c r="L790" s="3"/>
      <c r="M790" s="3"/>
      <c r="N790" s="33">
        <f>I790+M790</f>
        <v>1703</v>
      </c>
      <c r="O790" s="28">
        <f>K790-M790</f>
        <v>-34822.245</v>
      </c>
      <c r="P790" s="9" t="s">
        <v>14</v>
      </c>
      <c r="Q790" s="2">
        <v>45461</v>
      </c>
      <c r="R790" s="38"/>
      <c r="S790" s="52"/>
      <c r="T790" s="4">
        <f>R113*45%</f>
        <v>2463.75</v>
      </c>
      <c r="U790" s="5"/>
      <c r="V790" s="4">
        <f>(S790+T790)-U790</f>
        <v>2463.75</v>
      </c>
      <c r="W790" s="4">
        <f>V790+AA789</f>
        <v>-8184.785</v>
      </c>
      <c r="X790" s="3"/>
      <c r="Y790" s="3"/>
      <c r="Z790" s="25">
        <f>U790+Y790</f>
        <v>0</v>
      </c>
      <c r="AA790" s="76">
        <f>W790-Y790</f>
        <v>-8184.785</v>
      </c>
      <c r="AB790" s="9" t="s">
        <v>14</v>
      </c>
      <c r="AC790" s="19">
        <v>45461</v>
      </c>
      <c r="AD790" s="41"/>
      <c r="AE790" s="42"/>
      <c r="AF790" s="4">
        <f>AD113-H790-T790</f>
        <v>5381.95</v>
      </c>
      <c r="AG790" s="3"/>
      <c r="AH790" s="8">
        <v>791</v>
      </c>
      <c r="AI790" s="4">
        <f>(AE790+AF790)-AH790</f>
        <v>4590.95</v>
      </c>
      <c r="AJ790" s="4">
        <f>AI790+BP789</f>
        <v>-375704.3755</v>
      </c>
      <c r="AK790" s="8" t="s">
        <v>98</v>
      </c>
      <c r="AL790" s="8">
        <f>(1000)</f>
        <v>1000</v>
      </c>
      <c r="AM790" s="47" t="s">
        <v>208</v>
      </c>
      <c r="AN790" s="47">
        <f>(24550)</f>
        <v>24550</v>
      </c>
      <c r="AO790" s="8"/>
      <c r="AP790" s="8"/>
      <c r="AQ790" s="47"/>
      <c r="AR790" s="47"/>
      <c r="AS790" s="8"/>
      <c r="AT790" s="8"/>
      <c r="AU790" s="47"/>
      <c r="AV790" s="47"/>
      <c r="AW790" s="8"/>
      <c r="AX790" s="8"/>
      <c r="AY790" s="47"/>
      <c r="AZ790" s="47"/>
      <c r="BA790" s="8"/>
      <c r="BB790" s="8"/>
      <c r="BC790" s="47"/>
      <c r="BD790" s="47"/>
      <c r="BE790" s="8"/>
      <c r="BF790" s="8"/>
      <c r="BG790" s="47"/>
      <c r="BH790" s="47"/>
      <c r="BI790" s="8"/>
      <c r="BJ790" s="3"/>
      <c r="BK790" s="47"/>
      <c r="BL790" s="47"/>
      <c r="BM790" s="46"/>
      <c r="BN790" s="46"/>
      <c r="BO790" s="24">
        <f>AL790+AN790+AP790+AR790+AT790+AV790+AX790+AZ790+BB790+BD790+BF790+BH790+BJ790+BL790</f>
        <v>25550</v>
      </c>
      <c r="BP790" s="28">
        <f>AJ790-BO790</f>
        <v>-401254.3755</v>
      </c>
      <c r="BQ790" s="2">
        <v>45461</v>
      </c>
    </row>
    <row r="791" spans="1:73" hidden="true">
      <c r="D791" s="9" t="s">
        <v>15</v>
      </c>
      <c r="E791" s="2">
        <v>45462</v>
      </c>
      <c r="F791" s="38"/>
      <c r="G791" s="51"/>
      <c r="H791" s="4">
        <f>F114*50%</f>
        <v>1634.775</v>
      </c>
      <c r="I791" s="120">
        <v>6670.28</v>
      </c>
      <c r="J791" s="4">
        <f>(G791+H791)-I791</f>
        <v>-5035.505</v>
      </c>
      <c r="K791" s="4">
        <f>J791+O790</f>
        <v>-39857.75</v>
      </c>
      <c r="L791" s="3"/>
      <c r="M791" s="3"/>
      <c r="N791" s="33">
        <f>I791+M791</f>
        <v>6670.28</v>
      </c>
      <c r="O791" s="28">
        <f>K791-M791</f>
        <v>-39857.75</v>
      </c>
      <c r="P791" s="9" t="s">
        <v>15</v>
      </c>
      <c r="Q791" s="2">
        <v>45462</v>
      </c>
      <c r="R791" s="38"/>
      <c r="S791" s="52"/>
      <c r="T791" s="4">
        <f>R114*45%</f>
        <v>2441.7</v>
      </c>
      <c r="U791" s="5">
        <v>1340</v>
      </c>
      <c r="V791" s="4">
        <f>(S791+T791)-U791</f>
        <v>1101.7</v>
      </c>
      <c r="W791" s="4">
        <f>V791+AA790</f>
        <v>-7083.085</v>
      </c>
      <c r="X791" s="3"/>
      <c r="Y791" s="3"/>
      <c r="Z791" s="25">
        <f>U791+Y791</f>
        <v>1340</v>
      </c>
      <c r="AA791" s="76">
        <f>W791-Y791</f>
        <v>-7083.085</v>
      </c>
      <c r="AB791" s="9" t="s">
        <v>15</v>
      </c>
      <c r="AC791" s="19">
        <v>45462</v>
      </c>
      <c r="AD791" s="41"/>
      <c r="AE791" s="42"/>
      <c r="AF791" s="4">
        <f>AD114-H791-T791</f>
        <v>4619.075</v>
      </c>
      <c r="AG791" s="3"/>
      <c r="AH791" s="8">
        <v>1087.7</v>
      </c>
      <c r="AI791" s="4">
        <f>(AE791+AF791)-AH791</f>
        <v>3531.375</v>
      </c>
      <c r="AJ791" s="4">
        <f>AI791+BP790</f>
        <v>-397723.0005</v>
      </c>
      <c r="AK791" s="8" t="s">
        <v>98</v>
      </c>
      <c r="AL791" s="8">
        <f>(1000)</f>
        <v>1000</v>
      </c>
      <c r="AM791" s="47" t="s">
        <v>209</v>
      </c>
      <c r="AN791" s="47">
        <f>(375)</f>
        <v>375</v>
      </c>
      <c r="AO791" s="8"/>
      <c r="AP791" s="8"/>
      <c r="AQ791" s="47"/>
      <c r="AR791" s="47"/>
      <c r="AS791" s="8"/>
      <c r="AT791" s="8"/>
      <c r="AU791" s="47"/>
      <c r="AV791" s="47"/>
      <c r="AW791" s="8"/>
      <c r="AX791" s="8"/>
      <c r="AY791" s="47"/>
      <c r="AZ791" s="47"/>
      <c r="BA791" s="3" t="s">
        <v>210</v>
      </c>
      <c r="BB791" s="8">
        <f>(230.9+160+530)</f>
        <v>920.9</v>
      </c>
      <c r="BC791" s="47"/>
      <c r="BD791" s="47"/>
      <c r="BE791" s="8"/>
      <c r="BF791" s="8"/>
      <c r="BG791" s="47"/>
      <c r="BH791" s="47"/>
      <c r="BI791" s="8"/>
      <c r="BJ791" s="3"/>
      <c r="BK791" s="47"/>
      <c r="BL791" s="47"/>
      <c r="BM791" s="46"/>
      <c r="BN791" s="46"/>
      <c r="BO791" s="24">
        <f>AL791+AN791+AP791+AR791+AT791+AV791+AX791+AZ791+BB791+BD791+BF791+BH791+BJ791+BL791</f>
        <v>2295.9</v>
      </c>
      <c r="BP791" s="28">
        <f>AJ791-BO791</f>
        <v>-400018.9005</v>
      </c>
      <c r="BQ791" s="2">
        <v>45462</v>
      </c>
    </row>
    <row r="792" spans="1:73" hidden="true">
      <c r="D792" s="9" t="s">
        <v>16</v>
      </c>
      <c r="E792" s="2">
        <v>45463</v>
      </c>
      <c r="F792" s="38"/>
      <c r="G792" s="51"/>
      <c r="H792" s="4">
        <f>F115*50%</f>
        <v>1933.55</v>
      </c>
      <c r="I792" s="120">
        <v>1521.8</v>
      </c>
      <c r="J792" s="4">
        <f>(G792+H792)-I792</f>
        <v>411.75</v>
      </c>
      <c r="K792" s="4">
        <f>J792+O791</f>
        <v>-39446</v>
      </c>
      <c r="L792" s="3"/>
      <c r="M792" s="3"/>
      <c r="N792" s="33">
        <f>I792+M792</f>
        <v>1521.8</v>
      </c>
      <c r="O792" s="28">
        <f>K792-M792</f>
        <v>-39446</v>
      </c>
      <c r="P792" s="9" t="s">
        <v>16</v>
      </c>
      <c r="Q792" s="2">
        <v>45463</v>
      </c>
      <c r="R792" s="38"/>
      <c r="S792" s="52"/>
      <c r="T792" s="4">
        <f>R115*45%</f>
        <v>5182.2</v>
      </c>
      <c r="U792" s="5"/>
      <c r="V792" s="4">
        <f>(S792+T792)-U792</f>
        <v>5182.2</v>
      </c>
      <c r="W792" s="4">
        <f>V792+AA791</f>
        <v>-1900.885</v>
      </c>
      <c r="X792" s="3"/>
      <c r="Y792" s="3"/>
      <c r="Z792" s="25">
        <f>U792+Y792</f>
        <v>0</v>
      </c>
      <c r="AA792" s="76">
        <f>W792-Y792</f>
        <v>-1900.885</v>
      </c>
      <c r="AB792" s="9" t="s">
        <v>16</v>
      </c>
      <c r="AC792" s="19">
        <v>45463</v>
      </c>
      <c r="AD792" s="41"/>
      <c r="AE792" s="42"/>
      <c r="AF792" s="4">
        <f>AD115-H792-T792</f>
        <v>8267.35</v>
      </c>
      <c r="AG792" s="3"/>
      <c r="AH792" s="8">
        <v>1920.1</v>
      </c>
      <c r="AI792" s="4">
        <f>(AE792+AF792)-AH792</f>
        <v>6347.25</v>
      </c>
      <c r="AJ792" s="4">
        <f>AI792+BP791</f>
        <v>-393671.6505</v>
      </c>
      <c r="AK792" s="8" t="s">
        <v>98</v>
      </c>
      <c r="AL792" s="8">
        <f>(1000)</f>
        <v>1000</v>
      </c>
      <c r="AM792" s="47"/>
      <c r="AN792" s="47"/>
      <c r="AO792" s="8"/>
      <c r="AP792" s="8"/>
      <c r="AQ792" s="47"/>
      <c r="AR792" s="47"/>
      <c r="AS792" s="8"/>
      <c r="AT792" s="8"/>
      <c r="AU792" s="47"/>
      <c r="AV792" s="47"/>
      <c r="AW792" s="8"/>
      <c r="AX792" s="8"/>
      <c r="AY792" s="47"/>
      <c r="AZ792" s="47"/>
      <c r="BA792" s="8"/>
      <c r="BB792" s="8"/>
      <c r="BC792" s="47"/>
      <c r="BD792" s="47"/>
      <c r="BE792" s="8"/>
      <c r="BF792" s="8"/>
      <c r="BG792" s="47"/>
      <c r="BH792" s="47"/>
      <c r="BI792" s="8"/>
      <c r="BJ792" s="3"/>
      <c r="BK792" s="47"/>
      <c r="BL792" s="47"/>
      <c r="BM792" s="46"/>
      <c r="BN792" s="46"/>
      <c r="BO792" s="24">
        <f>AL792+AN792+AP792+AR792+AT792+AV792+AX792+AZ792+BB792+BD792+BF792+BH792+BJ792+BL792</f>
        <v>1000</v>
      </c>
      <c r="BP792" s="28">
        <f>AJ792-BO792</f>
        <v>-394671.6505</v>
      </c>
      <c r="BQ792" s="2">
        <v>45463</v>
      </c>
    </row>
    <row r="793" spans="1:73" hidden="true">
      <c r="D793" s="9" t="s">
        <v>10</v>
      </c>
      <c r="E793" s="2">
        <v>45464</v>
      </c>
      <c r="F793" s="38"/>
      <c r="G793" s="51"/>
      <c r="H793" s="4">
        <f>F116*50%</f>
        <v>1551.725</v>
      </c>
      <c r="I793" s="120"/>
      <c r="J793" s="4">
        <f>(G793+H793)-I793</f>
        <v>1551.725</v>
      </c>
      <c r="K793" s="4">
        <f>J793+O792</f>
        <v>-37894.275</v>
      </c>
      <c r="L793" s="3"/>
      <c r="M793" s="3"/>
      <c r="N793" s="33">
        <f>I793+M793</f>
        <v>0</v>
      </c>
      <c r="O793" s="28">
        <f>K793-M793</f>
        <v>-37894.275</v>
      </c>
      <c r="P793" s="9" t="s">
        <v>10</v>
      </c>
      <c r="Q793" s="2">
        <v>45464</v>
      </c>
      <c r="R793" s="38"/>
      <c r="S793" s="52"/>
      <c r="T793" s="4">
        <f>R116*45%</f>
        <v>4737.6</v>
      </c>
      <c r="U793" s="5"/>
      <c r="V793" s="4">
        <f>(S793+T793)-U793</f>
        <v>4737.6</v>
      </c>
      <c r="W793" s="4">
        <f>V793+AA792</f>
        <v>2836.715</v>
      </c>
      <c r="X793" s="3" t="s">
        <v>124</v>
      </c>
      <c r="Y793" s="3">
        <f>(25773)</f>
        <v>25773</v>
      </c>
      <c r="Z793" s="25">
        <f>U793+Y793</f>
        <v>25773</v>
      </c>
      <c r="AA793" s="76">
        <f>W793-Y793</f>
        <v>-22936.285</v>
      </c>
      <c r="AB793" s="9" t="s">
        <v>10</v>
      </c>
      <c r="AC793" s="19">
        <v>45464</v>
      </c>
      <c r="AD793" s="41"/>
      <c r="AE793" s="42"/>
      <c r="AF793" s="4">
        <f>AD116-H793-T793</f>
        <v>7342.125</v>
      </c>
      <c r="AG793" s="3"/>
      <c r="AH793" s="8">
        <v>1553</v>
      </c>
      <c r="AI793" s="4">
        <f>(AE793+AF793)-AH793</f>
        <v>5789.125</v>
      </c>
      <c r="AJ793" s="4">
        <f>AI793+BP792</f>
        <v>-388882.5255</v>
      </c>
      <c r="AK793" s="8" t="s">
        <v>98</v>
      </c>
      <c r="AL793" s="8">
        <f>(1000)</f>
        <v>1000</v>
      </c>
      <c r="AM793" s="47" t="s">
        <v>211</v>
      </c>
      <c r="AN793" s="47">
        <f>(125.06)</f>
        <v>125.06</v>
      </c>
      <c r="AO793" s="8"/>
      <c r="AP793" s="8"/>
      <c r="AQ793" s="47"/>
      <c r="AR793" s="47"/>
      <c r="AS793" s="8"/>
      <c r="AT793" s="8"/>
      <c r="AU793" s="47"/>
      <c r="AV793" s="47"/>
      <c r="AW793" s="8"/>
      <c r="AX793" s="8"/>
      <c r="AY793" s="47"/>
      <c r="AZ793" s="47"/>
      <c r="BA793" s="8"/>
      <c r="BB793" s="8"/>
      <c r="BC793" s="47"/>
      <c r="BD793" s="47"/>
      <c r="BE793" s="8"/>
      <c r="BF793" s="8"/>
      <c r="BG793" s="47"/>
      <c r="BH793" s="47"/>
      <c r="BI793" s="8"/>
      <c r="BJ793" s="3"/>
      <c r="BK793" s="47"/>
      <c r="BL793" s="47"/>
      <c r="BM793" s="46"/>
      <c r="BN793" s="46"/>
      <c r="BO793" s="24">
        <f>AL793+AN793+AP793+AR793+AT793+AV793+AX793+AZ793+BB793+BD793+BF793+BH793+BJ793+BL793</f>
        <v>1125.06</v>
      </c>
      <c r="BP793" s="28">
        <f>AJ793-BO793</f>
        <v>-390007.5855</v>
      </c>
      <c r="BQ793" s="2">
        <v>45464</v>
      </c>
    </row>
    <row r="794" spans="1:73" hidden="true">
      <c r="D794" s="9" t="s">
        <v>11</v>
      </c>
      <c r="E794" s="2">
        <v>45465</v>
      </c>
      <c r="F794" s="38"/>
      <c r="G794" s="51"/>
      <c r="H794" s="4">
        <f>F117*50%</f>
        <v>1989.475</v>
      </c>
      <c r="I794" s="120">
        <v>1169</v>
      </c>
      <c r="J794" s="4">
        <f>(G794+H794)-I794</f>
        <v>820.475</v>
      </c>
      <c r="K794" s="4">
        <f>J794+O793</f>
        <v>-37073.8</v>
      </c>
      <c r="L794" s="3"/>
      <c r="M794" s="3"/>
      <c r="N794" s="33">
        <f>I794+M794</f>
        <v>1169</v>
      </c>
      <c r="O794" s="28">
        <f>K794-M794</f>
        <v>-37073.8</v>
      </c>
      <c r="P794" s="9" t="s">
        <v>11</v>
      </c>
      <c r="Q794" s="2">
        <v>45465</v>
      </c>
      <c r="R794" s="38"/>
      <c r="S794" s="52"/>
      <c r="T794" s="4">
        <f>R117*45%</f>
        <v>3890.25</v>
      </c>
      <c r="U794" s="5">
        <v>2467</v>
      </c>
      <c r="V794" s="4">
        <f>(S794+T794)-U794</f>
        <v>1423.25</v>
      </c>
      <c r="W794" s="4">
        <f>V794+AA793</f>
        <v>-21513.035</v>
      </c>
      <c r="X794" s="3"/>
      <c r="Y794" s="3"/>
      <c r="Z794" s="25">
        <f>U794+Y794</f>
        <v>2467</v>
      </c>
      <c r="AA794" s="76">
        <f>W794-Y794</f>
        <v>-21513.035</v>
      </c>
      <c r="AB794" s="9" t="s">
        <v>11</v>
      </c>
      <c r="AC794" s="19">
        <v>45465</v>
      </c>
      <c r="AD794" s="41"/>
      <c r="AE794" s="42"/>
      <c r="AF794" s="4">
        <f>AD117-H794-T794</f>
        <v>6744.225</v>
      </c>
      <c r="AG794" s="3"/>
      <c r="AH794" s="8">
        <v>1082</v>
      </c>
      <c r="AI794" s="4">
        <f>(AE794+AF794)-AH794</f>
        <v>5662.225</v>
      </c>
      <c r="AJ794" s="4">
        <f>AI794+BP793</f>
        <v>-384345.3605</v>
      </c>
      <c r="AK794" s="8" t="s">
        <v>98</v>
      </c>
      <c r="AL794" s="8">
        <f>(1000)</f>
        <v>1000</v>
      </c>
      <c r="AM794" s="47"/>
      <c r="AN794" s="47"/>
      <c r="AO794" s="8"/>
      <c r="AP794" s="8"/>
      <c r="AQ794" s="47"/>
      <c r="AR794" s="47"/>
      <c r="AS794" s="8"/>
      <c r="AT794" s="8"/>
      <c r="AU794" s="47"/>
      <c r="AV794" s="47"/>
      <c r="AW794" s="8"/>
      <c r="AX794" s="8"/>
      <c r="AY794" s="47"/>
      <c r="AZ794" s="47"/>
      <c r="BA794" s="3" t="s">
        <v>212</v>
      </c>
      <c r="BB794" s="8">
        <f>(720+209.1+4000)</f>
        <v>4929.1</v>
      </c>
      <c r="BC794" s="47"/>
      <c r="BD794" s="47"/>
      <c r="BE794" s="8"/>
      <c r="BF794" s="8"/>
      <c r="BG794" s="47"/>
      <c r="BH794" s="47"/>
      <c r="BI794" s="8"/>
      <c r="BJ794" s="3"/>
      <c r="BK794" s="48"/>
      <c r="BL794" s="47"/>
      <c r="BM794" s="46"/>
      <c r="BN794" s="46"/>
      <c r="BO794" s="24">
        <f>AL794+AN794+AP794+AR794+AT794+AV794+AX794+AZ794+BB794+BD794+BF794+BH794+BJ794+BL794</f>
        <v>5929.1</v>
      </c>
      <c r="BP794" s="28">
        <f>AJ794-BO794</f>
        <v>-390274.4605</v>
      </c>
      <c r="BQ794" s="2">
        <v>45465</v>
      </c>
      <c r="BS794" s="1">
        <f>BP772-BS800</f>
        <v>-300007.055</v>
      </c>
    </row>
    <row r="795" spans="1:73" hidden="true">
      <c r="D795" s="9" t="s">
        <v>12</v>
      </c>
      <c r="E795" s="2">
        <v>45466</v>
      </c>
      <c r="F795" s="38"/>
      <c r="G795" s="51"/>
      <c r="H795" s="4">
        <f>F118*50%</f>
        <v>2211.2</v>
      </c>
      <c r="I795" s="120"/>
      <c r="J795" s="4">
        <f>(G795+H795)-I795</f>
        <v>2211.2</v>
      </c>
      <c r="K795" s="4">
        <f>J795+O794</f>
        <v>-34862.6</v>
      </c>
      <c r="L795" s="3"/>
      <c r="M795" s="3"/>
      <c r="N795" s="33">
        <f>I795+M795</f>
        <v>0</v>
      </c>
      <c r="O795" s="28">
        <f>K795-M795</f>
        <v>-34862.6</v>
      </c>
      <c r="P795" s="9" t="s">
        <v>12</v>
      </c>
      <c r="Q795" s="2">
        <v>45466</v>
      </c>
      <c r="R795" s="38"/>
      <c r="S795" s="52"/>
      <c r="T795" s="4">
        <f>R118*45%</f>
        <v>3396.6</v>
      </c>
      <c r="U795" s="5"/>
      <c r="V795" s="4">
        <f>(S795+T795)-U795</f>
        <v>3396.6</v>
      </c>
      <c r="W795" s="4">
        <f>V795+AA794</f>
        <v>-18116.435</v>
      </c>
      <c r="X795" s="3"/>
      <c r="Y795" s="3"/>
      <c r="Z795" s="25">
        <f>U795+Y795</f>
        <v>0</v>
      </c>
      <c r="AA795" s="76">
        <f>W795-Y795</f>
        <v>-18116.435</v>
      </c>
      <c r="AB795" s="9" t="s">
        <v>12</v>
      </c>
      <c r="AC795" s="19">
        <v>45466</v>
      </c>
      <c r="AD795" s="41"/>
      <c r="AE795" s="42"/>
      <c r="AF795" s="4">
        <f>AD118-H795-T795</f>
        <v>6362.6</v>
      </c>
      <c r="AG795" s="3"/>
      <c r="AH795" s="8">
        <v>1155.5</v>
      </c>
      <c r="AI795" s="4">
        <f>(AE795+AF795)-AH795</f>
        <v>5207.1</v>
      </c>
      <c r="AJ795" s="4">
        <f>AI795+BP794</f>
        <v>-385067.3605</v>
      </c>
      <c r="AK795" s="8" t="s">
        <v>98</v>
      </c>
      <c r="AL795" s="8">
        <f>(1000)</f>
        <v>1000</v>
      </c>
      <c r="AM795" s="47" t="s">
        <v>213</v>
      </c>
      <c r="AN795" s="47">
        <f>(8267.87)</f>
        <v>8267.87</v>
      </c>
      <c r="AO795" s="8"/>
      <c r="AP795" s="8"/>
      <c r="AQ795" s="47"/>
      <c r="AR795" s="47"/>
      <c r="AS795" s="8"/>
      <c r="AT795" s="8"/>
      <c r="AU795" s="47"/>
      <c r="AV795" s="47"/>
      <c r="AW795" s="8"/>
      <c r="AX795" s="8"/>
      <c r="AY795" s="47"/>
      <c r="AZ795" s="47"/>
      <c r="BA795" s="8"/>
      <c r="BB795" s="8"/>
      <c r="BC795" s="47"/>
      <c r="BD795" s="47"/>
      <c r="BE795" s="8"/>
      <c r="BF795" s="8"/>
      <c r="BG795" s="47"/>
      <c r="BH795" s="47"/>
      <c r="BI795" s="8"/>
      <c r="BJ795" s="3"/>
      <c r="BK795" s="47"/>
      <c r="BL795" s="47"/>
      <c r="BM795" s="46"/>
      <c r="BN795" s="46"/>
      <c r="BO795" s="24">
        <f>AL795+AN795+AP795+AR795+AT795+AV795+AX795+AZ795+BB795+BD795+BF795+BH795+BJ795+BL795</f>
        <v>9267.87</v>
      </c>
      <c r="BP795" s="28">
        <f>AJ795-BO795</f>
        <v>-394335.2305</v>
      </c>
      <c r="BQ795" s="2">
        <v>45466</v>
      </c>
    </row>
    <row r="796" spans="1:73" hidden="true">
      <c r="D796" s="9" t="s">
        <v>13</v>
      </c>
      <c r="E796" s="2">
        <v>45467</v>
      </c>
      <c r="F796" s="38"/>
      <c r="G796" s="51"/>
      <c r="H796" s="4">
        <f>F119*50%</f>
        <v>1876.75</v>
      </c>
      <c r="I796" s="120"/>
      <c r="J796" s="4">
        <f>(G796+H796)-I796</f>
        <v>1876.75</v>
      </c>
      <c r="K796" s="4">
        <f>J796+O795</f>
        <v>-32985.85</v>
      </c>
      <c r="L796" s="3"/>
      <c r="M796" s="3"/>
      <c r="N796" s="33">
        <f>I796+M796</f>
        <v>0</v>
      </c>
      <c r="O796" s="28">
        <f>K796-M796</f>
        <v>-32985.85</v>
      </c>
      <c r="P796" s="9" t="s">
        <v>13</v>
      </c>
      <c r="Q796" s="2">
        <v>45467</v>
      </c>
      <c r="R796" s="38"/>
      <c r="S796" s="52"/>
      <c r="T796" s="4">
        <f>R119*45%</f>
        <v>2843.1</v>
      </c>
      <c r="U796" s="5">
        <v>550</v>
      </c>
      <c r="V796" s="4">
        <f>(S796+T796)-U796</f>
        <v>2293.1</v>
      </c>
      <c r="W796" s="4">
        <f>V796+AA795</f>
        <v>-15823.335</v>
      </c>
      <c r="X796" s="3"/>
      <c r="Y796" s="3"/>
      <c r="Z796" s="25">
        <f>U796+Y796</f>
        <v>550</v>
      </c>
      <c r="AA796" s="76">
        <f>W796-Y796</f>
        <v>-15823.335</v>
      </c>
      <c r="AB796" s="9" t="s">
        <v>13</v>
      </c>
      <c r="AC796" s="19">
        <v>45467</v>
      </c>
      <c r="AD796" s="41"/>
      <c r="AE796" s="42"/>
      <c r="AF796" s="4">
        <f>AD119-H796-T796</f>
        <v>5351.65</v>
      </c>
      <c r="AG796" s="3"/>
      <c r="AH796" s="8">
        <v>1184.95</v>
      </c>
      <c r="AI796" s="4">
        <f>(AE796+AF796)-AH796</f>
        <v>4166.7</v>
      </c>
      <c r="AJ796" s="4">
        <f>AI796+BP795</f>
        <v>-390168.5305</v>
      </c>
      <c r="AK796" s="8" t="s">
        <v>98</v>
      </c>
      <c r="AL796" s="8">
        <f>(1000)</f>
        <v>1000</v>
      </c>
      <c r="AM796" s="48"/>
      <c r="AN796" s="47"/>
      <c r="AO796" s="8"/>
      <c r="AP796" s="8"/>
      <c r="AQ796" s="47"/>
      <c r="AR796" s="47"/>
      <c r="AS796" s="8"/>
      <c r="AT796" s="8"/>
      <c r="AU796" s="47"/>
      <c r="AV796" s="47"/>
      <c r="AW796" s="8"/>
      <c r="AX796" s="8"/>
      <c r="AY796" s="47"/>
      <c r="AZ796" s="47"/>
      <c r="BA796" s="8" t="s">
        <v>214</v>
      </c>
      <c r="BB796" s="8">
        <f>(4000)</f>
        <v>4000</v>
      </c>
      <c r="BC796" s="47"/>
      <c r="BD796" s="47"/>
      <c r="BE796" s="8"/>
      <c r="BF796" s="8"/>
      <c r="BG796" s="47"/>
      <c r="BH796" s="47"/>
      <c r="BI796" s="8"/>
      <c r="BJ796" s="3"/>
      <c r="BK796" s="48"/>
      <c r="BL796" s="47"/>
      <c r="BM796" s="46"/>
      <c r="BN796" s="46"/>
      <c r="BO796" s="24">
        <f>AL796+AN796+AP796+AR796+AT796+AV796+AX796+AZ796+BB796+BD796+BF796+BH796+BJ796+BL796</f>
        <v>5000</v>
      </c>
      <c r="BP796" s="28">
        <f>AJ796-BO796</f>
        <v>-395168.5305</v>
      </c>
      <c r="BQ796" s="2">
        <v>45467</v>
      </c>
    </row>
    <row r="797" spans="1:73" hidden="true">
      <c r="D797" s="9" t="s">
        <v>14</v>
      </c>
      <c r="E797" s="2">
        <v>45468</v>
      </c>
      <c r="F797" s="38"/>
      <c r="G797" s="51"/>
      <c r="H797" s="4">
        <f>F120*50%</f>
        <v>1678.125</v>
      </c>
      <c r="I797" s="120">
        <v>3522</v>
      </c>
      <c r="J797" s="4">
        <f>(G797+H797)-I797</f>
        <v>-1843.875</v>
      </c>
      <c r="K797" s="4">
        <f>J797+O796</f>
        <v>-34829.725</v>
      </c>
      <c r="L797" s="3" t="s">
        <v>215</v>
      </c>
      <c r="M797" s="3">
        <f>(3522)</f>
        <v>3522</v>
      </c>
      <c r="N797" s="33">
        <f>I797+M797</f>
        <v>7044</v>
      </c>
      <c r="O797" s="28">
        <f>K797-M797</f>
        <v>-38351.725</v>
      </c>
      <c r="P797" s="9" t="s">
        <v>14</v>
      </c>
      <c r="Q797" s="2">
        <v>45468</v>
      </c>
      <c r="R797" s="38"/>
      <c r="S797" s="52"/>
      <c r="T797" s="4">
        <f>R120*45%</f>
        <v>3823.2</v>
      </c>
      <c r="U797" s="5">
        <v>527.5</v>
      </c>
      <c r="V797" s="4">
        <f>(S797+T797)-U797</f>
        <v>3295.7</v>
      </c>
      <c r="W797" s="4">
        <f>V797+AA796</f>
        <v>-12527.635</v>
      </c>
      <c r="X797" s="3"/>
      <c r="Y797" s="3"/>
      <c r="Z797" s="25">
        <f>U797+Y797</f>
        <v>527.5</v>
      </c>
      <c r="AA797" s="76">
        <f>W797-Y797</f>
        <v>-12527.635</v>
      </c>
      <c r="AB797" s="9" t="s">
        <v>14</v>
      </c>
      <c r="AC797" s="19">
        <v>45468</v>
      </c>
      <c r="AD797" s="41"/>
      <c r="AE797" s="42"/>
      <c r="AF797" s="4">
        <f>AD120-H797-T797</f>
        <v>6350.925</v>
      </c>
      <c r="AG797" s="3"/>
      <c r="AH797" s="8">
        <v>1237</v>
      </c>
      <c r="AI797" s="4">
        <f>(AE797+AF797)-AH797</f>
        <v>5113.925</v>
      </c>
      <c r="AJ797" s="4">
        <f>AI797+BP796</f>
        <v>-390054.6055</v>
      </c>
      <c r="AK797" s="8" t="s">
        <v>98</v>
      </c>
      <c r="AL797" s="8">
        <f>(1000)</f>
        <v>1000</v>
      </c>
      <c r="AM797" s="47" t="s">
        <v>216</v>
      </c>
      <c r="AN797" s="47">
        <f>(729)</f>
        <v>729</v>
      </c>
      <c r="AO797" s="8"/>
      <c r="AP797" s="8"/>
      <c r="AQ797" s="47"/>
      <c r="AR797" s="47"/>
      <c r="AS797" s="8"/>
      <c r="AT797" s="8"/>
      <c r="AU797" s="47"/>
      <c r="AV797" s="47"/>
      <c r="AW797" s="8"/>
      <c r="AX797" s="8"/>
      <c r="AY797" s="47"/>
      <c r="AZ797" s="47"/>
      <c r="BA797" s="8" t="s">
        <v>217</v>
      </c>
      <c r="BB797" s="8">
        <f>(527.5)</f>
        <v>527.5</v>
      </c>
      <c r="BC797" s="47"/>
      <c r="BD797" s="47"/>
      <c r="BE797" s="8"/>
      <c r="BF797" s="8"/>
      <c r="BG797" s="47"/>
      <c r="BH797" s="47"/>
      <c r="BI797" s="8"/>
      <c r="BJ797" s="3"/>
      <c r="BK797" s="47"/>
      <c r="BL797" s="47"/>
      <c r="BM797" s="46"/>
      <c r="BN797" s="46"/>
      <c r="BO797" s="24">
        <f>AL797+AN797+AP797+AR797+AT797+AV797+AX797+AZ797+BB797+BD797+BF797+BH797+BJ797+BL797</f>
        <v>2256.5</v>
      </c>
      <c r="BP797" s="28">
        <f>AJ797-BO797</f>
        <v>-392311.1055</v>
      </c>
      <c r="BQ797" s="2">
        <v>45468</v>
      </c>
    </row>
    <row r="798" spans="1:73" hidden="true">
      <c r="D798" s="9" t="s">
        <v>15</v>
      </c>
      <c r="E798" s="2">
        <v>45469</v>
      </c>
      <c r="F798" s="38"/>
      <c r="G798" s="51"/>
      <c r="H798" s="4">
        <f>F121*50%</f>
        <v>1477.525</v>
      </c>
      <c r="I798" s="120">
        <v>1148</v>
      </c>
      <c r="J798" s="4">
        <f>(G798+H798)-I798</f>
        <v>329.525</v>
      </c>
      <c r="K798" s="4">
        <f>J798+O797</f>
        <v>-38022.2</v>
      </c>
      <c r="L798" s="3" t="s">
        <v>172</v>
      </c>
      <c r="M798" s="3">
        <f>(2000)</f>
        <v>2000</v>
      </c>
      <c r="N798" s="33">
        <f>I798+M798</f>
        <v>3148</v>
      </c>
      <c r="O798" s="28">
        <f>K798-M798</f>
        <v>-40022.2</v>
      </c>
      <c r="P798" s="9" t="s">
        <v>15</v>
      </c>
      <c r="Q798" s="2">
        <v>45469</v>
      </c>
      <c r="R798" s="38"/>
      <c r="S798" s="52"/>
      <c r="T798" s="4">
        <f>R121*45%</f>
        <v>3017.7</v>
      </c>
      <c r="U798" s="5">
        <v>1002</v>
      </c>
      <c r="V798" s="4">
        <f>(S798+T798)-U798</f>
        <v>2015.7</v>
      </c>
      <c r="W798" s="4">
        <f>V798+AA797</f>
        <v>-10511.935</v>
      </c>
      <c r="X798" s="3"/>
      <c r="Y798" s="3"/>
      <c r="Z798" s="25">
        <f>U798+Y798</f>
        <v>1002</v>
      </c>
      <c r="AA798" s="76">
        <f>W798-Y798</f>
        <v>-10511.935</v>
      </c>
      <c r="AB798" s="9" t="s">
        <v>15</v>
      </c>
      <c r="AC798" s="19">
        <v>45469</v>
      </c>
      <c r="AD798" s="41"/>
      <c r="AE798" s="42"/>
      <c r="AF798" s="4">
        <f>AD121-H798-T798</f>
        <v>5165.825</v>
      </c>
      <c r="AG798" s="3"/>
      <c r="AH798" s="8">
        <v>1066.85</v>
      </c>
      <c r="AI798" s="4">
        <f>(AE798+AF798)-AH798</f>
        <v>4098.975</v>
      </c>
      <c r="AJ798" s="4">
        <f>AI798+BP797</f>
        <v>-388212.1305</v>
      </c>
      <c r="AK798" s="8"/>
      <c r="AL798" s="8"/>
      <c r="AM798" s="47"/>
      <c r="AN798" s="47"/>
      <c r="AO798" s="8"/>
      <c r="AP798" s="8"/>
      <c r="AQ798" s="47"/>
      <c r="AR798" s="47"/>
      <c r="AS798" s="8"/>
      <c r="AT798" s="8"/>
      <c r="AU798" s="47"/>
      <c r="AV798" s="47"/>
      <c r="AW798" s="8"/>
      <c r="AX798" s="8"/>
      <c r="AY798" s="47"/>
      <c r="AZ798" s="47"/>
      <c r="BA798" s="8"/>
      <c r="BB798" s="8"/>
      <c r="BC798" s="47"/>
      <c r="BD798" s="47"/>
      <c r="BE798" s="8"/>
      <c r="BF798" s="8"/>
      <c r="BG798" s="47"/>
      <c r="BH798" s="47"/>
      <c r="BI798" s="8"/>
      <c r="BJ798" s="3"/>
      <c r="BK798" s="47"/>
      <c r="BL798" s="47"/>
      <c r="BM798" s="46"/>
      <c r="BN798" s="46"/>
      <c r="BO798" s="24">
        <f>AL798+AN798+AP798+AR798+AT798+AV798+AX798+AZ798+BB798+BD798+BF798+BH798+BJ798+BL798</f>
        <v>0</v>
      </c>
      <c r="BP798" s="28">
        <f>AJ798-BO798</f>
        <v>-388212.1305</v>
      </c>
      <c r="BQ798" s="2">
        <v>45469</v>
      </c>
    </row>
    <row r="799" spans="1:73" hidden="true">
      <c r="D799" s="9" t="s">
        <v>16</v>
      </c>
      <c r="E799" s="2">
        <v>45470</v>
      </c>
      <c r="F799" s="38"/>
      <c r="G799" s="51"/>
      <c r="H799" s="4">
        <f>F122*50%</f>
        <v>1282.125</v>
      </c>
      <c r="I799" s="120">
        <v>1320.5</v>
      </c>
      <c r="J799" s="4">
        <f>(G799+H799)-I799</f>
        <v>-38.375</v>
      </c>
      <c r="K799" s="4">
        <f>J799+O798</f>
        <v>-40060.575</v>
      </c>
      <c r="L799" s="3"/>
      <c r="M799" s="3"/>
      <c r="N799" s="33">
        <f>I799+M799</f>
        <v>1320.5</v>
      </c>
      <c r="O799" s="28">
        <f>K799-M799</f>
        <v>-40060.575</v>
      </c>
      <c r="P799" s="9" t="s">
        <v>16</v>
      </c>
      <c r="Q799" s="2">
        <v>45470</v>
      </c>
      <c r="R799" s="38"/>
      <c r="S799" s="52"/>
      <c r="T799" s="4">
        <f>R122*45%</f>
        <v>2605.5</v>
      </c>
      <c r="U799" s="5">
        <v>1855</v>
      </c>
      <c r="V799" s="4">
        <f>(S799+T799)-U799</f>
        <v>750.5</v>
      </c>
      <c r="W799" s="4">
        <f>V799+AA798</f>
        <v>-9761.435</v>
      </c>
      <c r="X799" s="3"/>
      <c r="Y799" s="3"/>
      <c r="Z799" s="25">
        <f>U799+Y799</f>
        <v>1855</v>
      </c>
      <c r="AA799" s="76">
        <f>W799-Y799</f>
        <v>-9761.435</v>
      </c>
      <c r="AB799" s="9" t="s">
        <v>16</v>
      </c>
      <c r="AC799" s="19">
        <v>45470</v>
      </c>
      <c r="AD799" s="41"/>
      <c r="AE799" s="42"/>
      <c r="AF799" s="4">
        <f>AD122-H799-T799</f>
        <v>4466.625</v>
      </c>
      <c r="AG799" s="3"/>
      <c r="AH799" s="8">
        <v>918</v>
      </c>
      <c r="AI799" s="4">
        <f>(AE799+AF799)-AH799</f>
        <v>3548.625</v>
      </c>
      <c r="AJ799" s="4">
        <f>AI799+BP798</f>
        <v>-384663.5055</v>
      </c>
      <c r="AK799" s="8" t="s">
        <v>218</v>
      </c>
      <c r="AL799" s="8">
        <f>(2520)</f>
        <v>2520</v>
      </c>
      <c r="AM799" s="47" t="s">
        <v>127</v>
      </c>
      <c r="AN799" s="47">
        <f>(8000)</f>
        <v>8000</v>
      </c>
      <c r="AO799" s="8"/>
      <c r="AP799" s="8"/>
      <c r="AQ799" s="47"/>
      <c r="AR799" s="47"/>
      <c r="AS799" s="8"/>
      <c r="AT799" s="8"/>
      <c r="AU799" s="47"/>
      <c r="AV799" s="47"/>
      <c r="AW799" s="8"/>
      <c r="AX799" s="8"/>
      <c r="AY799" s="47" t="s">
        <v>116</v>
      </c>
      <c r="AZ799" s="47">
        <f>(1200)</f>
        <v>1200</v>
      </c>
      <c r="BA799" s="3" t="s">
        <v>219</v>
      </c>
      <c r="BB799" s="8">
        <f>(720+1700)</f>
        <v>2420</v>
      </c>
      <c r="BC799" s="47"/>
      <c r="BD799" s="47"/>
      <c r="BE799" s="8"/>
      <c r="BF799" s="8"/>
      <c r="BG799" s="47"/>
      <c r="BH799" s="47"/>
      <c r="BI799" s="8"/>
      <c r="BJ799" s="3"/>
      <c r="BK799" s="47" t="s">
        <v>144</v>
      </c>
      <c r="BL799" s="47">
        <f>(3000)</f>
        <v>3000</v>
      </c>
      <c r="BM799" s="46"/>
      <c r="BN799" s="46"/>
      <c r="BO799" s="24">
        <f>AL799+AN799+AP799+AR799+AT799+AV799+AX799+AZ799+BB799+BD799+BF799+BH799+BJ799+BL799</f>
        <v>17140</v>
      </c>
      <c r="BP799" s="28">
        <f>AJ799-BO799</f>
        <v>-401803.5055</v>
      </c>
      <c r="BQ799" s="2">
        <v>45470</v>
      </c>
    </row>
    <row r="800" spans="1:73" hidden="true">
      <c r="D800" s="9" t="s">
        <v>10</v>
      </c>
      <c r="E800" s="2">
        <v>45471</v>
      </c>
      <c r="F800" s="38"/>
      <c r="G800" s="51"/>
      <c r="H800" s="4">
        <f>F123*50%</f>
        <v>1988.025</v>
      </c>
      <c r="I800" s="120">
        <v>1611</v>
      </c>
      <c r="J800" s="4">
        <f>(G800+H800)-I800</f>
        <v>377.025</v>
      </c>
      <c r="K800" s="4">
        <f>J800+O799</f>
        <v>-39683.55</v>
      </c>
      <c r="L800" s="3"/>
      <c r="M800" s="3"/>
      <c r="N800" s="33">
        <f>I800+M800</f>
        <v>1611</v>
      </c>
      <c r="O800" s="28">
        <f>K800-M800</f>
        <v>-39683.55</v>
      </c>
      <c r="P800" s="9" t="s">
        <v>10</v>
      </c>
      <c r="Q800" s="2">
        <v>45471</v>
      </c>
      <c r="R800" s="38"/>
      <c r="S800" s="52"/>
      <c r="T800" s="4">
        <f>R123*45%</f>
        <v>3435.75</v>
      </c>
      <c r="U800" s="5"/>
      <c r="V800" s="4">
        <f>(S800+T800)-U800</f>
        <v>3435.75</v>
      </c>
      <c r="W800" s="4">
        <f>V800+AA799</f>
        <v>-6325.685</v>
      </c>
      <c r="X800" s="3"/>
      <c r="Y800" s="3"/>
      <c r="Z800" s="25">
        <f>U800+Y800</f>
        <v>0</v>
      </c>
      <c r="AA800" s="76">
        <f>W800-Y800</f>
        <v>-6325.685</v>
      </c>
      <c r="AB800" s="9" t="s">
        <v>10</v>
      </c>
      <c r="AC800" s="19">
        <v>45471</v>
      </c>
      <c r="AD800" s="41"/>
      <c r="AE800" s="42"/>
      <c r="AF800" s="4">
        <f>AD123-H800-T800</f>
        <v>6187.275</v>
      </c>
      <c r="AG800" s="3"/>
      <c r="AH800" s="8">
        <v>1259</v>
      </c>
      <c r="AI800" s="4">
        <f>(AE800+AF800)-AH800</f>
        <v>4928.275</v>
      </c>
      <c r="AJ800" s="4">
        <f>AI800+BP799</f>
        <v>-396875.2305</v>
      </c>
      <c r="AK800" s="8"/>
      <c r="AL800" s="8"/>
      <c r="AM800" s="47" t="s">
        <v>220</v>
      </c>
      <c r="AN800" s="47">
        <f>(15000)</f>
        <v>15000</v>
      </c>
      <c r="AO800" s="8"/>
      <c r="AP800" s="8"/>
      <c r="AQ800" s="47"/>
      <c r="AR800" s="47"/>
      <c r="AS800" s="8"/>
      <c r="AT800" s="8"/>
      <c r="AU800" s="47"/>
      <c r="AV800" s="47"/>
      <c r="AW800" s="8"/>
      <c r="AX800" s="8"/>
      <c r="AY800" s="47"/>
      <c r="AZ800" s="47"/>
      <c r="BA800" s="8" t="s">
        <v>221</v>
      </c>
      <c r="BB800" s="8">
        <f>(320+48)</f>
        <v>368</v>
      </c>
      <c r="BC800" s="47"/>
      <c r="BD800" s="47"/>
      <c r="BE800" s="8"/>
      <c r="BF800" s="8"/>
      <c r="BG800" s="47"/>
      <c r="BH800" s="47"/>
      <c r="BI800" s="8"/>
      <c r="BJ800" s="3"/>
      <c r="BK800" s="47"/>
      <c r="BL800" s="47"/>
      <c r="BM800" s="46"/>
      <c r="BN800" s="46"/>
      <c r="BO800" s="24">
        <f>AL800+AN800+AP800+AR800+AT800+AV800+AX800+AZ800+BB800+BD800+BF800+BH800+BJ800+BL800</f>
        <v>15368</v>
      </c>
      <c r="BP800" s="28">
        <f>AJ800-BO800</f>
        <v>-412243.2305</v>
      </c>
      <c r="BQ800" s="2">
        <v>45471</v>
      </c>
      <c r="BS800">
        <f>(15.63+26050.3+2223.3+23.8+5.4+1054.25)</f>
        <v>29372.68</v>
      </c>
    </row>
    <row r="801" spans="1:73" hidden="true">
      <c r="D801" s="9" t="s">
        <v>11</v>
      </c>
      <c r="E801" s="2">
        <v>45472</v>
      </c>
      <c r="F801" s="38"/>
      <c r="G801" s="51"/>
      <c r="H801" s="4">
        <f>F124*50%</f>
        <v>1986.15</v>
      </c>
      <c r="I801" s="120"/>
      <c r="J801" s="4">
        <f>(G801+H801)-I801</f>
        <v>1986.15</v>
      </c>
      <c r="K801" s="4">
        <f>J801+O800</f>
        <v>-37697.4</v>
      </c>
      <c r="L801" s="3"/>
      <c r="M801" s="3"/>
      <c r="N801" s="33">
        <f>I801+M801</f>
        <v>0</v>
      </c>
      <c r="O801" s="28">
        <f>K801-M801</f>
        <v>-37697.4</v>
      </c>
      <c r="P801" s="9" t="s">
        <v>11</v>
      </c>
      <c r="Q801" s="2">
        <v>45472</v>
      </c>
      <c r="R801" s="38"/>
      <c r="S801" s="52"/>
      <c r="T801" s="4">
        <f>R124*45%</f>
        <v>4937.85</v>
      </c>
      <c r="U801" s="5"/>
      <c r="V801" s="4">
        <f>(S801+T801)-U801</f>
        <v>4937.85</v>
      </c>
      <c r="W801" s="4">
        <f>V801+AA800</f>
        <v>-1387.835</v>
      </c>
      <c r="X801" s="3"/>
      <c r="Y801" s="3"/>
      <c r="Z801" s="25">
        <f>U801+Y801</f>
        <v>0</v>
      </c>
      <c r="AA801" s="76">
        <f>W801-Y801</f>
        <v>-1387.835</v>
      </c>
      <c r="AB801" s="9" t="s">
        <v>11</v>
      </c>
      <c r="AC801" s="19">
        <v>45472</v>
      </c>
      <c r="AD801" s="41"/>
      <c r="AE801" s="42"/>
      <c r="AF801" s="4">
        <f>AD124-H801-T801</f>
        <v>8021.3</v>
      </c>
      <c r="AG801" s="3"/>
      <c r="AH801" s="8">
        <v>1362.85</v>
      </c>
      <c r="AI801" s="4">
        <f>(AE801+AF801)-AH801</f>
        <v>6658.45</v>
      </c>
      <c r="AJ801" s="4">
        <f>AI801+BP800</f>
        <v>-405584.7805</v>
      </c>
      <c r="AK801" s="8" t="s">
        <v>222</v>
      </c>
      <c r="AL801" s="8">
        <f>(2000)</f>
        <v>2000</v>
      </c>
      <c r="AM801" s="47"/>
      <c r="AN801" s="47"/>
      <c r="AO801" s="8"/>
      <c r="AP801" s="8"/>
      <c r="AQ801" s="47"/>
      <c r="AR801" s="47"/>
      <c r="AS801" s="8"/>
      <c r="AT801" s="8"/>
      <c r="AU801" s="47"/>
      <c r="AV801" s="47"/>
      <c r="AW801" s="8"/>
      <c r="AX801" s="8"/>
      <c r="AY801" s="47" t="s">
        <v>116</v>
      </c>
      <c r="AZ801" s="47">
        <f>(1000)</f>
        <v>1000</v>
      </c>
      <c r="BA801" s="3" t="s">
        <v>223</v>
      </c>
      <c r="BB801" s="8">
        <f>(600+53)</f>
        <v>653</v>
      </c>
      <c r="BC801" s="47"/>
      <c r="BD801" s="47"/>
      <c r="BE801" s="8"/>
      <c r="BF801" s="8"/>
      <c r="BG801" s="47"/>
      <c r="BH801" s="47"/>
      <c r="BI801" s="8"/>
      <c r="BJ801" s="3"/>
      <c r="BK801" s="47"/>
      <c r="BL801" s="47"/>
      <c r="BM801" s="46"/>
      <c r="BN801" s="46"/>
      <c r="BO801" s="24">
        <f>AL801+AN801+AP801+AR801+AT801+AV801+AX801+AZ801+BB801+BD801+BF801+BH801+BJ801+BL801</f>
        <v>3653</v>
      </c>
      <c r="BP801" s="28">
        <f>AJ801-BO801</f>
        <v>-409237.7805</v>
      </c>
      <c r="BQ801" s="2">
        <v>45472</v>
      </c>
    </row>
    <row r="802" spans="1:73" hidden="true" s="13" customFormat="1">
      <c r="D802" s="13" t="s">
        <v>12</v>
      </c>
      <c r="E802" s="10">
        <v>45473</v>
      </c>
      <c r="F802" s="10"/>
      <c r="G802" s="54"/>
      <c r="H802" s="11">
        <f>F125*50%</f>
        <v>3064.5</v>
      </c>
      <c r="I802" s="121"/>
      <c r="J802" s="11">
        <f>(G802+H802)-I802</f>
        <v>3064.5</v>
      </c>
      <c r="K802" s="11">
        <f>J802+O801</f>
        <v>-34632.9</v>
      </c>
      <c r="L802" s="11"/>
      <c r="M802" s="11"/>
      <c r="N802" s="26">
        <f>I802+M802</f>
        <v>0</v>
      </c>
      <c r="O802" s="11">
        <f>K802-M802</f>
        <v>-34632.9</v>
      </c>
      <c r="P802" s="13" t="s">
        <v>12</v>
      </c>
      <c r="Q802" s="10">
        <v>45473</v>
      </c>
      <c r="R802" s="10"/>
      <c r="S802" s="53"/>
      <c r="T802" s="11">
        <f>R125*45%</f>
        <v>5148.9</v>
      </c>
      <c r="U802" s="12"/>
      <c r="V802" s="11">
        <f>(S802+T802)-U802</f>
        <v>5148.9</v>
      </c>
      <c r="W802" s="11">
        <f>V802+AA801</f>
        <v>3761.065</v>
      </c>
      <c r="X802" s="11"/>
      <c r="Y802" s="11"/>
      <c r="Z802" s="26">
        <f>U802+Y802</f>
        <v>0</v>
      </c>
      <c r="AA802" s="53">
        <f>W802-Y802</f>
        <v>3761.065</v>
      </c>
      <c r="AB802" s="13" t="s">
        <v>12</v>
      </c>
      <c r="AC802" s="20">
        <v>45473</v>
      </c>
      <c r="AD802" s="14"/>
      <c r="AE802" s="27"/>
      <c r="AF802" s="11">
        <f>AD125-H802-T802</f>
        <v>9357.6</v>
      </c>
      <c r="AG802" s="11"/>
      <c r="AH802" s="15">
        <v>1362.85</v>
      </c>
      <c r="AI802" s="11">
        <f>(AE802+AF802)-AH802</f>
        <v>7994.75</v>
      </c>
      <c r="AJ802" s="11">
        <f>AI802+BP801</f>
        <v>-401243.0305</v>
      </c>
      <c r="AK802" s="15" t="s">
        <v>98</v>
      </c>
      <c r="AL802" s="15">
        <f>(5000)</f>
        <v>5000</v>
      </c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1"/>
      <c r="BK802" s="15"/>
      <c r="BL802" s="15"/>
      <c r="BM802" s="23"/>
      <c r="BN802" s="23"/>
      <c r="BO802" s="23">
        <f>AL802+AN802+AP802+AR802+AT802+AV802+AX802+AZ802+BB802+BD802+BF802+BH802+BJ802+BL802</f>
        <v>5000</v>
      </c>
      <c r="BP802" s="11">
        <f>AJ802-BO802</f>
        <v>-406243.0305</v>
      </c>
      <c r="BQ802" s="10">
        <v>45473</v>
      </c>
    </row>
    <row r="803" spans="1:73" hidden="true">
      <c r="D803" s="9" t="s">
        <v>13</v>
      </c>
      <c r="E803" s="2">
        <v>45474</v>
      </c>
      <c r="F803" s="38"/>
      <c r="G803" s="51"/>
      <c r="H803" s="4">
        <f>F126*50%</f>
        <v>1683.325</v>
      </c>
      <c r="I803" s="120">
        <v>2703.1</v>
      </c>
      <c r="J803" s="4">
        <f>(G803+H803)-I803</f>
        <v>-1019.775</v>
      </c>
      <c r="K803" s="4">
        <f>J803+O802</f>
        <v>-35652.675</v>
      </c>
      <c r="L803" s="3"/>
      <c r="M803" s="3"/>
      <c r="N803" s="33">
        <f>I803+M803</f>
        <v>2703.1</v>
      </c>
      <c r="O803" s="28">
        <f>K803-M803</f>
        <v>-35652.675</v>
      </c>
      <c r="P803" s="9" t="s">
        <v>13</v>
      </c>
      <c r="Q803" s="2">
        <v>45474</v>
      </c>
      <c r="R803" s="38"/>
      <c r="S803" s="52"/>
      <c r="T803" s="4">
        <f>R126*45%</f>
        <v>4209.3</v>
      </c>
      <c r="U803" s="5">
        <v>2855</v>
      </c>
      <c r="V803" s="4">
        <f>(S803+T803)-U803</f>
        <v>1354.3</v>
      </c>
      <c r="W803" s="4">
        <f>V803+AA802</f>
        <v>5115.365</v>
      </c>
      <c r="X803" s="3"/>
      <c r="Y803" s="3"/>
      <c r="Z803" s="25">
        <f>U803+Y803</f>
        <v>2855</v>
      </c>
      <c r="AA803" s="76">
        <f>W803-Y803</f>
        <v>5115.365</v>
      </c>
      <c r="AB803" s="9" t="s">
        <v>13</v>
      </c>
      <c r="AC803" s="19">
        <v>45474</v>
      </c>
      <c r="AD803" s="41"/>
      <c r="AE803" s="42"/>
      <c r="AF803" s="4">
        <f>AD126-H803-T803</f>
        <v>6828.025</v>
      </c>
      <c r="AG803" s="3"/>
      <c r="AH803" s="8">
        <v>995.9</v>
      </c>
      <c r="AI803" s="4">
        <f>(AE803+AF803)-AH803</f>
        <v>5832.125</v>
      </c>
      <c r="AJ803" s="4">
        <f>AI803+BP802</f>
        <v>-400410.9055</v>
      </c>
      <c r="AK803" s="8"/>
      <c r="AL803" s="8"/>
      <c r="AM803" s="47" t="s">
        <v>224</v>
      </c>
      <c r="AN803" s="47">
        <f>(1800)</f>
        <v>1800</v>
      </c>
      <c r="AO803" s="8"/>
      <c r="AP803" s="8"/>
      <c r="AQ803" s="47"/>
      <c r="AR803" s="47"/>
      <c r="AS803" s="8"/>
      <c r="AT803" s="8"/>
      <c r="AU803" s="47"/>
      <c r="AV803" s="47"/>
      <c r="AW803" s="8"/>
      <c r="AX803" s="8"/>
      <c r="AY803" s="47" t="s">
        <v>225</v>
      </c>
      <c r="AZ803" s="47">
        <f>(1800+1100)</f>
        <v>2900</v>
      </c>
      <c r="BA803" s="8"/>
      <c r="BB803" s="8"/>
      <c r="BC803" s="47"/>
      <c r="BD803" s="47"/>
      <c r="BE803" s="8"/>
      <c r="BF803" s="8"/>
      <c r="BG803" s="47"/>
      <c r="BH803" s="47"/>
      <c r="BI803" s="8"/>
      <c r="BJ803" s="3"/>
      <c r="BK803" s="47"/>
      <c r="BL803" s="47"/>
      <c r="BM803" s="46"/>
      <c r="BN803" s="46"/>
      <c r="BO803" s="24">
        <f>AL803+AN803+AP803+AR803+AT803+AV803+AX803+AZ803+BB803+BD803+BF803+BH803+BJ803+BL803</f>
        <v>4700</v>
      </c>
      <c r="BP803" s="28">
        <f>AJ803-BO803</f>
        <v>-405110.9055</v>
      </c>
      <c r="BQ803" s="2">
        <v>45474</v>
      </c>
    </row>
    <row r="804" spans="1:73" hidden="true">
      <c r="D804" s="9" t="s">
        <v>14</v>
      </c>
      <c r="E804" s="2">
        <v>45475</v>
      </c>
      <c r="F804" s="38"/>
      <c r="G804" s="51"/>
      <c r="H804" s="4">
        <f>F127*50%</f>
        <v>1501.7</v>
      </c>
      <c r="I804" s="120">
        <v>468</v>
      </c>
      <c r="J804" s="4">
        <f>(G804+H804)-I804</f>
        <v>1033.7</v>
      </c>
      <c r="K804" s="4">
        <f>J804+O803</f>
        <v>-34618.975</v>
      </c>
      <c r="L804" s="3"/>
      <c r="M804" s="3"/>
      <c r="N804" s="33">
        <f>I804+M804</f>
        <v>468</v>
      </c>
      <c r="O804" s="28">
        <f>K804-M804</f>
        <v>-34618.975</v>
      </c>
      <c r="P804" s="9" t="s">
        <v>14</v>
      </c>
      <c r="Q804" s="2">
        <v>45475</v>
      </c>
      <c r="R804" s="38"/>
      <c r="S804" s="52"/>
      <c r="T804" s="4">
        <f>R127*45%</f>
        <v>2764.8</v>
      </c>
      <c r="U804" s="5">
        <v>1200</v>
      </c>
      <c r="V804" s="4">
        <f>(S804+T804)-U804</f>
        <v>1564.8</v>
      </c>
      <c r="W804" s="4">
        <f>V804+AA803</f>
        <v>6680.165</v>
      </c>
      <c r="X804" s="3"/>
      <c r="Y804" s="3"/>
      <c r="Z804" s="25">
        <f>U804+Y804</f>
        <v>1200</v>
      </c>
      <c r="AA804" s="76">
        <f>W804-Y804</f>
        <v>6680.165</v>
      </c>
      <c r="AB804" s="9" t="s">
        <v>14</v>
      </c>
      <c r="AC804" s="19">
        <v>45475</v>
      </c>
      <c r="AD804" s="41"/>
      <c r="AE804" s="42"/>
      <c r="AF804" s="4">
        <f>AD127-H804-T804</f>
        <v>4880.9</v>
      </c>
      <c r="AG804" s="3"/>
      <c r="AH804" s="8">
        <v>892.25</v>
      </c>
      <c r="AI804" s="4">
        <f>(AE804+AF804)-AH804</f>
        <v>3988.65</v>
      </c>
      <c r="AJ804" s="4">
        <f>AI804+BP803</f>
        <v>-401122.2555</v>
      </c>
      <c r="AK804" s="8" t="s">
        <v>226</v>
      </c>
      <c r="AL804" s="8">
        <f>(4000)</f>
        <v>4000</v>
      </c>
      <c r="AM804" s="47"/>
      <c r="AN804" s="47"/>
      <c r="AO804" s="8"/>
      <c r="AP804" s="8"/>
      <c r="AQ804" s="47"/>
      <c r="AR804" s="47"/>
      <c r="AS804" s="8"/>
      <c r="AT804" s="8"/>
      <c r="AU804" s="47"/>
      <c r="AV804" s="47"/>
      <c r="AW804" s="8"/>
      <c r="AX804" s="8"/>
      <c r="AY804" s="47"/>
      <c r="AZ804" s="47"/>
      <c r="BA804" s="8"/>
      <c r="BB804" s="8"/>
      <c r="BC804" s="47"/>
      <c r="BD804" s="47"/>
      <c r="BE804" s="8"/>
      <c r="BF804" s="8"/>
      <c r="BG804" s="47"/>
      <c r="BH804" s="47"/>
      <c r="BI804" s="8" t="s">
        <v>227</v>
      </c>
      <c r="BJ804" s="3">
        <f>(6000)</f>
        <v>6000</v>
      </c>
      <c r="BK804" s="47"/>
      <c r="BL804" s="47"/>
      <c r="BM804" s="46"/>
      <c r="BN804" s="46"/>
      <c r="BO804" s="24">
        <f>AL804+AN804+AP804+AR804+AT804+AV804+AX804+AZ804+BB804+BD804+BF804+BH804+BJ804+BL804</f>
        <v>10000</v>
      </c>
      <c r="BP804" s="28">
        <f>AJ804-BO804</f>
        <v>-411122.2555</v>
      </c>
      <c r="BQ804" s="2">
        <v>45475</v>
      </c>
    </row>
    <row r="805" spans="1:73" hidden="true">
      <c r="D805" s="9" t="s">
        <v>15</v>
      </c>
      <c r="E805" s="2">
        <v>45476</v>
      </c>
      <c r="F805" s="38"/>
      <c r="G805" s="51"/>
      <c r="H805" s="4">
        <f>F128*50%</f>
        <v>1748.325</v>
      </c>
      <c r="I805" s="120">
        <v>1611</v>
      </c>
      <c r="J805" s="4">
        <f>(G805+H805)-I805</f>
        <v>137.325</v>
      </c>
      <c r="K805" s="4">
        <f>J805+O804</f>
        <v>-34481.65</v>
      </c>
      <c r="L805" s="3"/>
      <c r="M805" s="3"/>
      <c r="N805" s="33">
        <f>I805+M805</f>
        <v>1611</v>
      </c>
      <c r="O805" s="28">
        <f>K805-M805</f>
        <v>-34481.65</v>
      </c>
      <c r="P805" s="9" t="s">
        <v>15</v>
      </c>
      <c r="Q805" s="2">
        <v>45476</v>
      </c>
      <c r="R805" s="38"/>
      <c r="S805" s="52"/>
      <c r="T805" s="4">
        <f>R128*45%</f>
        <v>3477.15</v>
      </c>
      <c r="U805" s="5">
        <v>667</v>
      </c>
      <c r="V805" s="4">
        <f>(S805+T805)-U805</f>
        <v>2810.15</v>
      </c>
      <c r="W805" s="4">
        <f>V805+AA804</f>
        <v>9490.315</v>
      </c>
      <c r="X805" s="3"/>
      <c r="Y805" s="3"/>
      <c r="Z805" s="25">
        <f>U805+Y805</f>
        <v>667</v>
      </c>
      <c r="AA805" s="76">
        <f>W805-Y805</f>
        <v>9490.315</v>
      </c>
      <c r="AB805" s="9" t="s">
        <v>15</v>
      </c>
      <c r="AC805" s="19">
        <v>45476</v>
      </c>
      <c r="AD805" s="41"/>
      <c r="AE805" s="42"/>
      <c r="AF805" s="4">
        <f>AD128-H805-T805</f>
        <v>5998.175</v>
      </c>
      <c r="AG805" s="3"/>
      <c r="AH805" s="8">
        <v>1012.8</v>
      </c>
      <c r="AI805" s="4">
        <f>(AE805+AF805)-AH805</f>
        <v>4985.375</v>
      </c>
      <c r="AJ805" s="4">
        <f>AI805+BP804</f>
        <v>-406136.8805</v>
      </c>
      <c r="AK805" s="3" t="s">
        <v>41</v>
      </c>
      <c r="AL805" s="8">
        <f>(6790.15)</f>
        <v>6790.15</v>
      </c>
      <c r="AM805" s="47"/>
      <c r="AN805" s="47"/>
      <c r="AO805" s="8"/>
      <c r="AP805" s="8"/>
      <c r="AQ805" s="47"/>
      <c r="AR805" s="47"/>
      <c r="AS805" s="8"/>
      <c r="AT805" s="8"/>
      <c r="AU805" s="47"/>
      <c r="AV805" s="47"/>
      <c r="AW805" s="8"/>
      <c r="AX805" s="8"/>
      <c r="AY805" s="47" t="s">
        <v>228</v>
      </c>
      <c r="AZ805" s="47">
        <f>(375.85)</f>
        <v>375.85</v>
      </c>
      <c r="BA805" s="8" t="s">
        <v>229</v>
      </c>
      <c r="BB805" s="8">
        <f>(89)</f>
        <v>89</v>
      </c>
      <c r="BC805" s="47"/>
      <c r="BD805" s="47"/>
      <c r="BE805" s="8"/>
      <c r="BF805" s="8"/>
      <c r="BG805" s="47"/>
      <c r="BH805" s="47"/>
      <c r="BI805" s="8"/>
      <c r="BJ805" s="3"/>
      <c r="BK805" s="47"/>
      <c r="BL805" s="47"/>
      <c r="BM805" s="46"/>
      <c r="BN805" s="46"/>
      <c r="BO805" s="24">
        <f>AL805+AN805+AP805+AR805+AT805+AV805+AX805+AZ805+BB805+BD805+BF805+BH805+BJ805+BL805</f>
        <v>7255</v>
      </c>
      <c r="BP805" s="28">
        <f>AJ805-BO805</f>
        <v>-413391.8805</v>
      </c>
      <c r="BQ805" s="2">
        <v>45476</v>
      </c>
    </row>
    <row r="806" spans="1:73" hidden="true">
      <c r="D806" s="9" t="s">
        <v>16</v>
      </c>
      <c r="E806" s="2">
        <v>45477</v>
      </c>
      <c r="F806" s="38"/>
      <c r="G806" s="51"/>
      <c r="H806" s="4">
        <f>F129*50%</f>
        <v>1451.45</v>
      </c>
      <c r="I806" s="120">
        <v>2737.22</v>
      </c>
      <c r="J806" s="4">
        <f>(G806+H806)-I806</f>
        <v>-1285.77</v>
      </c>
      <c r="K806" s="4">
        <f>J806+O805</f>
        <v>-35767.42</v>
      </c>
      <c r="L806" s="3"/>
      <c r="M806" s="3"/>
      <c r="N806" s="33">
        <f>I806+M806</f>
        <v>2737.22</v>
      </c>
      <c r="O806" s="28">
        <f>K806-M806</f>
        <v>-35767.42</v>
      </c>
      <c r="P806" s="9" t="s">
        <v>16</v>
      </c>
      <c r="Q806" s="2">
        <v>45477</v>
      </c>
      <c r="R806" s="38"/>
      <c r="S806" s="52"/>
      <c r="T806" s="4">
        <f>R129*45%</f>
        <v>2812.05</v>
      </c>
      <c r="U806" s="5">
        <v>535</v>
      </c>
      <c r="V806" s="4">
        <f>(S806+T806)-U806</f>
        <v>2277.05</v>
      </c>
      <c r="W806" s="4">
        <f>V806+AA805</f>
        <v>11767.365</v>
      </c>
      <c r="X806" s="3"/>
      <c r="Y806" s="3"/>
      <c r="Z806" s="25">
        <f>U806+Y806</f>
        <v>535</v>
      </c>
      <c r="AA806" s="76">
        <f>W806-Y806</f>
        <v>11767.365</v>
      </c>
      <c r="AB806" s="9" t="s">
        <v>16</v>
      </c>
      <c r="AC806" s="19">
        <v>45477</v>
      </c>
      <c r="AD806" s="41"/>
      <c r="AE806" s="42"/>
      <c r="AF806" s="4">
        <f>AD129-H806-T806</f>
        <v>4888.4</v>
      </c>
      <c r="AG806" s="3"/>
      <c r="AH806" s="8">
        <v>724</v>
      </c>
      <c r="AI806" s="4">
        <f>(AE806+AF806)-AH806</f>
        <v>4164.4</v>
      </c>
      <c r="AJ806" s="4">
        <f>AI806+BP805</f>
        <v>-409227.4805</v>
      </c>
      <c r="AK806" s="8"/>
      <c r="AL806" s="8"/>
      <c r="AM806" s="47"/>
      <c r="AN806" s="47"/>
      <c r="AO806" s="8"/>
      <c r="AP806" s="8"/>
      <c r="AQ806" s="47"/>
      <c r="AR806" s="47"/>
      <c r="AS806" s="8"/>
      <c r="AT806" s="8"/>
      <c r="AU806" s="47"/>
      <c r="AV806" s="47"/>
      <c r="AW806" s="8"/>
      <c r="AX806" s="8"/>
      <c r="AY806" s="47"/>
      <c r="AZ806" s="47"/>
      <c r="BA806" s="3" t="s">
        <v>230</v>
      </c>
      <c r="BB806" s="8">
        <f>(140.6)</f>
        <v>140.6</v>
      </c>
      <c r="BC806" s="47"/>
      <c r="BD806" s="47"/>
      <c r="BE806" s="8"/>
      <c r="BF806" s="8"/>
      <c r="BG806" s="47"/>
      <c r="BH806" s="47"/>
      <c r="BI806" s="8"/>
      <c r="BJ806" s="3"/>
      <c r="BK806" s="47"/>
      <c r="BL806" s="47"/>
      <c r="BM806" s="46"/>
      <c r="BN806" s="46"/>
      <c r="BO806" s="24">
        <f>AL806+AN806+AP806+AR806+AT806+AV806+AX806+AZ806+BB806+BD806+BF806+BH806+BJ806+BL806</f>
        <v>140.6</v>
      </c>
      <c r="BP806" s="28">
        <f>AJ806-BO806</f>
        <v>-409368.0805</v>
      </c>
      <c r="BQ806" s="2">
        <v>45477</v>
      </c>
    </row>
    <row r="807" spans="1:73" hidden="true">
      <c r="D807" s="9" t="s">
        <v>10</v>
      </c>
      <c r="E807" s="2">
        <v>45478</v>
      </c>
      <c r="F807" s="38"/>
      <c r="G807" s="51"/>
      <c r="H807" s="4">
        <f>F130*50%</f>
        <v>1498.475</v>
      </c>
      <c r="I807" s="120">
        <v>0</v>
      </c>
      <c r="J807" s="4">
        <f>(G807+H807)-I807</f>
        <v>1498.475</v>
      </c>
      <c r="K807" s="4">
        <f>J807+O806</f>
        <v>-34268.945</v>
      </c>
      <c r="L807" s="3"/>
      <c r="M807" s="3"/>
      <c r="N807" s="33">
        <f>I807+M807</f>
        <v>0</v>
      </c>
      <c r="O807" s="28">
        <f>K807-M807</f>
        <v>-34268.945</v>
      </c>
      <c r="P807" s="9" t="s">
        <v>10</v>
      </c>
      <c r="Q807" s="2">
        <v>45478</v>
      </c>
      <c r="R807" s="38"/>
      <c r="S807" s="52"/>
      <c r="T807" s="4">
        <f>R130*45%</f>
        <v>3377.7</v>
      </c>
      <c r="U807" s="5">
        <v>0</v>
      </c>
      <c r="V807" s="4">
        <f>(S807+T807)-U807</f>
        <v>3377.7</v>
      </c>
      <c r="W807" s="4">
        <f>V807+AA806</f>
        <v>15145.065</v>
      </c>
      <c r="X807" s="3"/>
      <c r="Y807" s="3"/>
      <c r="Z807" s="25">
        <f>U807+Y807</f>
        <v>0</v>
      </c>
      <c r="AA807" s="76">
        <f>W807-Y807</f>
        <v>15145.065</v>
      </c>
      <c r="AB807" s="9" t="s">
        <v>10</v>
      </c>
      <c r="AC807" s="19">
        <v>45478</v>
      </c>
      <c r="AD807" s="41"/>
      <c r="AE807" s="42"/>
      <c r="AF807" s="4">
        <f>AD130-H807-T807</f>
        <v>5626.775</v>
      </c>
      <c r="AG807" s="3"/>
      <c r="AH807" s="8">
        <v>868.7</v>
      </c>
      <c r="AI807" s="4">
        <f>(AE807+AF807)-AH807</f>
        <v>4758.075</v>
      </c>
      <c r="AJ807" s="4">
        <f>AI807+BP806</f>
        <v>-404610.0055</v>
      </c>
      <c r="AK807" s="8" t="s">
        <v>41</v>
      </c>
      <c r="AL807" s="8">
        <f>(11110)</f>
        <v>11110</v>
      </c>
      <c r="AM807" s="47"/>
      <c r="AN807" s="47"/>
      <c r="AO807" s="8"/>
      <c r="AP807" s="8"/>
      <c r="AQ807" s="47"/>
      <c r="AR807" s="47"/>
      <c r="AS807" s="8"/>
      <c r="AT807" s="8"/>
      <c r="AU807" s="47"/>
      <c r="AV807" s="47"/>
      <c r="AW807" s="8"/>
      <c r="AX807" s="8"/>
      <c r="AY807" s="47"/>
      <c r="AZ807" s="47"/>
      <c r="BA807" s="3" t="s">
        <v>231</v>
      </c>
      <c r="BB807" s="8">
        <f>(330+276)</f>
        <v>606</v>
      </c>
      <c r="BC807" s="47"/>
      <c r="BD807" s="47"/>
      <c r="BE807" s="8"/>
      <c r="BF807" s="8"/>
      <c r="BG807" s="47"/>
      <c r="BH807" s="47"/>
      <c r="BI807" s="8"/>
      <c r="BJ807" s="3"/>
      <c r="BK807" s="47"/>
      <c r="BL807" s="47"/>
      <c r="BM807" s="46"/>
      <c r="BN807" s="46"/>
      <c r="BO807" s="24">
        <f>AL807+AN807+AP807+AR807+AT807+AV807+AX807+AZ807+BB807+BD807+BF807+BH807+BJ807+BL807</f>
        <v>11716</v>
      </c>
      <c r="BP807" s="28">
        <f>AJ807-BO807</f>
        <v>-416326.0055</v>
      </c>
      <c r="BQ807" s="2">
        <v>45478</v>
      </c>
    </row>
    <row r="808" spans="1:73" hidden="true">
      <c r="D808" s="9" t="s">
        <v>11</v>
      </c>
      <c r="E808" s="2">
        <v>45479</v>
      </c>
      <c r="F808" s="38"/>
      <c r="G808" s="51"/>
      <c r="H808" s="4">
        <f>F131*50%</f>
        <v>1576</v>
      </c>
      <c r="I808" s="120">
        <v>1403</v>
      </c>
      <c r="J808" s="4">
        <f>(G808+H808)-I808</f>
        <v>173</v>
      </c>
      <c r="K808" s="4">
        <f>J808+O807</f>
        <v>-34095.945</v>
      </c>
      <c r="L808" s="3"/>
      <c r="M808" s="3"/>
      <c r="N808" s="33">
        <f>I808+M808</f>
        <v>1403</v>
      </c>
      <c r="O808" s="28">
        <f>K808-M808</f>
        <v>-34095.945</v>
      </c>
      <c r="P808" s="9" t="s">
        <v>11</v>
      </c>
      <c r="Q808" s="2">
        <v>45479</v>
      </c>
      <c r="R808" s="38"/>
      <c r="S808" s="52"/>
      <c r="T808" s="4">
        <f>R131*45%</f>
        <v>4621.95</v>
      </c>
      <c r="U808" s="5">
        <v>930</v>
      </c>
      <c r="V808" s="4">
        <f>(S808+T808)-U808</f>
        <v>3691.95</v>
      </c>
      <c r="W808" s="4">
        <f>V808+AA807</f>
        <v>18837.015</v>
      </c>
      <c r="X808" s="3"/>
      <c r="Y808" s="3"/>
      <c r="Z808" s="25">
        <f>U808+Y808</f>
        <v>930</v>
      </c>
      <c r="AA808" s="76">
        <f>W808-Y808</f>
        <v>18837.015</v>
      </c>
      <c r="AB808" s="9" t="s">
        <v>11</v>
      </c>
      <c r="AC808" s="19">
        <v>45479</v>
      </c>
      <c r="AD808" s="41" t="s">
        <v>232</v>
      </c>
      <c r="AE808" s="42">
        <f>(63000)</f>
        <v>63000</v>
      </c>
      <c r="AF808" s="4">
        <f>AD131-H808-T808</f>
        <v>7225.05</v>
      </c>
      <c r="AG808" s="3"/>
      <c r="AH808" s="8">
        <v>1473.5</v>
      </c>
      <c r="AI808" s="4">
        <f>(AE808+AF808)-AH808</f>
        <v>68751.55</v>
      </c>
      <c r="AJ808" s="4">
        <f>AI808+BP807</f>
        <v>-347574.4555</v>
      </c>
      <c r="AK808" s="8" t="s">
        <v>41</v>
      </c>
      <c r="AL808" s="8">
        <f>(1500)</f>
        <v>1500</v>
      </c>
      <c r="AM808" s="47"/>
      <c r="AN808" s="47"/>
      <c r="AO808" s="8"/>
      <c r="AP808" s="8"/>
      <c r="AQ808" s="47"/>
      <c r="AR808" s="47"/>
      <c r="AS808" s="8"/>
      <c r="AT808" s="8"/>
      <c r="AU808" s="47"/>
      <c r="AV808" s="47"/>
      <c r="AW808" s="8"/>
      <c r="AX808" s="8"/>
      <c r="AY808" s="47" t="s">
        <v>96</v>
      </c>
      <c r="AZ808" s="47">
        <f>(500)</f>
        <v>500</v>
      </c>
      <c r="BA808" s="8" t="s">
        <v>233</v>
      </c>
      <c r="BB808" s="8">
        <f>(4500)</f>
        <v>4500</v>
      </c>
      <c r="BC808" s="47"/>
      <c r="BD808" s="47"/>
      <c r="BE808" s="8"/>
      <c r="BF808" s="8"/>
      <c r="BG808" s="47"/>
      <c r="BH808" s="47"/>
      <c r="BI808" s="8"/>
      <c r="BJ808" s="3"/>
      <c r="BK808" s="47"/>
      <c r="BL808" s="47"/>
      <c r="BM808" s="46"/>
      <c r="BN808" s="46"/>
      <c r="BO808" s="24">
        <f>AL808+AN808+AP808+AR808+AT808+AV808+AX808+AZ808+BB808+BD808+BF808+BH808+BJ808+BL808</f>
        <v>6500</v>
      </c>
      <c r="BP808" s="28">
        <f>AJ808-BO808</f>
        <v>-354074.4555</v>
      </c>
      <c r="BQ808" s="2">
        <v>45479</v>
      </c>
    </row>
    <row r="809" spans="1:73" hidden="true">
      <c r="D809" s="9" t="s">
        <v>12</v>
      </c>
      <c r="E809" s="2">
        <v>45480</v>
      </c>
      <c r="F809" s="38"/>
      <c r="G809" s="51"/>
      <c r="H809" s="4">
        <f>F132*50%</f>
        <v>2805.525</v>
      </c>
      <c r="I809" s="120">
        <v>0</v>
      </c>
      <c r="J809" s="4">
        <f>(G809+H809)-I809</f>
        <v>2805.525</v>
      </c>
      <c r="K809" s="4">
        <f>J809+O808</f>
        <v>-31290.42</v>
      </c>
      <c r="L809" s="3"/>
      <c r="M809" s="3"/>
      <c r="N809" s="33">
        <f>I809+M809</f>
        <v>0</v>
      </c>
      <c r="O809" s="28">
        <f>K809-M809</f>
        <v>-31290.42</v>
      </c>
      <c r="P809" s="9" t="s">
        <v>12</v>
      </c>
      <c r="Q809" s="2">
        <v>45480</v>
      </c>
      <c r="R809" s="38"/>
      <c r="S809" s="52"/>
      <c r="T809" s="4">
        <f>R132*45%</f>
        <v>5444.55</v>
      </c>
      <c r="U809" s="5">
        <v>1380</v>
      </c>
      <c r="V809" s="4">
        <f>(S809+T809)-U809</f>
        <v>4064.55</v>
      </c>
      <c r="W809" s="4">
        <f>V809+AA808</f>
        <v>22901.565</v>
      </c>
      <c r="X809" s="3"/>
      <c r="Y809" s="3"/>
      <c r="Z809" s="25">
        <f>U809+Y809</f>
        <v>1380</v>
      </c>
      <c r="AA809" s="76">
        <f>W809-Y809</f>
        <v>22901.565</v>
      </c>
      <c r="AB809" s="9" t="s">
        <v>12</v>
      </c>
      <c r="AC809" s="19">
        <v>45480</v>
      </c>
      <c r="AD809" s="41"/>
      <c r="AE809" s="42"/>
      <c r="AF809" s="4">
        <f>AD132-H809-T809</f>
        <v>9459.975</v>
      </c>
      <c r="AG809" s="3"/>
      <c r="AH809" s="8">
        <v>1782.4</v>
      </c>
      <c r="AI809" s="4">
        <f>(AE809+AF809)-AH809</f>
        <v>7677.575</v>
      </c>
      <c r="AJ809" s="4">
        <f>AI809+BP808</f>
        <v>-346396.8805</v>
      </c>
      <c r="AK809" s="8" t="s">
        <v>41</v>
      </c>
      <c r="AL809" s="8">
        <f>(8551.37)</f>
        <v>8551.37</v>
      </c>
      <c r="AM809" s="47" t="s">
        <v>117</v>
      </c>
      <c r="AN809" s="47">
        <f>(2000)</f>
        <v>2000</v>
      </c>
      <c r="AO809" s="8"/>
      <c r="AP809" s="8"/>
      <c r="AQ809" s="47"/>
      <c r="AR809" s="47"/>
      <c r="AS809" s="8"/>
      <c r="AT809" s="8"/>
      <c r="AU809" s="47"/>
      <c r="AV809" s="47"/>
      <c r="AW809" s="8"/>
      <c r="AX809" s="8"/>
      <c r="AY809" s="47"/>
      <c r="AZ809" s="47"/>
      <c r="BA809" s="8"/>
      <c r="BB809" s="8"/>
      <c r="BC809" s="47"/>
      <c r="BD809" s="47"/>
      <c r="BE809" s="8"/>
      <c r="BF809" s="8"/>
      <c r="BG809" s="47"/>
      <c r="BH809" s="47"/>
      <c r="BI809" s="3"/>
      <c r="BJ809" s="3"/>
      <c r="BK809" s="47"/>
      <c r="BL809" s="47"/>
      <c r="BM809" s="46"/>
      <c r="BN809" s="46"/>
      <c r="BO809" s="24">
        <f>AL809+AN809+AP809+AR809+AT809+AV809+AX809+AZ809+BB809+BD809+BF809+BH809+BJ809+BL809</f>
        <v>10551.37</v>
      </c>
      <c r="BP809" s="28">
        <f>AJ809-BO809</f>
        <v>-356948.2505</v>
      </c>
      <c r="BQ809" s="2">
        <v>45480</v>
      </c>
    </row>
    <row r="810" spans="1:73" hidden="true">
      <c r="D810" s="9" t="s">
        <v>13</v>
      </c>
      <c r="E810" s="2">
        <v>45481</v>
      </c>
      <c r="F810" s="38"/>
      <c r="G810" s="51"/>
      <c r="H810" s="4">
        <f>F133*50%</f>
        <v>1433.725</v>
      </c>
      <c r="I810" s="120">
        <v>0</v>
      </c>
      <c r="J810" s="4">
        <f>(G810+H810)-I810</f>
        <v>1433.725</v>
      </c>
      <c r="K810" s="4">
        <f>J810+O809</f>
        <v>-29856.695</v>
      </c>
      <c r="L810" s="3"/>
      <c r="M810" s="3"/>
      <c r="N810" s="33">
        <f>I810+M810</f>
        <v>0</v>
      </c>
      <c r="O810" s="28">
        <f>K810-M810</f>
        <v>-29856.695</v>
      </c>
      <c r="P810" s="9" t="s">
        <v>13</v>
      </c>
      <c r="Q810" s="2">
        <v>45481</v>
      </c>
      <c r="R810" s="38"/>
      <c r="S810" s="52"/>
      <c r="T810" s="4">
        <f>R133*45%</f>
        <v>3749.85</v>
      </c>
      <c r="U810" s="5">
        <v>1495</v>
      </c>
      <c r="V810" s="4">
        <f>(S810+T810)-U810</f>
        <v>2254.85</v>
      </c>
      <c r="W810" s="4">
        <f>V810+AA809</f>
        <v>25156.415</v>
      </c>
      <c r="X810" s="3"/>
      <c r="Y810" s="3"/>
      <c r="Z810" s="25">
        <f>U810+Y810</f>
        <v>1495</v>
      </c>
      <c r="AA810" s="76">
        <f>W810-Y810</f>
        <v>25156.415</v>
      </c>
      <c r="AB810" s="9" t="s">
        <v>13</v>
      </c>
      <c r="AC810" s="19">
        <v>45481</v>
      </c>
      <c r="AD810" s="41"/>
      <c r="AE810" s="42"/>
      <c r="AF810" s="4">
        <f>AD133-H810-T810</f>
        <v>6016.875</v>
      </c>
      <c r="AG810" s="3"/>
      <c r="AH810" s="8">
        <v>1179</v>
      </c>
      <c r="AI810" s="4">
        <f>(AE810+AF810)-AH810</f>
        <v>4837.875</v>
      </c>
      <c r="AJ810" s="4">
        <f>AI810+BP809</f>
        <v>-352110.3755</v>
      </c>
      <c r="AK810" s="8"/>
      <c r="AL810" s="8"/>
      <c r="AM810" s="47" t="s">
        <v>234</v>
      </c>
      <c r="AN810" s="47">
        <f>(8028)</f>
        <v>8028</v>
      </c>
      <c r="AO810" s="8"/>
      <c r="AP810" s="8"/>
      <c r="AQ810" s="47"/>
      <c r="AR810" s="47"/>
      <c r="AS810" s="8"/>
      <c r="AT810" s="8"/>
      <c r="AU810" s="47"/>
      <c r="AV810" s="47"/>
      <c r="AW810" s="8"/>
      <c r="AX810" s="8"/>
      <c r="AY810" s="47"/>
      <c r="AZ810" s="47"/>
      <c r="BA810" s="3" t="s">
        <v>235</v>
      </c>
      <c r="BB810" s="8">
        <f>(11000+300+7525)</f>
        <v>18825</v>
      </c>
      <c r="BC810" s="47"/>
      <c r="BD810" s="47"/>
      <c r="BE810" s="8"/>
      <c r="BF810" s="8"/>
      <c r="BG810" s="47"/>
      <c r="BH810" s="47"/>
      <c r="BI810" s="8"/>
      <c r="BJ810" s="3"/>
      <c r="BK810" s="47"/>
      <c r="BL810" s="47"/>
      <c r="BM810" s="46"/>
      <c r="BN810" s="46"/>
      <c r="BO810" s="24">
        <f>AL810+AN810+AP810+AR810+AT810+AV810+AX810+AZ810+BB810+BD810+BF810+BH810+BJ810+BL810</f>
        <v>26853</v>
      </c>
      <c r="BP810" s="28">
        <f>AJ810-BO810</f>
        <v>-378963.3755</v>
      </c>
      <c r="BQ810" s="2">
        <v>45481</v>
      </c>
    </row>
    <row r="811" spans="1:73" hidden="true">
      <c r="D811" s="9" t="s">
        <v>14</v>
      </c>
      <c r="E811" s="2">
        <v>45482</v>
      </c>
      <c r="F811" s="38"/>
      <c r="G811" s="51"/>
      <c r="H811" s="4">
        <f>F134*50%</f>
        <v>2027.25</v>
      </c>
      <c r="I811" s="120">
        <v>2697.8</v>
      </c>
      <c r="J811" s="4">
        <f>(G811+H811)-I811</f>
        <v>-670.55</v>
      </c>
      <c r="K811" s="4">
        <f>J811+O810</f>
        <v>-30527.245</v>
      </c>
      <c r="L811" s="3"/>
      <c r="M811" s="3"/>
      <c r="N811" s="33">
        <f>I811+M811</f>
        <v>2697.8</v>
      </c>
      <c r="O811" s="28">
        <f>K811-M811</f>
        <v>-30527.245</v>
      </c>
      <c r="P811" s="9" t="s">
        <v>14</v>
      </c>
      <c r="Q811" s="2">
        <v>45482</v>
      </c>
      <c r="R811" s="38"/>
      <c r="S811" s="52"/>
      <c r="T811" s="4">
        <f>R134*45%</f>
        <v>2261.7</v>
      </c>
      <c r="U811" s="5">
        <v>0</v>
      </c>
      <c r="V811" s="4">
        <f>(S811+T811)-U811</f>
        <v>2261.7</v>
      </c>
      <c r="W811" s="4">
        <f>V811+AA810</f>
        <v>27418.115</v>
      </c>
      <c r="X811" s="3"/>
      <c r="Y811" s="3"/>
      <c r="Z811" s="25">
        <f>U811+Y811</f>
        <v>0</v>
      </c>
      <c r="AA811" s="76">
        <f>W811-Y811</f>
        <v>27418.115</v>
      </c>
      <c r="AB811" s="9" t="s">
        <v>14</v>
      </c>
      <c r="AC811" s="19">
        <v>45482</v>
      </c>
      <c r="AD811" s="41"/>
      <c r="AE811" s="42"/>
      <c r="AF811" s="4">
        <f>AD134-H811-T811</f>
        <v>4791.55</v>
      </c>
      <c r="AG811" s="3"/>
      <c r="AH811" s="8">
        <v>1149.5</v>
      </c>
      <c r="AI811" s="4">
        <f>(AE811+AF811)-AH811</f>
        <v>3642.05</v>
      </c>
      <c r="AJ811" s="4">
        <f>AI811+BP810</f>
        <v>-375321.3255</v>
      </c>
      <c r="AK811" s="8"/>
      <c r="AL811" s="8"/>
      <c r="AM811" s="47"/>
      <c r="AN811" s="47"/>
      <c r="AO811" s="8"/>
      <c r="AP811" s="8"/>
      <c r="AQ811" s="47"/>
      <c r="AR811" s="47"/>
      <c r="AS811" s="8"/>
      <c r="AT811" s="8"/>
      <c r="AU811" s="47"/>
      <c r="AV811" s="47"/>
      <c r="AW811" s="8"/>
      <c r="AX811" s="8"/>
      <c r="AY811" s="47"/>
      <c r="AZ811" s="47"/>
      <c r="BA811" s="3"/>
      <c r="BB811" s="8"/>
      <c r="BC811" s="47"/>
      <c r="BD811" s="47"/>
      <c r="BE811" s="8"/>
      <c r="BF811" s="8"/>
      <c r="BG811" s="47"/>
      <c r="BH811" s="47"/>
      <c r="BI811" s="8"/>
      <c r="BJ811" s="3"/>
      <c r="BK811" s="47"/>
      <c r="BL811" s="47"/>
      <c r="BM811" s="46"/>
      <c r="BN811" s="46"/>
      <c r="BO811" s="24">
        <f>AL811+AN811+AP811+AR811+AT811+AV811+AX811+AZ811+BB811+BD811+BF811+BH811+BJ811+BL811</f>
        <v>0</v>
      </c>
      <c r="BP811" s="28">
        <f>AJ811-BO811</f>
        <v>-375321.3255</v>
      </c>
      <c r="BQ811" s="2">
        <v>45482</v>
      </c>
    </row>
    <row r="812" spans="1:73" hidden="true">
      <c r="D812" s="9" t="s">
        <v>15</v>
      </c>
      <c r="E812" s="2">
        <v>45483</v>
      </c>
      <c r="F812" s="38"/>
      <c r="G812" s="51"/>
      <c r="H812" s="4">
        <f>F135*50%</f>
        <v>2126.4</v>
      </c>
      <c r="I812" s="120">
        <v>1563</v>
      </c>
      <c r="J812" s="4">
        <f>(G812+H812)-I812</f>
        <v>563.4</v>
      </c>
      <c r="K812" s="4">
        <f>J812+O811</f>
        <v>-29963.845</v>
      </c>
      <c r="L812" s="3"/>
      <c r="M812" s="3"/>
      <c r="N812" s="33">
        <f>I812+M812</f>
        <v>1563</v>
      </c>
      <c r="O812" s="28">
        <f>K812-M812</f>
        <v>-29963.845</v>
      </c>
      <c r="P812" s="9" t="s">
        <v>15</v>
      </c>
      <c r="Q812" s="2">
        <v>45483</v>
      </c>
      <c r="R812" s="38"/>
      <c r="S812" s="52"/>
      <c r="T812" s="4">
        <f>R135*45%</f>
        <v>4858.2</v>
      </c>
      <c r="U812" s="5">
        <v>1300</v>
      </c>
      <c r="V812" s="4">
        <f>(S812+T812)-U812</f>
        <v>3558.2</v>
      </c>
      <c r="W812" s="4">
        <f>V812+AA811</f>
        <v>30976.315</v>
      </c>
      <c r="X812" s="3"/>
      <c r="Y812" s="3"/>
      <c r="Z812" s="25">
        <f>U812+Y812</f>
        <v>1300</v>
      </c>
      <c r="AA812" s="76">
        <f>W812-Y812</f>
        <v>30976.315</v>
      </c>
      <c r="AB812" s="9" t="s">
        <v>15</v>
      </c>
      <c r="AC812" s="19">
        <v>45483</v>
      </c>
      <c r="AD812" s="41"/>
      <c r="AE812" s="42"/>
      <c r="AF812" s="4">
        <f>AD135-H812-T812</f>
        <v>8064.2</v>
      </c>
      <c r="AG812" s="3"/>
      <c r="AH812" s="8">
        <v>1142</v>
      </c>
      <c r="AI812" s="4">
        <f>(AE812+AF812)-AH812</f>
        <v>6922.2</v>
      </c>
      <c r="AJ812" s="4">
        <f>AI812+BP811</f>
        <v>-368399.1255</v>
      </c>
      <c r="AK812" s="8" t="s">
        <v>41</v>
      </c>
      <c r="AL812" s="8">
        <f>(40163.95)</f>
        <v>40163.95</v>
      </c>
      <c r="AM812" s="47" t="s">
        <v>236</v>
      </c>
      <c r="AN812" s="47">
        <f>(15000+3200)</f>
        <v>18200</v>
      </c>
      <c r="AO812" s="8"/>
      <c r="AP812" s="8"/>
      <c r="AQ812" s="47"/>
      <c r="AR812" s="47"/>
      <c r="AS812" s="8"/>
      <c r="AT812" s="8"/>
      <c r="AU812" s="47"/>
      <c r="AV812" s="47"/>
      <c r="AW812" s="8"/>
      <c r="AX812" s="8"/>
      <c r="AY812" s="47"/>
      <c r="AZ812" s="47"/>
      <c r="BA812" s="8"/>
      <c r="BB812" s="8"/>
      <c r="BC812" s="47"/>
      <c r="BD812" s="47"/>
      <c r="BE812" s="8"/>
      <c r="BF812" s="8"/>
      <c r="BG812" s="47"/>
      <c r="BH812" s="47"/>
      <c r="BI812" s="8"/>
      <c r="BJ812" s="3"/>
      <c r="BK812" s="47"/>
      <c r="BL812" s="47"/>
      <c r="BM812" s="46"/>
      <c r="BN812" s="46"/>
      <c r="BO812" s="24">
        <f>AL812+AN812+AP812+AR812+AT812+AV812+AX812+AZ812+BB812+BD812+BF812+BH812+BJ812+BL812</f>
        <v>58363.95</v>
      </c>
      <c r="BP812" s="28">
        <f>AJ812-BO812</f>
        <v>-426763.0755</v>
      </c>
      <c r="BQ812" s="2">
        <v>45483</v>
      </c>
    </row>
    <row r="813" spans="1:73" hidden="true">
      <c r="D813" s="9" t="s">
        <v>16</v>
      </c>
      <c r="E813" s="2">
        <v>45484</v>
      </c>
      <c r="F813" s="38"/>
      <c r="G813" s="51"/>
      <c r="H813" s="4">
        <f>F136*50%</f>
        <v>1865.7</v>
      </c>
      <c r="I813" s="120"/>
      <c r="J813" s="4">
        <f>(G813+H813)-I813</f>
        <v>1865.7</v>
      </c>
      <c r="K813" s="4">
        <f>J813+O812</f>
        <v>-28098.145</v>
      </c>
      <c r="L813" s="3"/>
      <c r="M813" s="3"/>
      <c r="N813" s="33">
        <f>I813+M813</f>
        <v>0</v>
      </c>
      <c r="O813" s="28">
        <f>K813-M813</f>
        <v>-28098.145</v>
      </c>
      <c r="P813" s="9" t="s">
        <v>16</v>
      </c>
      <c r="Q813" s="2">
        <v>45484</v>
      </c>
      <c r="R813" s="38"/>
      <c r="S813" s="52"/>
      <c r="T813" s="4">
        <f>R136*45%</f>
        <v>4045.95</v>
      </c>
      <c r="U813" s="5"/>
      <c r="V813" s="4">
        <f>(S813+T813)-U813</f>
        <v>4045.95</v>
      </c>
      <c r="W813" s="4">
        <f>V813+AA812</f>
        <v>35022.265</v>
      </c>
      <c r="X813" s="3"/>
      <c r="Y813" s="3"/>
      <c r="Z813" s="25">
        <f>U813+Y813</f>
        <v>0</v>
      </c>
      <c r="AA813" s="76">
        <f>W813-Y813</f>
        <v>35022.265</v>
      </c>
      <c r="AB813" s="9" t="s">
        <v>16</v>
      </c>
      <c r="AC813" s="19">
        <v>45484</v>
      </c>
      <c r="AD813" s="41"/>
      <c r="AE813" s="42"/>
      <c r="AF813" s="4">
        <f>AD136-H813-T813</f>
        <v>6810.75</v>
      </c>
      <c r="AG813" s="3"/>
      <c r="AH813" s="8">
        <v>1007.3</v>
      </c>
      <c r="AI813" s="4">
        <f>(AE813+AF813)-AH813</f>
        <v>5803.45</v>
      </c>
      <c r="AJ813" s="4">
        <f>AI813+BP812</f>
        <v>-420959.6255</v>
      </c>
      <c r="AK813" s="8"/>
      <c r="AL813" s="8"/>
      <c r="AM813" s="47"/>
      <c r="AN813" s="47"/>
      <c r="AO813" s="8"/>
      <c r="AP813" s="8"/>
      <c r="AQ813" s="47"/>
      <c r="AR813" s="47"/>
      <c r="AS813" s="8"/>
      <c r="AT813" s="8"/>
      <c r="AU813" s="47"/>
      <c r="AV813" s="47"/>
      <c r="AW813" s="8"/>
      <c r="AX813" s="8"/>
      <c r="AY813" s="47"/>
      <c r="AZ813" s="47"/>
      <c r="BA813" s="8" t="s">
        <v>237</v>
      </c>
      <c r="BB813" s="8">
        <f>(4800)</f>
        <v>4800</v>
      </c>
      <c r="BC813" s="47"/>
      <c r="BD813" s="47"/>
      <c r="BE813" s="8"/>
      <c r="BF813" s="8"/>
      <c r="BG813" s="47"/>
      <c r="BH813" s="47"/>
      <c r="BI813" s="8"/>
      <c r="BJ813" s="3"/>
      <c r="BK813" s="47"/>
      <c r="BL813" s="47"/>
      <c r="BM813" s="46"/>
      <c r="BN813" s="46"/>
      <c r="BO813" s="24">
        <f>AL813+AN813+AP813+AR813+AT813+AV813+AX813+AZ813+BB813+BD813+BF813+BH813+BJ813+BL813</f>
        <v>4800</v>
      </c>
      <c r="BP813" s="28">
        <f>AJ813-BO813</f>
        <v>-425759.6255</v>
      </c>
      <c r="BQ813" s="2">
        <v>45484</v>
      </c>
    </row>
    <row r="814" spans="1:73" hidden="true">
      <c r="D814" s="9" t="s">
        <v>10</v>
      </c>
      <c r="E814" s="2">
        <v>45485</v>
      </c>
      <c r="F814" s="38"/>
      <c r="G814" s="51"/>
      <c r="H814" s="4">
        <f>F137*50%</f>
        <v>2289.5</v>
      </c>
      <c r="I814" s="120">
        <v>1755.52</v>
      </c>
      <c r="J814" s="4">
        <f>(G814+H814)-I814</f>
        <v>533.98</v>
      </c>
      <c r="K814" s="4">
        <f>J814+O813</f>
        <v>-27564.165</v>
      </c>
      <c r="L814" s="3"/>
      <c r="M814" s="3"/>
      <c r="N814" s="33">
        <f>I814+M814</f>
        <v>1755.52</v>
      </c>
      <c r="O814" s="28">
        <f>K814-M814</f>
        <v>-27564.165</v>
      </c>
      <c r="P814" s="9" t="s">
        <v>10</v>
      </c>
      <c r="Q814" s="2">
        <v>45485</v>
      </c>
      <c r="R814" s="38"/>
      <c r="S814" s="52"/>
      <c r="T814" s="4">
        <f>R137*45%</f>
        <v>4540.05</v>
      </c>
      <c r="U814" s="5">
        <v>1236</v>
      </c>
      <c r="V814" s="4">
        <f>(S814+T814)-U814</f>
        <v>3304.05</v>
      </c>
      <c r="W814" s="4">
        <f>V814+AA813</f>
        <v>38326.315</v>
      </c>
      <c r="X814" s="3"/>
      <c r="Y814" s="3"/>
      <c r="Z814" s="25">
        <f>U814+Y814</f>
        <v>1236</v>
      </c>
      <c r="AA814" s="76">
        <f>W814-Y814</f>
        <v>38326.315</v>
      </c>
      <c r="AB814" s="9" t="s">
        <v>10</v>
      </c>
      <c r="AC814" s="19">
        <v>45485</v>
      </c>
      <c r="AD814" s="41"/>
      <c r="AE814" s="42"/>
      <c r="AF814" s="4">
        <f>AD137-H814-T814</f>
        <v>7838.45</v>
      </c>
      <c r="AG814" s="3"/>
      <c r="AH814" s="8">
        <v>1409.6</v>
      </c>
      <c r="AI814" s="4">
        <f>(AE814+AF814)-AH814</f>
        <v>6428.85</v>
      </c>
      <c r="AJ814" s="4">
        <f>AI814+BP813</f>
        <v>-419330.7755</v>
      </c>
      <c r="AK814" s="8" t="s">
        <v>41</v>
      </c>
      <c r="AL814" s="8">
        <f>(2782)</f>
        <v>2782</v>
      </c>
      <c r="AM814" s="47" t="s">
        <v>127</v>
      </c>
      <c r="AN814" s="47">
        <f>(8000)</f>
        <v>8000</v>
      </c>
      <c r="AO814" s="8"/>
      <c r="AP814" s="8"/>
      <c r="AQ814" s="47"/>
      <c r="AR814" s="47"/>
      <c r="AS814" s="8"/>
      <c r="AT814" s="8"/>
      <c r="AU814" s="47"/>
      <c r="AV814" s="47"/>
      <c r="AW814" s="8"/>
      <c r="AX814" s="8"/>
      <c r="AY814" s="47"/>
      <c r="AZ814" s="47"/>
      <c r="BA814" s="8"/>
      <c r="BB814" s="3"/>
      <c r="BC814" s="48"/>
      <c r="BD814" s="48"/>
      <c r="BE814" s="3"/>
      <c r="BF814" s="3"/>
      <c r="BG814" s="48"/>
      <c r="BH814" s="48"/>
      <c r="BI814" s="8"/>
      <c r="BJ814" s="8"/>
      <c r="BK814" s="48"/>
      <c r="BL814" s="47"/>
      <c r="BM814" s="46"/>
      <c r="BN814" s="46"/>
      <c r="BO814" s="24">
        <f>AL814+AN814+AP814+AR814+AT814+AV814+AX814+AZ814+BB814+BD814+BF814+BH814+BJ814+BL814</f>
        <v>10782</v>
      </c>
      <c r="BP814" s="28">
        <f>AJ814-BO814</f>
        <v>-430112.7755</v>
      </c>
      <c r="BQ814" s="2">
        <v>45485</v>
      </c>
    </row>
    <row r="815" spans="1:73" hidden="true">
      <c r="D815" s="9" t="s">
        <v>11</v>
      </c>
      <c r="E815" s="2">
        <v>45486</v>
      </c>
      <c r="F815" s="38"/>
      <c r="G815" s="51"/>
      <c r="H815" s="4">
        <f>F138*50%</f>
        <v>2023.925</v>
      </c>
      <c r="I815" s="120">
        <v>1314</v>
      </c>
      <c r="J815" s="4">
        <f>(G815+H815)-I815</f>
        <v>709.925</v>
      </c>
      <c r="K815" s="4">
        <f>J815+O814</f>
        <v>-26854.24</v>
      </c>
      <c r="L815" s="3"/>
      <c r="M815" s="3"/>
      <c r="N815" s="33">
        <f>I815+M815</f>
        <v>1314</v>
      </c>
      <c r="O815" s="28">
        <f>K815-M815</f>
        <v>-26854.24</v>
      </c>
      <c r="P815" s="9" t="s">
        <v>11</v>
      </c>
      <c r="Q815" s="2">
        <v>45486</v>
      </c>
      <c r="R815" s="38"/>
      <c r="S815" s="52"/>
      <c r="T815" s="4">
        <f>R138*45%</f>
        <v>4710.6</v>
      </c>
      <c r="U815" s="5"/>
      <c r="V815" s="4">
        <f>(S815+T815)-U815</f>
        <v>4710.6</v>
      </c>
      <c r="W815" s="4">
        <f>V815+AA814</f>
        <v>43036.915</v>
      </c>
      <c r="X815" s="3"/>
      <c r="Y815" s="3"/>
      <c r="Z815" s="25">
        <f>U815+Y815</f>
        <v>0</v>
      </c>
      <c r="AA815" s="76">
        <f>W815-Y815</f>
        <v>43036.915</v>
      </c>
      <c r="AB815" s="9" t="s">
        <v>11</v>
      </c>
      <c r="AC815" s="19">
        <v>45486</v>
      </c>
      <c r="AD815" s="41"/>
      <c r="AE815" s="42"/>
      <c r="AF815" s="4">
        <f>AD138-H815-T815</f>
        <v>7781.325</v>
      </c>
      <c r="AG815" s="3"/>
      <c r="AH815" s="8">
        <v>1055.55</v>
      </c>
      <c r="AI815" s="4">
        <f>(AE815+AF815)-AH815</f>
        <v>6725.775</v>
      </c>
      <c r="AJ815" s="4">
        <f>AI815+BP814</f>
        <v>-423387.0005</v>
      </c>
      <c r="AK815" s="8" t="s">
        <v>41</v>
      </c>
      <c r="AL815" s="8">
        <f>(2017)</f>
        <v>2017</v>
      </c>
      <c r="AM815" s="47"/>
      <c r="AN815" s="47"/>
      <c r="AO815" s="8"/>
      <c r="AP815" s="8"/>
      <c r="AQ815" s="47"/>
      <c r="AR815" s="47"/>
      <c r="AS815" s="8"/>
      <c r="AT815" s="8"/>
      <c r="AU815" s="47"/>
      <c r="AV815" s="47"/>
      <c r="AW815" s="8"/>
      <c r="AX815" s="8"/>
      <c r="AY815" s="47" t="s">
        <v>238</v>
      </c>
      <c r="AZ815" s="47">
        <f>(1131)</f>
        <v>1131</v>
      </c>
      <c r="BA815" s="8"/>
      <c r="BB815" s="8"/>
      <c r="BC815" s="47"/>
      <c r="BD815" s="47"/>
      <c r="BE815" s="8"/>
      <c r="BF815" s="8"/>
      <c r="BG815" s="47"/>
      <c r="BH815" s="47"/>
      <c r="BI815" s="8"/>
      <c r="BJ815" s="3"/>
      <c r="BK815" s="47"/>
      <c r="BL815" s="47"/>
      <c r="BM815" s="46"/>
      <c r="BN815" s="46"/>
      <c r="BO815" s="24">
        <f>AL815+AN815+AP815+AR815+AT815+AV815+AX815+AZ815+BB815+BD815+BF815+BH815+BJ815+BL815</f>
        <v>3148</v>
      </c>
      <c r="BP815" s="28">
        <f>AJ815-BO815</f>
        <v>-426535.0005</v>
      </c>
      <c r="BQ815" s="2">
        <v>45486</v>
      </c>
    </row>
    <row r="816" spans="1:73" hidden="true">
      <c r="D816" s="9" t="s">
        <v>12</v>
      </c>
      <c r="E816" s="2">
        <v>45487</v>
      </c>
      <c r="F816" s="38"/>
      <c r="G816" s="51"/>
      <c r="H816" s="4">
        <f>F139*50%</f>
        <v>1887.65</v>
      </c>
      <c r="I816" s="120"/>
      <c r="J816" s="4">
        <f>(G816+H816)-I816</f>
        <v>1887.65</v>
      </c>
      <c r="K816" s="4">
        <f>J816+O815</f>
        <v>-24966.59</v>
      </c>
      <c r="L816" s="3"/>
      <c r="M816" s="3"/>
      <c r="N816" s="33">
        <f>I816+M816</f>
        <v>0</v>
      </c>
      <c r="O816" s="28">
        <f>K816-M816</f>
        <v>-24966.59</v>
      </c>
      <c r="P816" s="9" t="s">
        <v>12</v>
      </c>
      <c r="Q816" s="2">
        <v>45487</v>
      </c>
      <c r="R816" s="38"/>
      <c r="S816" s="52"/>
      <c r="T816" s="4">
        <f>R139*45%</f>
        <v>3430.35</v>
      </c>
      <c r="U816" s="5">
        <v>4048</v>
      </c>
      <c r="V816" s="4">
        <f>(S816+T816)-U816</f>
        <v>-617.65</v>
      </c>
      <c r="W816" s="4">
        <f>V816+AA815</f>
        <v>42419.265</v>
      </c>
      <c r="X816" s="3"/>
      <c r="Y816" s="3"/>
      <c r="Z816" s="25">
        <f>U816+Y816</f>
        <v>4048</v>
      </c>
      <c r="AA816" s="76">
        <f>W816-Y816</f>
        <v>42419.265</v>
      </c>
      <c r="AB816" s="9" t="s">
        <v>12</v>
      </c>
      <c r="AC816" s="19">
        <v>45487</v>
      </c>
      <c r="AD816" s="41"/>
      <c r="AE816" s="42"/>
      <c r="AF816" s="4">
        <f>AD139-H816-T816</f>
        <v>6080.3</v>
      </c>
      <c r="AG816" s="3"/>
      <c r="AH816" s="8">
        <v>955</v>
      </c>
      <c r="AI816" s="4">
        <f>(AE816+AF816)-AH816</f>
        <v>5125.3</v>
      </c>
      <c r="AJ816" s="4">
        <f>AI816+BP815</f>
        <v>-421409.7005</v>
      </c>
      <c r="AK816" s="8"/>
      <c r="AL816" s="8"/>
      <c r="AM816" s="47"/>
      <c r="AN816" s="47"/>
      <c r="AO816" s="8"/>
      <c r="AP816" s="8"/>
      <c r="AQ816" s="47"/>
      <c r="AR816" s="47"/>
      <c r="AS816" s="8"/>
      <c r="AT816" s="8"/>
      <c r="AU816" s="47"/>
      <c r="AV816" s="47"/>
      <c r="AW816" s="8"/>
      <c r="AX816" s="8"/>
      <c r="AY816" s="47"/>
      <c r="AZ816" s="47"/>
      <c r="BA816" s="8"/>
      <c r="BB816" s="8"/>
      <c r="BC816" s="47"/>
      <c r="BD816" s="47"/>
      <c r="BE816" s="8"/>
      <c r="BF816" s="8"/>
      <c r="BG816" s="47"/>
      <c r="BH816" s="47"/>
      <c r="BI816" s="8"/>
      <c r="BJ816" s="3"/>
      <c r="BK816" s="47"/>
      <c r="BL816" s="47"/>
      <c r="BM816" s="46"/>
      <c r="BN816" s="46"/>
      <c r="BO816" s="24">
        <f>AL816+AN816+AP816+AR816+AT816+AV816+AX816+AZ816+BB816+BD816+BF816+BH816+BJ816+BL816</f>
        <v>0</v>
      </c>
      <c r="BP816" s="28">
        <f>AJ816-BO816</f>
        <v>-421409.7005</v>
      </c>
      <c r="BQ816" s="2">
        <v>45487</v>
      </c>
    </row>
    <row r="817" spans="1:73" hidden="true">
      <c r="D817" s="9" t="s">
        <v>13</v>
      </c>
      <c r="E817" s="2">
        <v>45488</v>
      </c>
      <c r="F817" s="38"/>
      <c r="G817" s="51"/>
      <c r="H817" s="4">
        <f>F140*50%</f>
        <v>2289.15</v>
      </c>
      <c r="I817" s="120">
        <f>(2654+1548)</f>
        <v>4202</v>
      </c>
      <c r="J817" s="4">
        <f>(G817+H817)-I817</f>
        <v>-1912.85</v>
      </c>
      <c r="K817" s="4">
        <f>J817+O816</f>
        <v>-26879.44</v>
      </c>
      <c r="L817" s="3"/>
      <c r="M817" s="3"/>
      <c r="N817" s="33">
        <f>I817+M817</f>
        <v>4202</v>
      </c>
      <c r="O817" s="28">
        <f>K817-M817</f>
        <v>-26879.44</v>
      </c>
      <c r="P817" s="9" t="s">
        <v>13</v>
      </c>
      <c r="Q817" s="2">
        <v>45488</v>
      </c>
      <c r="R817" s="38"/>
      <c r="S817" s="52"/>
      <c r="T817" s="4">
        <f>R140*45%</f>
        <v>2583.45</v>
      </c>
      <c r="U817" s="5"/>
      <c r="V817" s="4">
        <f>(S817+T817)-U817</f>
        <v>2583.45</v>
      </c>
      <c r="W817" s="4">
        <f>V817+AA816</f>
        <v>45002.715</v>
      </c>
      <c r="X817" s="3"/>
      <c r="Y817" s="3"/>
      <c r="Z817" s="25">
        <f>U817+Y817</f>
        <v>0</v>
      </c>
      <c r="AA817" s="76">
        <f>W817-Y817</f>
        <v>45002.715</v>
      </c>
      <c r="AB817" s="9" t="s">
        <v>13</v>
      </c>
      <c r="AC817" s="19">
        <v>45488</v>
      </c>
      <c r="AD817" s="41"/>
      <c r="AE817" s="42"/>
      <c r="AF817" s="4">
        <f>AD140-H817-T817</f>
        <v>5446.7</v>
      </c>
      <c r="AG817" s="3"/>
      <c r="AH817" s="8">
        <v>830</v>
      </c>
      <c r="AI817" s="4">
        <f>(AE817+AF817)-AH817</f>
        <v>4616.7</v>
      </c>
      <c r="AJ817" s="4">
        <f>AI817+BP816</f>
        <v>-416793.0005</v>
      </c>
      <c r="AK817" s="8"/>
      <c r="AL817" s="8"/>
      <c r="AM817" s="47"/>
      <c r="AN817" s="47"/>
      <c r="AO817" s="8"/>
      <c r="AP817" s="8"/>
      <c r="AQ817" s="47"/>
      <c r="AR817" s="47"/>
      <c r="AS817" s="8"/>
      <c r="AT817" s="8"/>
      <c r="AU817" s="47"/>
      <c r="AV817" s="47"/>
      <c r="AW817" s="8"/>
      <c r="AX817" s="8"/>
      <c r="AY817" s="47"/>
      <c r="AZ817" s="47"/>
      <c r="BA817" s="8" t="s">
        <v>239</v>
      </c>
      <c r="BB817" s="8">
        <f>(2000)</f>
        <v>2000</v>
      </c>
      <c r="BC817" s="47"/>
      <c r="BD817" s="47"/>
      <c r="BE817" s="8"/>
      <c r="BF817" s="8"/>
      <c r="BG817" s="47"/>
      <c r="BH817" s="47"/>
      <c r="BI817" s="8"/>
      <c r="BJ817" s="3"/>
      <c r="BK817" s="47"/>
      <c r="BL817" s="47"/>
      <c r="BM817" s="46"/>
      <c r="BN817" s="46"/>
      <c r="BO817" s="24">
        <f>AL817+AN817+AP817+AR817+AT817+AV817+AX817+AZ817+BB817+BD817+BF817+BH817+BJ817+BL817</f>
        <v>2000</v>
      </c>
      <c r="BP817" s="28">
        <f>AJ817-BO817</f>
        <v>-418793.0005</v>
      </c>
      <c r="BQ817" s="2">
        <v>45488</v>
      </c>
    </row>
    <row r="818" spans="1:73" hidden="true">
      <c r="D818" s="9" t="s">
        <v>14</v>
      </c>
      <c r="E818" s="2">
        <v>45489</v>
      </c>
      <c r="F818" s="38"/>
      <c r="G818" s="51"/>
      <c r="H818" s="4">
        <f>F141*50%</f>
        <v>2147.375</v>
      </c>
      <c r="I818" s="120"/>
      <c r="J818" s="4">
        <f>(G818+H818)-I818</f>
        <v>2147.375</v>
      </c>
      <c r="K818" s="4">
        <f>J818+O817</f>
        <v>-24732.065</v>
      </c>
      <c r="L818" s="3"/>
      <c r="M818" s="3"/>
      <c r="N818" s="33">
        <f>I818+M818</f>
        <v>0</v>
      </c>
      <c r="O818" s="28">
        <f>K818-M818</f>
        <v>-24732.065</v>
      </c>
      <c r="P818" s="9" t="s">
        <v>14</v>
      </c>
      <c r="Q818" s="2">
        <v>45489</v>
      </c>
      <c r="R818" s="38"/>
      <c r="S818" s="52"/>
      <c r="T818" s="4">
        <f>R141*45%</f>
        <v>2367.9</v>
      </c>
      <c r="U818" s="5"/>
      <c r="V818" s="4">
        <f>(S818+T818)-U818</f>
        <v>2367.9</v>
      </c>
      <c r="W818" s="4">
        <f>V818+AA817</f>
        <v>47370.615</v>
      </c>
      <c r="X818" s="3"/>
      <c r="Y818" s="3"/>
      <c r="Z818" s="25">
        <f>U818+Y818</f>
        <v>0</v>
      </c>
      <c r="AA818" s="76">
        <f>W818-Y818</f>
        <v>47370.615</v>
      </c>
      <c r="AB818" s="9" t="s">
        <v>14</v>
      </c>
      <c r="AC818" s="19">
        <v>45489</v>
      </c>
      <c r="AD818" s="41"/>
      <c r="AE818" s="42"/>
      <c r="AF818" s="4">
        <f>AD141-H818-T818</f>
        <v>5041.475</v>
      </c>
      <c r="AG818" s="3"/>
      <c r="AH818" s="8">
        <v>959.2</v>
      </c>
      <c r="AI818" s="4">
        <f>(AE818+AF818)-AH818</f>
        <v>4082.275</v>
      </c>
      <c r="AJ818" s="4">
        <f>AI818+BP817</f>
        <v>-414710.7255</v>
      </c>
      <c r="AK818" s="8" t="s">
        <v>41</v>
      </c>
      <c r="AL818" s="8">
        <f>(5720)</f>
        <v>5720</v>
      </c>
      <c r="AM818" s="47" t="s">
        <v>7</v>
      </c>
      <c r="AN818" s="47">
        <f>(13600)</f>
        <v>13600</v>
      </c>
      <c r="AO818" s="8"/>
      <c r="AP818" s="8"/>
      <c r="AQ818" s="47"/>
      <c r="AR818" s="47"/>
      <c r="AS818" s="8"/>
      <c r="AT818" s="8"/>
      <c r="AU818" s="47"/>
      <c r="AV818" s="47"/>
      <c r="AW818" s="8"/>
      <c r="AX818" s="8"/>
      <c r="AY818" s="47"/>
      <c r="AZ818" s="47"/>
      <c r="BA818" s="8"/>
      <c r="BB818" s="8"/>
      <c r="BC818" s="47"/>
      <c r="BD818" s="47"/>
      <c r="BE818" s="8"/>
      <c r="BF818" s="8"/>
      <c r="BG818" s="47"/>
      <c r="BH818" s="47"/>
      <c r="BI818" s="8"/>
      <c r="BJ818" s="3"/>
      <c r="BK818" s="47"/>
      <c r="BL818" s="47"/>
      <c r="BM818" s="46"/>
      <c r="BN818" s="46"/>
      <c r="BO818" s="24">
        <f>AL818+AN818+AP818+AR818+AT818+AV818+AX818+AZ818+BB818+BD818+BF818+BH818+BJ818+BL818</f>
        <v>19320</v>
      </c>
      <c r="BP818" s="28">
        <f>AJ818-BO818</f>
        <v>-434030.7255</v>
      </c>
      <c r="BQ818" s="2">
        <v>45489</v>
      </c>
    </row>
    <row r="819" spans="1:73" hidden="true">
      <c r="D819" s="9" t="s">
        <v>15</v>
      </c>
      <c r="E819" s="2">
        <v>45490</v>
      </c>
      <c r="F819" s="38"/>
      <c r="G819" s="51"/>
      <c r="H819" s="4">
        <f>F142*50%</f>
        <v>1666.325</v>
      </c>
      <c r="I819" s="120">
        <v>2991</v>
      </c>
      <c r="J819" s="4">
        <f>(G819+H819)-I819</f>
        <v>-1324.675</v>
      </c>
      <c r="K819" s="4">
        <f>J819+O818</f>
        <v>-26056.74</v>
      </c>
      <c r="L819" s="3"/>
      <c r="M819" s="3"/>
      <c r="N819" s="33">
        <f>I819+M819</f>
        <v>2991</v>
      </c>
      <c r="O819" s="28">
        <f>K819-M819</f>
        <v>-26056.74</v>
      </c>
      <c r="P819" s="9" t="s">
        <v>15</v>
      </c>
      <c r="Q819" s="2">
        <v>45490</v>
      </c>
      <c r="R819" s="38"/>
      <c r="S819" s="52"/>
      <c r="T819" s="4">
        <f>R142*45%</f>
        <v>4553.1</v>
      </c>
      <c r="U819" s="5"/>
      <c r="V819" s="4">
        <f>(S819+T819)-U819</f>
        <v>4553.1</v>
      </c>
      <c r="W819" s="4">
        <f>V819+AA818</f>
        <v>51923.715</v>
      </c>
      <c r="X819" s="3"/>
      <c r="Y819" s="3"/>
      <c r="Z819" s="25">
        <f>U819+Y819</f>
        <v>0</v>
      </c>
      <c r="AA819" s="76">
        <f>W819-Y819</f>
        <v>51923.715</v>
      </c>
      <c r="AB819" s="9" t="s">
        <v>15</v>
      </c>
      <c r="AC819" s="19">
        <v>45490</v>
      </c>
      <c r="AD819" s="41"/>
      <c r="AE819" s="42"/>
      <c r="AF819" s="4">
        <f>AD142-H819-T819</f>
        <v>7231.225</v>
      </c>
      <c r="AG819" s="3"/>
      <c r="AH819" s="8">
        <v>1546.1</v>
      </c>
      <c r="AI819" s="4">
        <f>(AE819+AF819)-AH819</f>
        <v>5685.125</v>
      </c>
      <c r="AJ819" s="4">
        <f>AI819+BP818</f>
        <v>-428345.6005</v>
      </c>
      <c r="AK819" s="8" t="s">
        <v>41</v>
      </c>
      <c r="AL819" s="8">
        <f>(500)</f>
        <v>500</v>
      </c>
      <c r="AM819" s="47"/>
      <c r="AN819" s="47"/>
      <c r="AO819" s="8"/>
      <c r="AP819" s="8"/>
      <c r="AQ819" s="47"/>
      <c r="AR819" s="47"/>
      <c r="AS819" s="8"/>
      <c r="AT819" s="8"/>
      <c r="AU819" s="47"/>
      <c r="AV819" s="47"/>
      <c r="AW819" s="8"/>
      <c r="AX819" s="8"/>
      <c r="AY819" s="47"/>
      <c r="AZ819" s="47"/>
      <c r="BA819" s="8" t="s">
        <v>240</v>
      </c>
      <c r="BB819" s="8">
        <f>(720)</f>
        <v>720</v>
      </c>
      <c r="BC819" s="47"/>
      <c r="BD819" s="47"/>
      <c r="BE819" s="8"/>
      <c r="BF819" s="8"/>
      <c r="BG819" s="47"/>
      <c r="BH819" s="47"/>
      <c r="BI819" s="8"/>
      <c r="BJ819" s="3"/>
      <c r="BK819" s="47"/>
      <c r="BL819" s="47"/>
      <c r="BM819" s="46"/>
      <c r="BN819" s="46"/>
      <c r="BO819" s="24">
        <f>AL819+AN819+AP819+AR819+AT819+AV819+AX819+AZ819+BB819+BD819+BF819+BH819+BJ819+BL819</f>
        <v>1220</v>
      </c>
      <c r="BP819" s="28">
        <f>AJ819-BO819</f>
        <v>-429565.6005</v>
      </c>
      <c r="BQ819" s="2">
        <v>45490</v>
      </c>
    </row>
    <row r="820" spans="1:73" hidden="true">
      <c r="D820" s="9" t="s">
        <v>16</v>
      </c>
      <c r="E820" s="2">
        <v>45491</v>
      </c>
      <c r="F820" s="38"/>
      <c r="G820" s="51"/>
      <c r="H820" s="4">
        <f>F143*50%</f>
        <v>1732.6</v>
      </c>
      <c r="I820" s="120">
        <v>1534</v>
      </c>
      <c r="J820" s="4">
        <f>(G820+H820)-I820</f>
        <v>198.6</v>
      </c>
      <c r="K820" s="4">
        <f>J820+O819</f>
        <v>-25858.14</v>
      </c>
      <c r="L820" s="3"/>
      <c r="M820" s="3"/>
      <c r="N820" s="33">
        <f>I820+M820</f>
        <v>1534</v>
      </c>
      <c r="O820" s="28">
        <f>K820-M820</f>
        <v>-25858.14</v>
      </c>
      <c r="P820" s="9" t="s">
        <v>16</v>
      </c>
      <c r="Q820" s="2">
        <v>45491</v>
      </c>
      <c r="R820" s="38"/>
      <c r="S820" s="52"/>
      <c r="T820" s="4">
        <f>R143*45%</f>
        <v>3310.2</v>
      </c>
      <c r="U820" s="5">
        <v>1326</v>
      </c>
      <c r="V820" s="4">
        <f>(S820+T820)-U820</f>
        <v>1984.2</v>
      </c>
      <c r="W820" s="4">
        <f>V820+AA819</f>
        <v>53907.915</v>
      </c>
      <c r="X820" s="3"/>
      <c r="Y820" s="3"/>
      <c r="Z820" s="25">
        <f>U820+Y820</f>
        <v>1326</v>
      </c>
      <c r="AA820" s="76">
        <f>W820-Y820</f>
        <v>53907.915</v>
      </c>
      <c r="AB820" s="9" t="s">
        <v>16</v>
      </c>
      <c r="AC820" s="19">
        <v>45491</v>
      </c>
      <c r="AD820" s="41"/>
      <c r="AE820" s="42"/>
      <c r="AF820" s="4">
        <f>AD143-H820-T820</f>
        <v>5778.4</v>
      </c>
      <c r="AG820" s="3"/>
      <c r="AH820" s="8">
        <v>1122</v>
      </c>
      <c r="AI820" s="4">
        <f>(AE820+AF820)-AH820</f>
        <v>4656.4</v>
      </c>
      <c r="AJ820" s="4">
        <f>AI820+BP819</f>
        <v>-424909.2005</v>
      </c>
      <c r="AK820" s="8" t="s">
        <v>41</v>
      </c>
      <c r="AL820" s="8">
        <f>(1864)</f>
        <v>1864</v>
      </c>
      <c r="AM820" s="47" t="s">
        <v>208</v>
      </c>
      <c r="AN820" s="47">
        <f>(24550)</f>
        <v>24550</v>
      </c>
      <c r="AO820" s="8"/>
      <c r="AP820" s="8"/>
      <c r="AQ820" s="47"/>
      <c r="AR820" s="47"/>
      <c r="AS820" s="8"/>
      <c r="AT820" s="8"/>
      <c r="AU820" s="47"/>
      <c r="AV820" s="47"/>
      <c r="AW820" s="8"/>
      <c r="AX820" s="8"/>
      <c r="AY820" s="47" t="s">
        <v>241</v>
      </c>
      <c r="AZ820" s="47">
        <f>(210)</f>
        <v>210</v>
      </c>
      <c r="BA820" s="8" t="s">
        <v>242</v>
      </c>
      <c r="BB820" s="8">
        <f>(3000)</f>
        <v>3000</v>
      </c>
      <c r="BC820" s="47"/>
      <c r="BD820" s="47"/>
      <c r="BE820" s="8"/>
      <c r="BF820" s="8"/>
      <c r="BG820" s="47"/>
      <c r="BH820" s="47"/>
      <c r="BI820" s="8"/>
      <c r="BJ820" s="3"/>
      <c r="BK820" s="47"/>
      <c r="BL820" s="47"/>
      <c r="BM820" s="46"/>
      <c r="BN820" s="46"/>
      <c r="BO820" s="24">
        <f>AL820+AN820+AP820+AR820+AT820+AV820+AX820+AZ820+BB820+BD820+BF820+BH820+BJ820+BL820</f>
        <v>29624</v>
      </c>
      <c r="BP820" s="28">
        <f>AJ820-BO820</f>
        <v>-454533.2005</v>
      </c>
      <c r="BQ820" s="2">
        <v>45491</v>
      </c>
    </row>
    <row r="821" spans="1:73" hidden="true">
      <c r="D821" s="9" t="s">
        <v>10</v>
      </c>
      <c r="E821" s="2">
        <v>45492</v>
      </c>
      <c r="F821" s="38"/>
      <c r="G821" s="51"/>
      <c r="H821" s="4">
        <f>F144*50%</f>
        <v>2373.7</v>
      </c>
      <c r="I821" s="120">
        <v>2032</v>
      </c>
      <c r="J821" s="4">
        <f>(G821+H821)-I821</f>
        <v>341.7</v>
      </c>
      <c r="K821" s="4">
        <f>J821+O820</f>
        <v>-25516.44</v>
      </c>
      <c r="L821" s="3"/>
      <c r="M821" s="3"/>
      <c r="N821" s="33">
        <f>I821+M821</f>
        <v>2032</v>
      </c>
      <c r="O821" s="28">
        <f>K821-M821</f>
        <v>-25516.44</v>
      </c>
      <c r="P821" s="9" t="s">
        <v>10</v>
      </c>
      <c r="Q821" s="2">
        <v>45492</v>
      </c>
      <c r="R821" s="38"/>
      <c r="S821" s="52"/>
      <c r="T821" s="4">
        <f>R144*45%</f>
        <v>2700</v>
      </c>
      <c r="U821" s="5">
        <v>1515</v>
      </c>
      <c r="V821" s="4">
        <f>(S821+T821)-U821</f>
        <v>1185</v>
      </c>
      <c r="W821" s="4">
        <f>V821+AA820</f>
        <v>55092.915</v>
      </c>
      <c r="X821" s="3"/>
      <c r="Y821" s="3"/>
      <c r="Z821" s="25">
        <f>U821+Y821</f>
        <v>1515</v>
      </c>
      <c r="AA821" s="76">
        <f>W821-Y821</f>
        <v>55092.915</v>
      </c>
      <c r="AB821" s="9" t="s">
        <v>10</v>
      </c>
      <c r="AC821" s="19">
        <v>45492</v>
      </c>
      <c r="AD821" s="41"/>
      <c r="AE821" s="42"/>
      <c r="AF821" s="4">
        <f>AD144-H821-T821</f>
        <v>5673.7</v>
      </c>
      <c r="AG821" s="3"/>
      <c r="AH821" s="8">
        <v>838</v>
      </c>
      <c r="AI821" s="4">
        <f>(AE821+AF821)-AH821</f>
        <v>4835.7</v>
      </c>
      <c r="AJ821" s="4">
        <f>AI821+BP820</f>
        <v>-449697.5005</v>
      </c>
      <c r="AK821" s="8"/>
      <c r="AL821" s="8"/>
      <c r="AM821" s="47"/>
      <c r="AN821" s="47"/>
      <c r="AO821" s="8"/>
      <c r="AP821" s="8"/>
      <c r="AQ821" s="47"/>
      <c r="AR821" s="47"/>
      <c r="AS821" s="8"/>
      <c r="AT821" s="8"/>
      <c r="AU821" s="47"/>
      <c r="AV821" s="47"/>
      <c r="AW821" s="8"/>
      <c r="AX821" s="8"/>
      <c r="AY821" s="47"/>
      <c r="AZ821" s="47"/>
      <c r="BA821" s="8"/>
      <c r="BB821" s="8"/>
      <c r="BC821" s="47"/>
      <c r="BD821" s="47"/>
      <c r="BE821" s="8"/>
      <c r="BF821" s="8"/>
      <c r="BG821" s="47"/>
      <c r="BH821" s="47"/>
      <c r="BI821" s="8"/>
      <c r="BJ821" s="3"/>
      <c r="BK821" s="47"/>
      <c r="BL821" s="47"/>
      <c r="BM821" s="46"/>
      <c r="BN821" s="46"/>
      <c r="BO821" s="24">
        <f>AL821+AN821+AP821+AR821+AT821+AV821+AX821+AZ821+BB821+BD821+BF821+BH821+BJ821+BL821</f>
        <v>0</v>
      </c>
      <c r="BP821" s="28">
        <f>AJ821-BO821</f>
        <v>-449697.5005</v>
      </c>
      <c r="BQ821" s="2">
        <v>45492</v>
      </c>
    </row>
    <row r="822" spans="1:73" hidden="true">
      <c r="D822" s="9" t="s">
        <v>11</v>
      </c>
      <c r="E822" s="2">
        <v>45493</v>
      </c>
      <c r="F822" s="38"/>
      <c r="G822" s="51"/>
      <c r="H822" s="4">
        <f>F145*50%</f>
        <v>2407.475</v>
      </c>
      <c r="I822" s="120">
        <v>1693.8</v>
      </c>
      <c r="J822" s="4">
        <f>(G822+H822)-I822</f>
        <v>713.675</v>
      </c>
      <c r="K822" s="4">
        <f>J822+O821</f>
        <v>-24802.765</v>
      </c>
      <c r="L822" s="3"/>
      <c r="M822" s="3"/>
      <c r="N822" s="33">
        <f>I822+M822</f>
        <v>1693.8</v>
      </c>
      <c r="O822" s="28">
        <f>K822-M822</f>
        <v>-24802.765</v>
      </c>
      <c r="P822" s="9" t="s">
        <v>11</v>
      </c>
      <c r="Q822" s="2">
        <v>45493</v>
      </c>
      <c r="R822" s="38"/>
      <c r="S822" s="52"/>
      <c r="T822" s="4">
        <f>R145*45%</f>
        <v>2843.1</v>
      </c>
      <c r="U822" s="5"/>
      <c r="V822" s="4">
        <f>(S822+T822)-U822</f>
        <v>2843.1</v>
      </c>
      <c r="W822" s="4">
        <f>V822+AA821</f>
        <v>57936.015</v>
      </c>
      <c r="X822" s="3"/>
      <c r="Y822" s="3"/>
      <c r="Z822" s="25">
        <f>U822+Y822</f>
        <v>0</v>
      </c>
      <c r="AA822" s="76">
        <f>W822-Y822</f>
        <v>57936.015</v>
      </c>
      <c r="AB822" s="9" t="s">
        <v>11</v>
      </c>
      <c r="AC822" s="19">
        <v>45493</v>
      </c>
      <c r="AD822" s="41"/>
      <c r="AE822" s="42"/>
      <c r="AF822" s="4">
        <f>AD145-H822-T822</f>
        <v>5882.375</v>
      </c>
      <c r="AG822" s="3"/>
      <c r="AH822" s="8">
        <v>1316</v>
      </c>
      <c r="AI822" s="4">
        <f>(AE822+AF822)-AH822</f>
        <v>4566.375</v>
      </c>
      <c r="AJ822" s="4">
        <f>AI822+BP821</f>
        <v>-445131.1255</v>
      </c>
      <c r="AK822" s="8"/>
      <c r="AL822" s="8"/>
      <c r="AM822" s="47" t="s">
        <v>243</v>
      </c>
      <c r="AN822" s="47">
        <f>(16100)</f>
        <v>16100</v>
      </c>
      <c r="AO822" s="8"/>
      <c r="AP822" s="8"/>
      <c r="AQ822" s="47"/>
      <c r="AR822" s="47"/>
      <c r="AS822" s="8"/>
      <c r="AT822" s="8"/>
      <c r="AU822" s="47"/>
      <c r="AV822" s="47"/>
      <c r="AW822" s="8"/>
      <c r="AX822" s="8"/>
      <c r="AY822" s="47"/>
      <c r="AZ822" s="47"/>
      <c r="BA822" s="8" t="s">
        <v>244</v>
      </c>
      <c r="BB822" s="8">
        <f>(375)</f>
        <v>375</v>
      </c>
      <c r="BC822" s="47"/>
      <c r="BD822" s="47"/>
      <c r="BE822" s="8"/>
      <c r="BF822" s="8"/>
      <c r="BG822" s="47"/>
      <c r="BH822" s="47"/>
      <c r="BI822" s="8"/>
      <c r="BJ822" s="3"/>
      <c r="BK822" s="47"/>
      <c r="BL822" s="47"/>
      <c r="BM822" s="46"/>
      <c r="BN822" s="46"/>
      <c r="BO822" s="24">
        <f>AL822+AN822+AP822+AR822+AT822+AV822+AX822+AZ822+BB822+BD822+BF822+BH822+BJ822+BL822</f>
        <v>16475</v>
      </c>
      <c r="BP822" s="28">
        <f>AJ822-BO822</f>
        <v>-461606.1255</v>
      </c>
      <c r="BQ822" s="2">
        <v>45493</v>
      </c>
    </row>
    <row r="823" spans="1:73" hidden="true">
      <c r="D823" s="9" t="s">
        <v>12</v>
      </c>
      <c r="E823" s="2">
        <v>45494</v>
      </c>
      <c r="F823" s="38"/>
      <c r="G823" s="51"/>
      <c r="H823" s="4">
        <f>F146*50%</f>
        <v>2187.475</v>
      </c>
      <c r="I823" s="120"/>
      <c r="J823" s="4">
        <f>(G823+H823)-I823</f>
        <v>2187.475</v>
      </c>
      <c r="K823" s="4">
        <f>J823+O822</f>
        <v>-22615.29</v>
      </c>
      <c r="L823" s="3"/>
      <c r="M823" s="3"/>
      <c r="N823" s="33">
        <f>I823+M823</f>
        <v>0</v>
      </c>
      <c r="O823" s="28">
        <f>K823-M823</f>
        <v>-22615.29</v>
      </c>
      <c r="P823" s="9" t="s">
        <v>12</v>
      </c>
      <c r="Q823" s="2">
        <v>45494</v>
      </c>
      <c r="R823" s="38"/>
      <c r="S823" s="52"/>
      <c r="T823" s="4">
        <f>R146*45%</f>
        <v>5126.4</v>
      </c>
      <c r="U823" s="5"/>
      <c r="V823" s="4">
        <f>(S823+T823)-U823</f>
        <v>5126.4</v>
      </c>
      <c r="W823" s="4">
        <f>V823+AA822</f>
        <v>63062.415</v>
      </c>
      <c r="X823" s="3"/>
      <c r="Y823" s="3"/>
      <c r="Z823" s="25">
        <f>U823+Y823</f>
        <v>0</v>
      </c>
      <c r="AA823" s="76">
        <f>W823-Y823</f>
        <v>63062.415</v>
      </c>
      <c r="AB823" s="9" t="s">
        <v>12</v>
      </c>
      <c r="AC823" s="19">
        <v>45494</v>
      </c>
      <c r="AD823" s="41"/>
      <c r="AE823" s="42"/>
      <c r="AF823" s="4">
        <f>AD146-H823-T823</f>
        <v>8453.075</v>
      </c>
      <c r="AG823" s="3"/>
      <c r="AH823" s="8">
        <v>1358.4</v>
      </c>
      <c r="AI823" s="4">
        <f>(AE823+AF823)-AH823</f>
        <v>7094.675</v>
      </c>
      <c r="AJ823" s="4">
        <f>AI823+BP822</f>
        <v>-454511.4505</v>
      </c>
      <c r="AK823" s="8"/>
      <c r="AL823" s="8"/>
      <c r="AM823" s="47"/>
      <c r="AN823" s="47"/>
      <c r="AO823" s="8"/>
      <c r="AP823" s="8"/>
      <c r="AQ823" s="47"/>
      <c r="AR823" s="47"/>
      <c r="AS823" s="8"/>
      <c r="AT823" s="8"/>
      <c r="AU823" s="47"/>
      <c r="AV823" s="47"/>
      <c r="AW823" s="8"/>
      <c r="AX823" s="8"/>
      <c r="AY823" s="47"/>
      <c r="AZ823" s="47"/>
      <c r="BA823" s="8"/>
      <c r="BB823" s="8"/>
      <c r="BC823" s="47"/>
      <c r="BD823" s="47"/>
      <c r="BE823" s="8"/>
      <c r="BF823" s="8"/>
      <c r="BG823" s="47"/>
      <c r="BH823" s="47"/>
      <c r="BI823" s="8"/>
      <c r="BJ823" s="3"/>
      <c r="BK823" s="48"/>
      <c r="BL823" s="47"/>
      <c r="BM823" s="46"/>
      <c r="BN823" s="46"/>
      <c r="BO823" s="24">
        <f>AL823+AN823+AP823+AR823+AT823+AV823+AX823+AZ823+BB823+BD823+BF823+BH823+BJ823+BL823</f>
        <v>0</v>
      </c>
      <c r="BP823" s="28">
        <f>AJ823-BO823</f>
        <v>-454511.4505</v>
      </c>
      <c r="BQ823" s="2">
        <v>45494</v>
      </c>
    </row>
    <row r="824" spans="1:73" hidden="true">
      <c r="D824" s="9" t="s">
        <v>13</v>
      </c>
      <c r="E824" s="2">
        <v>45495</v>
      </c>
      <c r="F824" s="38"/>
      <c r="G824" s="51"/>
      <c r="H824" s="4">
        <f>F147*50%</f>
        <v>2819.225</v>
      </c>
      <c r="I824" s="120"/>
      <c r="J824" s="4">
        <f>(G824+H824)-I824</f>
        <v>2819.225</v>
      </c>
      <c r="K824" s="4">
        <f>J824+O823</f>
        <v>-19796.065</v>
      </c>
      <c r="L824" s="3"/>
      <c r="M824" s="3"/>
      <c r="N824" s="33">
        <f>I824+M824</f>
        <v>0</v>
      </c>
      <c r="O824" s="28">
        <f>K824-M824</f>
        <v>-19796.065</v>
      </c>
      <c r="P824" s="9" t="s">
        <v>13</v>
      </c>
      <c r="Q824" s="2">
        <v>45495</v>
      </c>
      <c r="R824" s="38"/>
      <c r="S824" s="52"/>
      <c r="T824" s="4">
        <f>R147*45%</f>
        <v>2981.7</v>
      </c>
      <c r="U824" s="5"/>
      <c r="V824" s="4">
        <f>(S824+T824)-U824</f>
        <v>2981.7</v>
      </c>
      <c r="W824" s="4">
        <f>V824+AA823</f>
        <v>66044.115</v>
      </c>
      <c r="X824" s="3"/>
      <c r="Y824" s="3"/>
      <c r="Z824" s="25">
        <f>U824+Y824</f>
        <v>0</v>
      </c>
      <c r="AA824" s="76">
        <f>W824-Y824</f>
        <v>66044.115</v>
      </c>
      <c r="AB824" s="9" t="s">
        <v>13</v>
      </c>
      <c r="AC824" s="19">
        <v>45495</v>
      </c>
      <c r="AD824" s="41"/>
      <c r="AE824" s="42"/>
      <c r="AF824" s="4">
        <f>AD147-H824-T824</f>
        <v>6463.525</v>
      </c>
      <c r="AG824" s="3"/>
      <c r="AH824" s="8">
        <v>1253.4</v>
      </c>
      <c r="AI824" s="4">
        <f>(AE824+AF824)-AH824</f>
        <v>5210.125</v>
      </c>
      <c r="AJ824" s="4">
        <f>AI824+BP823</f>
        <v>-449301.3255</v>
      </c>
      <c r="AK824" s="8"/>
      <c r="AL824" s="8"/>
      <c r="AM824" s="47"/>
      <c r="AN824" s="47"/>
      <c r="AO824" s="8"/>
      <c r="AP824" s="8"/>
      <c r="AQ824" s="47"/>
      <c r="AR824" s="47"/>
      <c r="AS824" s="8"/>
      <c r="AT824" s="8"/>
      <c r="AU824" s="47"/>
      <c r="AV824" s="47"/>
      <c r="AW824" s="8"/>
      <c r="AX824" s="8"/>
      <c r="AY824" s="47"/>
      <c r="AZ824" s="47"/>
      <c r="BA824" s="8"/>
      <c r="BB824" s="8"/>
      <c r="BC824" s="47"/>
      <c r="BD824" s="47"/>
      <c r="BE824" s="8"/>
      <c r="BF824" s="8"/>
      <c r="BG824" s="47"/>
      <c r="BH824" s="47"/>
      <c r="BI824" s="8"/>
      <c r="BJ824" s="3"/>
      <c r="BK824" s="47"/>
      <c r="BL824" s="47"/>
      <c r="BM824" s="46"/>
      <c r="BN824" s="46"/>
      <c r="BO824" s="24">
        <f>AL824+AN824+AP824+AR824+AT824+AV824+AX824+AZ824+BB824+BD824+BF824+BH824+BJ824+BL824</f>
        <v>0</v>
      </c>
      <c r="BP824" s="28">
        <f>AJ824-BO824</f>
        <v>-449301.3255</v>
      </c>
      <c r="BQ824" s="2">
        <v>45495</v>
      </c>
    </row>
    <row r="825" spans="1:73" hidden="true">
      <c r="D825" s="9" t="s">
        <v>14</v>
      </c>
      <c r="E825" s="2">
        <v>45496</v>
      </c>
      <c r="F825" s="38"/>
      <c r="G825" s="51"/>
      <c r="H825" s="4">
        <f>F148*50%</f>
        <v>2718.1</v>
      </c>
      <c r="I825" s="120">
        <v>2814.8</v>
      </c>
      <c r="J825" s="4">
        <f>(G825+H825)-I825</f>
        <v>-96.7</v>
      </c>
      <c r="K825" s="4">
        <f>J825+O824</f>
        <v>-19892.765</v>
      </c>
      <c r="L825" s="3"/>
      <c r="M825" s="3"/>
      <c r="N825" s="33">
        <f>I825+M825</f>
        <v>2814.8</v>
      </c>
      <c r="O825" s="28">
        <f>K825-M825</f>
        <v>-19892.765</v>
      </c>
      <c r="P825" s="9" t="s">
        <v>14</v>
      </c>
      <c r="Q825" s="2">
        <v>45496</v>
      </c>
      <c r="R825" s="38"/>
      <c r="S825" s="52"/>
      <c r="T825" s="4">
        <f>R148*45%</f>
        <v>2155.05</v>
      </c>
      <c r="U825" s="5">
        <v>2375</v>
      </c>
      <c r="V825" s="4">
        <f>(S825+T825)-U825</f>
        <v>-219.95</v>
      </c>
      <c r="W825" s="4">
        <f>V825+AA824</f>
        <v>65824.165</v>
      </c>
      <c r="X825" s="3"/>
      <c r="Y825" s="3"/>
      <c r="Z825" s="25">
        <f>U825+Y825</f>
        <v>2375</v>
      </c>
      <c r="AA825" s="76">
        <f>W825-Y825</f>
        <v>65824.165</v>
      </c>
      <c r="AB825" s="9" t="s">
        <v>14</v>
      </c>
      <c r="AC825" s="19">
        <v>45496</v>
      </c>
      <c r="AD825" s="41"/>
      <c r="AE825" s="42"/>
      <c r="AF825" s="4">
        <f>AD148-H825-T825</f>
        <v>5352.05</v>
      </c>
      <c r="AG825" s="3"/>
      <c r="AH825" s="8">
        <v>851</v>
      </c>
      <c r="AI825" s="4">
        <f>(AE825+AF825)-AH825</f>
        <v>4501.05</v>
      </c>
      <c r="AJ825" s="4">
        <f>AI825+BP824</f>
        <v>-444800.2755</v>
      </c>
      <c r="AK825" s="8"/>
      <c r="AL825" s="8"/>
      <c r="AM825" s="47"/>
      <c r="AN825" s="47"/>
      <c r="AO825" s="8"/>
      <c r="AP825" s="8"/>
      <c r="AQ825" s="47"/>
      <c r="AR825" s="47"/>
      <c r="AS825" s="8"/>
      <c r="AT825" s="8"/>
      <c r="AU825" s="47"/>
      <c r="AV825" s="47"/>
      <c r="AW825" s="8"/>
      <c r="AX825" s="8"/>
      <c r="AY825" s="47"/>
      <c r="AZ825" s="47"/>
      <c r="BA825" s="8" t="s">
        <v>217</v>
      </c>
      <c r="BB825" s="8">
        <f>(258.85)</f>
        <v>258.85</v>
      </c>
      <c r="BC825" s="47"/>
      <c r="BD825" s="47"/>
      <c r="BE825" s="8"/>
      <c r="BF825" s="8"/>
      <c r="BG825" s="47"/>
      <c r="BH825" s="47"/>
      <c r="BI825" s="8"/>
      <c r="BJ825" s="3"/>
      <c r="BK825" s="47"/>
      <c r="BL825" s="47"/>
      <c r="BM825" s="46"/>
      <c r="BN825" s="46"/>
      <c r="BO825" s="24">
        <f>AL825+AN825+AP825+AR825+AT825+AV825+AX825+AZ825+BB825+BD825+BF825+BH825+BJ825+BL825</f>
        <v>258.85</v>
      </c>
      <c r="BP825" s="28">
        <f>AJ825-BO825</f>
        <v>-445059.1255</v>
      </c>
      <c r="BQ825" s="2">
        <v>45496</v>
      </c>
    </row>
    <row r="826" spans="1:73" hidden="true">
      <c r="D826" s="9" t="s">
        <v>15</v>
      </c>
      <c r="E826" s="2">
        <v>45497</v>
      </c>
      <c r="F826" s="38"/>
      <c r="G826" s="51"/>
      <c r="H826" s="4">
        <f>F149*50%</f>
        <v>1414.075</v>
      </c>
      <c r="I826" s="120">
        <v>990</v>
      </c>
      <c r="J826" s="4">
        <f>(G826+H826)-I826</f>
        <v>424.075</v>
      </c>
      <c r="K826" s="4">
        <f>J826+O825</f>
        <v>-19468.69</v>
      </c>
      <c r="L826" s="3"/>
      <c r="M826" s="3"/>
      <c r="N826" s="33">
        <f>I826+M826</f>
        <v>990</v>
      </c>
      <c r="O826" s="28">
        <f>K826-M826</f>
        <v>-19468.69</v>
      </c>
      <c r="P826" s="9" t="s">
        <v>15</v>
      </c>
      <c r="Q826" s="2">
        <v>45497</v>
      </c>
      <c r="R826" s="38"/>
      <c r="S826" s="52"/>
      <c r="T826" s="4">
        <f>R149*45%</f>
        <v>3618.9</v>
      </c>
      <c r="U826" s="5">
        <v>2067</v>
      </c>
      <c r="V826" s="4">
        <f>(S826+T826)-U826</f>
        <v>1551.9</v>
      </c>
      <c r="W826" s="4">
        <f>V826+AA825</f>
        <v>67376.065</v>
      </c>
      <c r="X826" s="3"/>
      <c r="Y826" s="3"/>
      <c r="Z826" s="25">
        <f>U826+Y826</f>
        <v>2067</v>
      </c>
      <c r="AA826" s="76">
        <f>W826-Y826</f>
        <v>67376.065</v>
      </c>
      <c r="AB826" s="9" t="s">
        <v>15</v>
      </c>
      <c r="AC826" s="19">
        <v>45497</v>
      </c>
      <c r="AD826" s="41"/>
      <c r="AE826" s="42"/>
      <c r="AF826" s="4">
        <f>AD149-H826-T826</f>
        <v>5837.175</v>
      </c>
      <c r="AG826" s="3"/>
      <c r="AH826" s="8">
        <v>1036</v>
      </c>
      <c r="AI826" s="4">
        <f>(AE826+AF826)-AH826</f>
        <v>4801.175</v>
      </c>
      <c r="AJ826" s="4">
        <f>AI826+BP825</f>
        <v>-440257.9505</v>
      </c>
      <c r="AK826" s="8"/>
      <c r="AL826" s="8"/>
      <c r="AM826" s="48"/>
      <c r="AN826" s="47"/>
      <c r="AO826" s="8"/>
      <c r="AP826" s="8"/>
      <c r="AQ826" s="47"/>
      <c r="AR826" s="47"/>
      <c r="AS826" s="8"/>
      <c r="AT826" s="8"/>
      <c r="AU826" s="47"/>
      <c r="AV826" s="47"/>
      <c r="AW826" s="8"/>
      <c r="AX826" s="8"/>
      <c r="AY826" s="47"/>
      <c r="AZ826" s="47"/>
      <c r="BA826" s="8"/>
      <c r="BB826" s="8"/>
      <c r="BC826" s="47"/>
      <c r="BD826" s="47"/>
      <c r="BE826" s="8"/>
      <c r="BF826" s="8"/>
      <c r="BG826" s="47"/>
      <c r="BH826" s="47"/>
      <c r="BI826" s="8"/>
      <c r="BJ826" s="3"/>
      <c r="BK826" s="47"/>
      <c r="BL826" s="47"/>
      <c r="BM826" s="46"/>
      <c r="BN826" s="46"/>
      <c r="BO826" s="24">
        <f>AL826+AN826+AP826+AR826+AT826+AV826+AX826+AZ826+BB826+BD826+BF826+BH826+BJ826+BL826</f>
        <v>0</v>
      </c>
      <c r="BP826" s="28">
        <f>AJ826-BO826</f>
        <v>-440257.9505</v>
      </c>
      <c r="BQ826" s="2">
        <v>45497</v>
      </c>
    </row>
    <row r="827" spans="1:73" hidden="true">
      <c r="D827" s="9" t="s">
        <v>16</v>
      </c>
      <c r="E827" s="2">
        <v>45498</v>
      </c>
      <c r="F827" s="38"/>
      <c r="G827" s="51"/>
      <c r="H827" s="4">
        <f>F150*50%</f>
        <v>2062.6</v>
      </c>
      <c r="I827" s="120">
        <v>2279.7</v>
      </c>
      <c r="J827" s="4">
        <f>(G827+H827)-I827</f>
        <v>-217.1</v>
      </c>
      <c r="K827" s="4">
        <f>J827+O826</f>
        <v>-19685.79</v>
      </c>
      <c r="L827" s="3"/>
      <c r="M827" s="3"/>
      <c r="N827" s="33">
        <f>I827+M827</f>
        <v>2279.7</v>
      </c>
      <c r="O827" s="28">
        <f>K827-M827</f>
        <v>-19685.79</v>
      </c>
      <c r="P827" s="9" t="s">
        <v>16</v>
      </c>
      <c r="Q827" s="2">
        <v>45498</v>
      </c>
      <c r="R827" s="38"/>
      <c r="S827" s="52"/>
      <c r="T827" s="4">
        <f>R150*45%</f>
        <v>3149.1</v>
      </c>
      <c r="U827" s="5"/>
      <c r="V827" s="4">
        <f>(S827+T827)-U827</f>
        <v>3149.1</v>
      </c>
      <c r="W827" s="4">
        <f>V827+AA826</f>
        <v>70525.165</v>
      </c>
      <c r="X827" s="3"/>
      <c r="Y827" s="3"/>
      <c r="Z827" s="25">
        <f>U827+Y827</f>
        <v>0</v>
      </c>
      <c r="AA827" s="76">
        <f>W827-Y827</f>
        <v>70525.165</v>
      </c>
      <c r="AB827" s="9" t="s">
        <v>16</v>
      </c>
      <c r="AC827" s="19">
        <v>45498</v>
      </c>
      <c r="AD827" s="41"/>
      <c r="AE827" s="42"/>
      <c r="AF827" s="4">
        <f>AD150-H827-T827</f>
        <v>5911.5</v>
      </c>
      <c r="AG827" s="3"/>
      <c r="AH827" s="8">
        <v>882</v>
      </c>
      <c r="AI827" s="4">
        <f>(AE827+AF827)-AH827</f>
        <v>5029.5</v>
      </c>
      <c r="AJ827" s="4">
        <f>AI827+BP826</f>
        <v>-435228.4505</v>
      </c>
      <c r="AK827" s="8" t="s">
        <v>41</v>
      </c>
      <c r="AL827" s="8">
        <f>(5000)</f>
        <v>5000</v>
      </c>
      <c r="AM827" s="47" t="s">
        <v>216</v>
      </c>
      <c r="AN827" s="47">
        <f>(729)</f>
        <v>729</v>
      </c>
      <c r="AO827" s="8"/>
      <c r="AP827" s="8"/>
      <c r="AQ827" s="47"/>
      <c r="AR827" s="47"/>
      <c r="AS827" s="8"/>
      <c r="AT827" s="8"/>
      <c r="AU827" s="47"/>
      <c r="AV827" s="47"/>
      <c r="AW827" s="8"/>
      <c r="AX827" s="8"/>
      <c r="AY827" s="47"/>
      <c r="AZ827" s="47"/>
      <c r="BA827" s="8"/>
      <c r="BB827" s="8"/>
      <c r="BC827" s="47"/>
      <c r="BD827" s="47"/>
      <c r="BE827" s="8"/>
      <c r="BF827" s="8"/>
      <c r="BG827" s="47"/>
      <c r="BH827" s="47"/>
      <c r="BI827" s="8"/>
      <c r="BJ827" s="3"/>
      <c r="BK827" s="47"/>
      <c r="BL827" s="47"/>
      <c r="BM827" s="46"/>
      <c r="BN827" s="46"/>
      <c r="BO827" s="24">
        <f>AL827+AN827+AP827+AR827+AT827+AV827+AX827+AZ827+BB827+BD827+BF827+BH827+BJ827+BL827</f>
        <v>5729</v>
      </c>
      <c r="BP827" s="28">
        <f>AJ827-BO827</f>
        <v>-440957.4505</v>
      </c>
      <c r="BQ827" s="2">
        <v>45498</v>
      </c>
    </row>
    <row r="828" spans="1:73" hidden="true">
      <c r="D828" s="9" t="s">
        <v>10</v>
      </c>
      <c r="E828" s="2">
        <v>45499</v>
      </c>
      <c r="F828" s="38"/>
      <c r="G828" s="51"/>
      <c r="H828" s="4">
        <f>F151*50%</f>
        <v>2461.85</v>
      </c>
      <c r="I828" s="120">
        <v>2079</v>
      </c>
      <c r="J828" s="4">
        <f>(G828+H828)-I828</f>
        <v>382.85</v>
      </c>
      <c r="K828" s="4">
        <f>J828+O827</f>
        <v>-19302.94</v>
      </c>
      <c r="L828" s="3"/>
      <c r="M828" s="3"/>
      <c r="N828" s="33">
        <f>I828+M828</f>
        <v>2079</v>
      </c>
      <c r="O828" s="28">
        <f>K828-M828</f>
        <v>-19302.94</v>
      </c>
      <c r="P828" s="9" t="s">
        <v>10</v>
      </c>
      <c r="Q828" s="2">
        <v>45499</v>
      </c>
      <c r="R828" s="38"/>
      <c r="S828" s="52"/>
      <c r="T828" s="4">
        <f>R151*45%</f>
        <v>4675.05</v>
      </c>
      <c r="U828" s="5"/>
      <c r="V828" s="4">
        <f>(S828+T828)-U828</f>
        <v>4675.05</v>
      </c>
      <c r="W828" s="4">
        <f>V828+AA827</f>
        <v>75200.215</v>
      </c>
      <c r="X828" s="3"/>
      <c r="Y828" s="3"/>
      <c r="Z828" s="25">
        <f>U828+Y828</f>
        <v>0</v>
      </c>
      <c r="AA828" s="76">
        <f>W828-Y828</f>
        <v>75200.215</v>
      </c>
      <c r="AB828" s="9" t="s">
        <v>10</v>
      </c>
      <c r="AC828" s="19">
        <v>45499</v>
      </c>
      <c r="AD828" s="41"/>
      <c r="AE828" s="42"/>
      <c r="AF828" s="4">
        <f>AD151-H828-T828</f>
        <v>8175.8</v>
      </c>
      <c r="AG828" s="3"/>
      <c r="AH828" s="8">
        <v>1101</v>
      </c>
      <c r="AI828" s="4">
        <f>(AE828+AF828)-AH828</f>
        <v>7074.8</v>
      </c>
      <c r="AJ828" s="4">
        <f>AI828+BP827</f>
        <v>-433882.6505</v>
      </c>
      <c r="AK828" s="8"/>
      <c r="AL828" s="8"/>
      <c r="AM828" s="47"/>
      <c r="AN828" s="47"/>
      <c r="AO828" s="8"/>
      <c r="AP828" s="8"/>
      <c r="AQ828" s="47"/>
      <c r="AR828" s="47"/>
      <c r="AS828" s="8"/>
      <c r="AT828" s="8"/>
      <c r="AU828" s="47"/>
      <c r="AV828" s="47"/>
      <c r="AW828" s="8"/>
      <c r="AX828" s="8"/>
      <c r="AY828" s="47" t="s">
        <v>245</v>
      </c>
      <c r="AZ828" s="47">
        <f>(313.01)</f>
        <v>313.01</v>
      </c>
      <c r="BA828" s="8" t="s">
        <v>242</v>
      </c>
      <c r="BB828" s="8">
        <f>(6000)</f>
        <v>6000</v>
      </c>
      <c r="BC828" s="47"/>
      <c r="BD828" s="47"/>
      <c r="BE828" s="8"/>
      <c r="BF828" s="8"/>
      <c r="BG828" s="47"/>
      <c r="BH828" s="47"/>
      <c r="BI828" s="8"/>
      <c r="BJ828" s="3"/>
      <c r="BK828" s="48"/>
      <c r="BL828" s="47"/>
      <c r="BM828" s="46"/>
      <c r="BN828" s="46"/>
      <c r="BO828" s="24">
        <f>AL828+AN828+AP828+AR828+AT828+AV828+AX828+AZ828+BB828+BD828+BF828+BH828+BJ828+BL828</f>
        <v>6313.01</v>
      </c>
      <c r="BP828" s="28">
        <f>AJ828-BO828</f>
        <v>-440195.6605</v>
      </c>
      <c r="BQ828" s="2">
        <v>45499</v>
      </c>
    </row>
    <row r="829" spans="1:73" hidden="true">
      <c r="D829" s="9" t="s">
        <v>11</v>
      </c>
      <c r="E829" s="2">
        <v>45500</v>
      </c>
      <c r="F829" s="38"/>
      <c r="G829" s="51"/>
      <c r="H829" s="4">
        <f>F152*50%</f>
        <v>1685.55</v>
      </c>
      <c r="I829" s="120">
        <v>2288.5</v>
      </c>
      <c r="J829" s="4">
        <f>(G829+H829)-I829</f>
        <v>-602.95</v>
      </c>
      <c r="K829" s="4">
        <f>J829+O828</f>
        <v>-19905.89</v>
      </c>
      <c r="L829" s="3"/>
      <c r="M829" s="3"/>
      <c r="N829" s="33">
        <f>I829+M829</f>
        <v>2288.5</v>
      </c>
      <c r="O829" s="28">
        <f>K829-M829</f>
        <v>-19905.89</v>
      </c>
      <c r="P829" s="9" t="s">
        <v>11</v>
      </c>
      <c r="Q829" s="2">
        <v>45500</v>
      </c>
      <c r="R829" s="38"/>
      <c r="S829" s="52"/>
      <c r="T829" s="4">
        <f>R152*45%</f>
        <v>3902.4</v>
      </c>
      <c r="U829" s="5">
        <v>2555</v>
      </c>
      <c r="V829" s="4">
        <f>(S829+T829)-U829</f>
        <v>1347.4</v>
      </c>
      <c r="W829" s="4">
        <f>V829+AA828</f>
        <v>76547.615</v>
      </c>
      <c r="X829" s="3"/>
      <c r="Y829" s="3"/>
      <c r="Z829" s="25">
        <f>U829+Y829</f>
        <v>2555</v>
      </c>
      <c r="AA829" s="76">
        <f>W829-Y829</f>
        <v>76547.615</v>
      </c>
      <c r="AB829" s="9" t="s">
        <v>11</v>
      </c>
      <c r="AC829" s="19">
        <v>45500</v>
      </c>
      <c r="AD829" s="41"/>
      <c r="AE829" s="42"/>
      <c r="AF829" s="4">
        <f>AD152-H829-T829</f>
        <v>6455.15</v>
      </c>
      <c r="AG829" s="3"/>
      <c r="AH829" s="8">
        <v>1566</v>
      </c>
      <c r="AI829" s="4">
        <f>(AE829+AF829)-AH829</f>
        <v>4889.15</v>
      </c>
      <c r="AJ829" s="4">
        <f>AI829+BP828</f>
        <v>-435306.5105</v>
      </c>
      <c r="AK829" s="8"/>
      <c r="AL829" s="8"/>
      <c r="AM829" s="47"/>
      <c r="AN829" s="47"/>
      <c r="AO829" s="8"/>
      <c r="AP829" s="8"/>
      <c r="AQ829" s="47"/>
      <c r="AR829" s="47"/>
      <c r="AS829" s="8"/>
      <c r="AT829" s="8"/>
      <c r="AU829" s="47"/>
      <c r="AV829" s="47"/>
      <c r="AW829" s="8"/>
      <c r="AX829" s="8"/>
      <c r="AY829" s="47"/>
      <c r="AZ829" s="47"/>
      <c r="BA829" s="8" t="s">
        <v>237</v>
      </c>
      <c r="BB829" s="8">
        <f>(2014)</f>
        <v>2014</v>
      </c>
      <c r="BC829" s="47"/>
      <c r="BD829" s="47"/>
      <c r="BE829" s="8"/>
      <c r="BF829" s="8"/>
      <c r="BG829" s="47"/>
      <c r="BH829" s="47"/>
      <c r="BI829" s="8"/>
      <c r="BJ829" s="3"/>
      <c r="BK829" s="47"/>
      <c r="BL829" s="47"/>
      <c r="BM829" s="46"/>
      <c r="BN829" s="46"/>
      <c r="BO829" s="24">
        <f>AL829+AN829+AP829+AR829+AT829+AV829+AX829+AZ829+BB829+BD829+BF829+BH829+BJ829+BL829</f>
        <v>2014</v>
      </c>
      <c r="BP829" s="28">
        <f>AJ829-BO829</f>
        <v>-437320.5105</v>
      </c>
      <c r="BQ829" s="2">
        <v>45500</v>
      </c>
    </row>
    <row r="830" spans="1:73" hidden="true">
      <c r="D830" s="9" t="s">
        <v>12</v>
      </c>
      <c r="E830" s="2">
        <v>45501</v>
      </c>
      <c r="F830" s="38"/>
      <c r="G830" s="51"/>
      <c r="H830" s="4">
        <f>F153*50%</f>
        <v>2240.375</v>
      </c>
      <c r="I830" s="120"/>
      <c r="J830" s="4">
        <f>(G830+H830)-I830</f>
        <v>2240.375</v>
      </c>
      <c r="K830" s="4">
        <f>J830+O829</f>
        <v>-17665.515</v>
      </c>
      <c r="L830" s="3"/>
      <c r="M830" s="3"/>
      <c r="N830" s="33">
        <f>I830+M830</f>
        <v>0</v>
      </c>
      <c r="O830" s="28">
        <f>K830-M830</f>
        <v>-17665.515</v>
      </c>
      <c r="P830" s="9" t="s">
        <v>12</v>
      </c>
      <c r="Q830" s="2">
        <v>45501</v>
      </c>
      <c r="R830" s="38"/>
      <c r="S830" s="52"/>
      <c r="T830" s="4">
        <f>R153*45%</f>
        <v>5082.75</v>
      </c>
      <c r="U830" s="5"/>
      <c r="V830" s="4">
        <f>(S830+T830)-U830</f>
        <v>5082.75</v>
      </c>
      <c r="W830" s="4">
        <f>V830+AA829</f>
        <v>81630.365</v>
      </c>
      <c r="X830" s="3"/>
      <c r="Y830" s="3"/>
      <c r="Z830" s="25">
        <f>U830+Y830</f>
        <v>0</v>
      </c>
      <c r="AA830" s="76">
        <f>W830-Y830</f>
        <v>81630.365</v>
      </c>
      <c r="AB830" s="9" t="s">
        <v>12</v>
      </c>
      <c r="AC830" s="19">
        <v>45501</v>
      </c>
      <c r="AD830" s="41"/>
      <c r="AE830" s="42"/>
      <c r="AF830" s="4">
        <f>AD153-H830-T830</f>
        <v>8452.625</v>
      </c>
      <c r="AG830" s="3"/>
      <c r="AH830" s="8">
        <v>1206</v>
      </c>
      <c r="AI830" s="4">
        <f>(AE830+AF830)-AH830</f>
        <v>7246.625</v>
      </c>
      <c r="AJ830" s="4">
        <f>AI830+BP829</f>
        <v>-430073.8855</v>
      </c>
      <c r="AK830" s="8"/>
      <c r="AL830" s="8"/>
      <c r="AM830" s="47"/>
      <c r="AN830" s="47"/>
      <c r="AO830" s="8"/>
      <c r="AP830" s="8"/>
      <c r="AQ830" s="47"/>
      <c r="AR830" s="47"/>
      <c r="AS830" s="8"/>
      <c r="AT830" s="8"/>
      <c r="AU830" s="47"/>
      <c r="AV830" s="47"/>
      <c r="AW830" s="8"/>
      <c r="AX830" s="8"/>
      <c r="AY830" s="47"/>
      <c r="AZ830" s="47"/>
      <c r="BA830" s="8" t="s">
        <v>246</v>
      </c>
      <c r="BB830" s="8">
        <f>(3000+1500)</f>
        <v>4500</v>
      </c>
      <c r="BC830" s="47"/>
      <c r="BD830" s="47"/>
      <c r="BE830" s="8"/>
      <c r="BF830" s="8"/>
      <c r="BG830" s="47"/>
      <c r="BH830" s="47"/>
      <c r="BI830" s="8"/>
      <c r="BJ830" s="3"/>
      <c r="BK830" s="47" t="s">
        <v>247</v>
      </c>
      <c r="BL830" s="47">
        <f>(3000)</f>
        <v>3000</v>
      </c>
      <c r="BM830" s="46"/>
      <c r="BN830" s="46"/>
      <c r="BO830" s="24">
        <f>AL830+AN830+AP830+AR830+AT830+AV830+AX830+AZ830+BB830+BD830+BF830+BH830+BJ830+BL830</f>
        <v>7500</v>
      </c>
      <c r="BP830" s="28">
        <f>AJ830-BO830</f>
        <v>-437573.8855</v>
      </c>
      <c r="BQ830" s="2">
        <v>45501</v>
      </c>
    </row>
    <row r="831" spans="1:73" hidden="true">
      <c r="D831" s="9" t="s">
        <v>13</v>
      </c>
      <c r="E831" s="2">
        <v>45502</v>
      </c>
      <c r="F831" s="38"/>
      <c r="G831" s="51"/>
      <c r="H831" s="4">
        <f>F154*50%</f>
        <v>2096.25</v>
      </c>
      <c r="I831" s="120"/>
      <c r="J831" s="4">
        <f>(G831+H831)-I831</f>
        <v>2096.25</v>
      </c>
      <c r="K831" s="4">
        <f>J831+O830</f>
        <v>-15569.265</v>
      </c>
      <c r="L831" s="3"/>
      <c r="M831" s="3"/>
      <c r="N831" s="33">
        <f>I831+M831</f>
        <v>0</v>
      </c>
      <c r="O831" s="28">
        <f>K831-M831</f>
        <v>-15569.265</v>
      </c>
      <c r="P831" s="9" t="s">
        <v>13</v>
      </c>
      <c r="Q831" s="2">
        <v>45502</v>
      </c>
      <c r="R831" s="38"/>
      <c r="S831" s="52"/>
      <c r="T831" s="4">
        <f>R154*45%</f>
        <v>2358</v>
      </c>
      <c r="U831" s="5"/>
      <c r="V831" s="4">
        <f>(S831+T831)-U831</f>
        <v>2358</v>
      </c>
      <c r="W831" s="4">
        <f>V831+AA830</f>
        <v>83988.365</v>
      </c>
      <c r="X831" s="3"/>
      <c r="Y831" s="3"/>
      <c r="Z831" s="25">
        <f>U831+Y831</f>
        <v>0</v>
      </c>
      <c r="AA831" s="76">
        <f>W831-Y831</f>
        <v>83988.365</v>
      </c>
      <c r="AB831" s="9" t="s">
        <v>13</v>
      </c>
      <c r="AC831" s="19">
        <v>45502</v>
      </c>
      <c r="AD831" s="41"/>
      <c r="AE831" s="42"/>
      <c r="AF831" s="4">
        <f>AD154-H831-T831</f>
        <v>4978.25</v>
      </c>
      <c r="AG831" s="3"/>
      <c r="AH831" s="8">
        <v>931</v>
      </c>
      <c r="AI831" s="4">
        <f>(AE831+AF831)-AH831</f>
        <v>4047.25</v>
      </c>
      <c r="AJ831" s="4">
        <f>AI831+BP830</f>
        <v>-433526.6355</v>
      </c>
      <c r="AK831" s="8"/>
      <c r="AL831" s="8"/>
      <c r="AM831" s="47"/>
      <c r="AN831" s="47"/>
      <c r="AO831" s="8"/>
      <c r="AP831" s="8"/>
      <c r="AQ831" s="47"/>
      <c r="AR831" s="47"/>
      <c r="AS831" s="8"/>
      <c r="AT831" s="8"/>
      <c r="AU831" s="47"/>
      <c r="AV831" s="47"/>
      <c r="AW831" s="8"/>
      <c r="AX831" s="8"/>
      <c r="AY831" s="47"/>
      <c r="AZ831" s="47"/>
      <c r="BA831" s="8"/>
      <c r="BB831" s="8"/>
      <c r="BC831" s="47"/>
      <c r="BD831" s="47"/>
      <c r="BE831" s="8"/>
      <c r="BF831" s="8"/>
      <c r="BG831" s="47"/>
      <c r="BH831" s="47"/>
      <c r="BI831" s="8"/>
      <c r="BJ831" s="3"/>
      <c r="BK831" s="47"/>
      <c r="BL831" s="47"/>
      <c r="BM831" s="46"/>
      <c r="BN831" s="46"/>
      <c r="BO831" s="24">
        <f>AL831+AN831+AP831+AR831+AT831+AV831+AX831+AZ831+BB831+BD831+BF831+BH831+BJ831+BL831</f>
        <v>0</v>
      </c>
      <c r="BP831" s="28">
        <f>AJ831-BO831</f>
        <v>-433526.6355</v>
      </c>
      <c r="BQ831" s="2">
        <v>45502</v>
      </c>
    </row>
    <row r="832" spans="1:73" hidden="true">
      <c r="D832" s="9" t="s">
        <v>14</v>
      </c>
      <c r="E832" s="2">
        <v>45503</v>
      </c>
      <c r="F832" s="38"/>
      <c r="G832" s="51"/>
      <c r="H832" s="4">
        <f>F155*50%</f>
        <v>2132.6</v>
      </c>
      <c r="I832" s="120">
        <v>3214.4</v>
      </c>
      <c r="J832" s="4">
        <f>(G832+H832)-I832</f>
        <v>-1081.8</v>
      </c>
      <c r="K832" s="4">
        <f>J832+O831</f>
        <v>-16651.065</v>
      </c>
      <c r="L832" s="3"/>
      <c r="M832" s="3"/>
      <c r="N832" s="33">
        <f>I832+M832</f>
        <v>3214.4</v>
      </c>
      <c r="O832" s="28">
        <f>K832-M832</f>
        <v>-16651.065</v>
      </c>
      <c r="P832" s="9" t="s">
        <v>14</v>
      </c>
      <c r="Q832" s="2">
        <v>45503</v>
      </c>
      <c r="R832" s="38"/>
      <c r="S832" s="52"/>
      <c r="T832" s="4">
        <f>R155*45%</f>
        <v>3510</v>
      </c>
      <c r="U832" s="5">
        <v>3902</v>
      </c>
      <c r="V832" s="4">
        <f>(S832+T832)-U832</f>
        <v>-392</v>
      </c>
      <c r="W832" s="4">
        <f>V832+AA831</f>
        <v>83596.365</v>
      </c>
      <c r="X832" s="3"/>
      <c r="Y832" s="3"/>
      <c r="Z832" s="25">
        <f>U832+Y832</f>
        <v>3902</v>
      </c>
      <c r="AA832" s="76">
        <f>W832-Y832</f>
        <v>83596.365</v>
      </c>
      <c r="AB832" s="9" t="s">
        <v>14</v>
      </c>
      <c r="AC832" s="19">
        <v>45503</v>
      </c>
      <c r="AD832" s="41" t="s">
        <v>237</v>
      </c>
      <c r="AE832" s="42">
        <f>(150+1945.06+978.92+465.4+500+164.8+196.3+197.42+519.2+190.08+193.76+641.84+520.52+326+565+590)</f>
        <v>8144.3</v>
      </c>
      <c r="AF832" s="4">
        <f>AD155-H832-T832</f>
        <v>6422.6</v>
      </c>
      <c r="AG832" s="3"/>
      <c r="AH832" s="8">
        <v>1101</v>
      </c>
      <c r="AI832" s="4">
        <f>(AE832+AF832)-AH832</f>
        <v>13465.9</v>
      </c>
      <c r="AJ832" s="4">
        <f>AI832+BP831</f>
        <v>-420060.7355</v>
      </c>
      <c r="AK832" s="8" t="s">
        <v>101</v>
      </c>
      <c r="AL832" s="8">
        <f>(31000)</f>
        <v>31000</v>
      </c>
      <c r="AM832" s="47" t="s">
        <v>248</v>
      </c>
      <c r="AN832" s="47">
        <f>(3348.02)</f>
        <v>3348.02</v>
      </c>
      <c r="AO832" s="8"/>
      <c r="AP832" s="8"/>
      <c r="AQ832" s="47"/>
      <c r="AR832" s="47"/>
      <c r="AS832" s="8"/>
      <c r="AT832" s="8"/>
      <c r="AU832" s="47"/>
      <c r="AV832" s="47"/>
      <c r="AW832" s="8"/>
      <c r="AX832" s="8"/>
      <c r="AY832" s="47"/>
      <c r="AZ832" s="47"/>
      <c r="BA832" s="8"/>
      <c r="BB832" s="8"/>
      <c r="BC832" s="47"/>
      <c r="BD832" s="47"/>
      <c r="BE832" s="8"/>
      <c r="BF832" s="8"/>
      <c r="BG832" s="47"/>
      <c r="BH832" s="47"/>
      <c r="BI832" s="8"/>
      <c r="BJ832" s="3"/>
      <c r="BK832" s="47"/>
      <c r="BL832" s="47"/>
      <c r="BM832" s="46"/>
      <c r="BN832" s="46"/>
      <c r="BO832" s="24">
        <f>AL832+AN832+AP832+AR832+AT832+AV832+AX832+AZ832+BB832+BD832+BF832+BH832+BJ832+BL832</f>
        <v>34348.02</v>
      </c>
      <c r="BP832" s="28">
        <f>AJ832-BO832</f>
        <v>-454408.7555</v>
      </c>
      <c r="BQ832" s="2">
        <v>45503</v>
      </c>
    </row>
    <row r="833" spans="1:73" hidden="true" s="13" customFormat="1">
      <c r="D833" s="13" t="s">
        <v>15</v>
      </c>
      <c r="E833" s="10">
        <v>45504</v>
      </c>
      <c r="F833" s="10"/>
      <c r="G833" s="54"/>
      <c r="H833" s="11">
        <f>F156*50%</f>
        <v>1765.125</v>
      </c>
      <c r="I833" s="121">
        <v>885</v>
      </c>
      <c r="J833" s="11">
        <f>(G833+H833)-I833</f>
        <v>880.125</v>
      </c>
      <c r="K833" s="11">
        <f>J833+O832</f>
        <v>-15770.94</v>
      </c>
      <c r="L833" s="11"/>
      <c r="M833" s="11"/>
      <c r="N833" s="26">
        <f>I833+M833</f>
        <v>885</v>
      </c>
      <c r="O833" s="11">
        <f>K833-M833</f>
        <v>-15770.94</v>
      </c>
      <c r="P833" s="13" t="s">
        <v>15</v>
      </c>
      <c r="Q833" s="10">
        <v>45504</v>
      </c>
      <c r="R833" s="10"/>
      <c r="S833" s="53"/>
      <c r="T833" s="11">
        <f>R156*45%</f>
        <v>4225.05</v>
      </c>
      <c r="U833" s="12">
        <v>1995.24</v>
      </c>
      <c r="V833" s="11">
        <f>(S833+T833)-U833</f>
        <v>2229.81</v>
      </c>
      <c r="W833" s="11">
        <f>V833+AA832</f>
        <v>85826.175</v>
      </c>
      <c r="X833" s="11"/>
      <c r="Y833" s="11"/>
      <c r="Z833" s="26">
        <f>U833+Y833</f>
        <v>1995.24</v>
      </c>
      <c r="AA833" s="53">
        <f>W833-Y833</f>
        <v>85826.175</v>
      </c>
      <c r="AB833" s="13" t="s">
        <v>15</v>
      </c>
      <c r="AC833" s="20">
        <v>45504</v>
      </c>
      <c r="AD833" s="14" t="s">
        <v>233</v>
      </c>
      <c r="AE833" s="27">
        <f>(12000)</f>
        <v>12000</v>
      </c>
      <c r="AF833" s="11">
        <f>AD156-H833-T833</f>
        <v>6929.075</v>
      </c>
      <c r="AG833" s="11"/>
      <c r="AH833" s="15">
        <v>1461</v>
      </c>
      <c r="AI833" s="11">
        <f>(AE833+AF833)-AH833</f>
        <v>17468.075</v>
      </c>
      <c r="AJ833" s="11">
        <f>AI833+BP832</f>
        <v>-436940.6805</v>
      </c>
      <c r="AK833" s="15"/>
      <c r="AL833" s="15"/>
      <c r="AM833" s="15" t="s">
        <v>249</v>
      </c>
      <c r="AN833" s="15">
        <f>(24550)</f>
        <v>24550</v>
      </c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1"/>
      <c r="BK833" s="15"/>
      <c r="BL833" s="15"/>
      <c r="BM833" s="23"/>
      <c r="BN833" s="23"/>
      <c r="BO833" s="23">
        <f>AL833+AN833+AP833+AR833+AT833+AV833+AX833+AZ833+BB833+BD833+BF833+BH833+BJ833+BL833</f>
        <v>24550</v>
      </c>
      <c r="BP833" s="11">
        <f>AJ833-BO833</f>
        <v>-461490.6805</v>
      </c>
      <c r="BQ833" s="10">
        <v>45504</v>
      </c>
    </row>
    <row r="834" spans="1:73" hidden="true">
      <c r="D834" s="9" t="s">
        <v>16</v>
      </c>
      <c r="E834" s="2">
        <v>45505</v>
      </c>
      <c r="F834" s="38"/>
      <c r="G834" s="51"/>
      <c r="H834" s="4">
        <f>F157*50%</f>
        <v>1919.4</v>
      </c>
      <c r="I834" s="120">
        <v>1473.8</v>
      </c>
      <c r="J834" s="4">
        <f>(G834+H834)-I834</f>
        <v>445.6</v>
      </c>
      <c r="K834" s="4">
        <f>J834+O833</f>
        <v>-15325.34</v>
      </c>
      <c r="L834" s="3"/>
      <c r="M834" s="3"/>
      <c r="N834" s="33">
        <f>I834+M834</f>
        <v>1473.8</v>
      </c>
      <c r="O834" s="28">
        <f>K834-M834</f>
        <v>-15325.34</v>
      </c>
      <c r="P834" s="9" t="s">
        <v>16</v>
      </c>
      <c r="Q834" s="2">
        <v>45505</v>
      </c>
      <c r="R834" s="38"/>
      <c r="S834" s="52"/>
      <c r="T834" s="4">
        <f>R157*45%</f>
        <v>3909.6</v>
      </c>
      <c r="U834" s="5">
        <v>0</v>
      </c>
      <c r="V834" s="4">
        <f>(S834+T834)-U834</f>
        <v>3909.6</v>
      </c>
      <c r="W834" s="4">
        <f>V834+AA833</f>
        <v>89735.775</v>
      </c>
      <c r="X834" s="3"/>
      <c r="Y834" s="3"/>
      <c r="Z834" s="25">
        <f>U834+Y834</f>
        <v>0</v>
      </c>
      <c r="AA834" s="76">
        <f>W834-Y834</f>
        <v>89735.775</v>
      </c>
      <c r="AB834" s="9" t="s">
        <v>16</v>
      </c>
      <c r="AC834" s="19">
        <v>45505</v>
      </c>
      <c r="AD834" s="41"/>
      <c r="AE834" s="42"/>
      <c r="AF834" s="4">
        <f>AD157-H834-T834</f>
        <v>6697.8</v>
      </c>
      <c r="AG834" s="3"/>
      <c r="AH834" s="8">
        <v>548.4</v>
      </c>
      <c r="AI834" s="4">
        <f>(AE834+AF834)-AH834</f>
        <v>6149.4</v>
      </c>
      <c r="AJ834" s="4">
        <f>AI834+BP833</f>
        <v>-455341.2805</v>
      </c>
      <c r="AK834" s="8" t="s">
        <v>250</v>
      </c>
      <c r="AL834" s="8">
        <f>(4000)</f>
        <v>4000</v>
      </c>
      <c r="AM834" s="47" t="s">
        <v>7</v>
      </c>
      <c r="AN834" s="47">
        <f>(13600)</f>
        <v>13600</v>
      </c>
      <c r="AO834" s="8"/>
      <c r="AP834" s="8"/>
      <c r="AQ834" s="47"/>
      <c r="AR834" s="47"/>
      <c r="AS834" s="8"/>
      <c r="AT834" s="8"/>
      <c r="AU834" s="47"/>
      <c r="AV834" s="47"/>
      <c r="AW834" s="8"/>
      <c r="AX834" s="8"/>
      <c r="AY834" s="47"/>
      <c r="AZ834" s="47"/>
      <c r="BA834" s="8" t="s">
        <v>251</v>
      </c>
      <c r="BB834" s="8">
        <f>(300)</f>
        <v>300</v>
      </c>
      <c r="BC834" s="47"/>
      <c r="BD834" s="47"/>
      <c r="BE834" s="8"/>
      <c r="BF834" s="8"/>
      <c r="BG834" s="47"/>
      <c r="BH834" s="47"/>
      <c r="BI834" s="8"/>
      <c r="BJ834" s="3"/>
      <c r="BK834" s="47"/>
      <c r="BL834" s="47"/>
      <c r="BM834" s="46"/>
      <c r="BN834" s="46"/>
      <c r="BO834" s="24">
        <f>AL834+AN834+AP834+AR834+AT834+AV834+AX834+AZ834+BB834+BD834+BF834+BH834+BJ834+BL834</f>
        <v>17900</v>
      </c>
      <c r="BP834" s="28">
        <f>AJ834-BO834</f>
        <v>-473241.2805</v>
      </c>
      <c r="BQ834" s="2">
        <v>45505</v>
      </c>
    </row>
    <row r="835" spans="1:73" hidden="true">
      <c r="D835" s="9" t="s">
        <v>10</v>
      </c>
      <c r="E835" s="2">
        <v>45506</v>
      </c>
      <c r="F835" s="38"/>
      <c r="G835" s="51"/>
      <c r="H835" s="4">
        <f>F158*50%</f>
        <v>1235.025</v>
      </c>
      <c r="I835" s="120">
        <v>1539.4</v>
      </c>
      <c r="J835" s="4">
        <f>(G835+H835)-I835</f>
        <v>-304.375</v>
      </c>
      <c r="K835" s="4">
        <f>J835+O834</f>
        <v>-15629.715</v>
      </c>
      <c r="L835" s="3"/>
      <c r="M835" s="3"/>
      <c r="N835" s="33">
        <f>I835+M835</f>
        <v>1539.4</v>
      </c>
      <c r="O835" s="28">
        <f>K835-M835</f>
        <v>-15629.715</v>
      </c>
      <c r="P835" s="9" t="s">
        <v>10</v>
      </c>
      <c r="Q835" s="2">
        <v>45506</v>
      </c>
      <c r="R835" s="38"/>
      <c r="S835" s="52"/>
      <c r="T835" s="4">
        <f>R158*45%</f>
        <v>3558.6</v>
      </c>
      <c r="U835" s="5">
        <v>680</v>
      </c>
      <c r="V835" s="4">
        <f>(S835+T835)-U835</f>
        <v>2878.6</v>
      </c>
      <c r="W835" s="4">
        <f>V835+AA834</f>
        <v>92614.375</v>
      </c>
      <c r="X835" s="3"/>
      <c r="Y835" s="3"/>
      <c r="Z835" s="25">
        <f>U835+Y835</f>
        <v>680</v>
      </c>
      <c r="AA835" s="76">
        <f>W835-Y835</f>
        <v>92614.375</v>
      </c>
      <c r="AB835" s="9" t="s">
        <v>10</v>
      </c>
      <c r="AC835" s="19">
        <v>45506</v>
      </c>
      <c r="AD835" s="41"/>
      <c r="AE835" s="42"/>
      <c r="AF835" s="4">
        <f>AD158-H835-T835</f>
        <v>5584.425</v>
      </c>
      <c r="AG835" s="3"/>
      <c r="AH835" s="8">
        <v>414</v>
      </c>
      <c r="AI835" s="4">
        <f>(AE835+AF835)-AH835</f>
        <v>5170.425</v>
      </c>
      <c r="AJ835" s="4">
        <f>AI835+BP834</f>
        <v>-468070.8555</v>
      </c>
      <c r="AK835" s="8"/>
      <c r="AL835" s="8"/>
      <c r="AM835" s="47" t="s">
        <v>117</v>
      </c>
      <c r="AN835" s="47">
        <f>(2000)</f>
        <v>2000</v>
      </c>
      <c r="AO835" s="8"/>
      <c r="AP835" s="8"/>
      <c r="AQ835" s="47"/>
      <c r="AR835" s="47"/>
      <c r="AS835" s="8"/>
      <c r="AT835" s="8"/>
      <c r="AU835" s="47"/>
      <c r="AV835" s="47"/>
      <c r="AW835" s="8"/>
      <c r="AX835" s="8"/>
      <c r="AY835" s="47"/>
      <c r="AZ835" s="47"/>
      <c r="BA835" s="8"/>
      <c r="BB835" s="8"/>
      <c r="BC835" s="47"/>
      <c r="BD835" s="47"/>
      <c r="BE835" s="8"/>
      <c r="BF835" s="8"/>
      <c r="BG835" s="47"/>
      <c r="BH835" s="47"/>
      <c r="BI835" s="8"/>
      <c r="BJ835" s="3"/>
      <c r="BK835" s="47"/>
      <c r="BL835" s="47"/>
      <c r="BM835" s="46"/>
      <c r="BN835" s="46"/>
      <c r="BO835" s="24">
        <f>AL835+AN835+AP835+AR835+AT835+AV835+AX835+AZ835+BB835+BD835+BF835+BH835+BJ835+BL835</f>
        <v>2000</v>
      </c>
      <c r="BP835" s="28">
        <f>AJ835-BO835</f>
        <v>-470070.8555</v>
      </c>
      <c r="BQ835" s="2">
        <v>45506</v>
      </c>
    </row>
    <row r="836" spans="1:73" hidden="true">
      <c r="D836" s="9" t="s">
        <v>11</v>
      </c>
      <c r="E836" s="2">
        <v>45507</v>
      </c>
      <c r="F836" s="38"/>
      <c r="G836" s="51"/>
      <c r="H836" s="4">
        <f>F159*50%</f>
        <v>2495.375</v>
      </c>
      <c r="I836" s="120">
        <v>1250</v>
      </c>
      <c r="J836" s="4">
        <f>(G836+H836)-I836</f>
        <v>1245.375</v>
      </c>
      <c r="K836" s="4">
        <f>J836+O835</f>
        <v>-14384.34</v>
      </c>
      <c r="L836" s="3"/>
      <c r="M836" s="3"/>
      <c r="N836" s="33">
        <f>I836+M836</f>
        <v>1250</v>
      </c>
      <c r="O836" s="28">
        <f>K836-M836</f>
        <v>-14384.34</v>
      </c>
      <c r="P836" s="9" t="s">
        <v>11</v>
      </c>
      <c r="Q836" s="2">
        <v>45507</v>
      </c>
      <c r="R836" s="38"/>
      <c r="S836" s="52"/>
      <c r="T836" s="4">
        <f>R159*45%</f>
        <v>2625.75</v>
      </c>
      <c r="U836" s="5"/>
      <c r="V836" s="4">
        <f>(S836+T836)-U836</f>
        <v>2625.75</v>
      </c>
      <c r="W836" s="4">
        <f>V836+AA835</f>
        <v>95240.125</v>
      </c>
      <c r="X836" s="3"/>
      <c r="Y836" s="3"/>
      <c r="Z836" s="25">
        <f>U836+Y836</f>
        <v>0</v>
      </c>
      <c r="AA836" s="76">
        <f>W836-Y836</f>
        <v>95240.125</v>
      </c>
      <c r="AB836" s="9" t="s">
        <v>11</v>
      </c>
      <c r="AC836" s="19">
        <v>45507</v>
      </c>
      <c r="AD836" s="41"/>
      <c r="AE836" s="42"/>
      <c r="AF836" s="4">
        <f>AD159-H836-T836</f>
        <v>5704.625</v>
      </c>
      <c r="AG836" s="3"/>
      <c r="AH836" s="8">
        <v>777</v>
      </c>
      <c r="AI836" s="4">
        <f>(AE836+AF836)-AH836</f>
        <v>4927.625</v>
      </c>
      <c r="AJ836" s="4">
        <f>AI836+BP835</f>
        <v>-465143.2305</v>
      </c>
      <c r="AK836" s="3"/>
      <c r="AL836" s="8"/>
      <c r="AM836" s="47"/>
      <c r="AN836" s="47"/>
      <c r="AO836" s="8"/>
      <c r="AP836" s="8"/>
      <c r="AQ836" s="47"/>
      <c r="AR836" s="47"/>
      <c r="AS836" s="8"/>
      <c r="AT836" s="8"/>
      <c r="AU836" s="47"/>
      <c r="AV836" s="47"/>
      <c r="AW836" s="8"/>
      <c r="AX836" s="8"/>
      <c r="AY836" s="47"/>
      <c r="AZ836" s="47"/>
      <c r="BA836" s="8"/>
      <c r="BB836" s="8"/>
      <c r="BC836" s="47"/>
      <c r="BD836" s="47"/>
      <c r="BE836" s="8"/>
      <c r="BF836" s="8"/>
      <c r="BG836" s="47"/>
      <c r="BH836" s="47"/>
      <c r="BI836" s="8"/>
      <c r="BJ836" s="3"/>
      <c r="BK836" s="47"/>
      <c r="BL836" s="47"/>
      <c r="BM836" s="46"/>
      <c r="BN836" s="46"/>
      <c r="BO836" s="24">
        <f>AL836+AN836+AP836+AR836+AT836+AV836+AX836+AZ836+BB836+BD836+BF836+BH836+BJ836+BL836</f>
        <v>0</v>
      </c>
      <c r="BP836" s="28">
        <f>AJ836-BO836</f>
        <v>-465143.2305</v>
      </c>
      <c r="BQ836" s="2">
        <v>45507</v>
      </c>
    </row>
    <row r="837" spans="1:73" hidden="true">
      <c r="D837" s="9" t="s">
        <v>12</v>
      </c>
      <c r="E837" s="2">
        <v>45508</v>
      </c>
      <c r="F837" s="38"/>
      <c r="G837" s="51"/>
      <c r="H837" s="4">
        <f>F160*50%</f>
        <v>1908.425</v>
      </c>
      <c r="I837" s="120"/>
      <c r="J837" s="4">
        <f>(G837+H837)-I837</f>
        <v>1908.425</v>
      </c>
      <c r="K837" s="4">
        <f>J837+O836</f>
        <v>-12475.915</v>
      </c>
      <c r="L837" s="3"/>
      <c r="M837" s="3"/>
      <c r="N837" s="33">
        <f>I837+M837</f>
        <v>0</v>
      </c>
      <c r="O837" s="28">
        <f>K837-M837</f>
        <v>-12475.915</v>
      </c>
      <c r="P837" s="9" t="s">
        <v>12</v>
      </c>
      <c r="Q837" s="2">
        <v>45508</v>
      </c>
      <c r="R837" s="38"/>
      <c r="S837" s="52"/>
      <c r="T837" s="4">
        <f>R160*45%</f>
        <v>4282.2</v>
      </c>
      <c r="U837" s="5"/>
      <c r="V837" s="4">
        <f>(S837+T837)-U837</f>
        <v>4282.2</v>
      </c>
      <c r="W837" s="4">
        <f>V837+AA836</f>
        <v>99522.325</v>
      </c>
      <c r="X837" s="3"/>
      <c r="Y837" s="3"/>
      <c r="Z837" s="25">
        <f>U837+Y837</f>
        <v>0</v>
      </c>
      <c r="AA837" s="76">
        <f>W837-Y837</f>
        <v>99522.325</v>
      </c>
      <c r="AB837" s="9" t="s">
        <v>12</v>
      </c>
      <c r="AC837" s="19">
        <v>45508</v>
      </c>
      <c r="AD837" s="41"/>
      <c r="AE837" s="42"/>
      <c r="AF837" s="4">
        <f>AD160-H837-T837</f>
        <v>7142.225</v>
      </c>
      <c r="AG837" s="3"/>
      <c r="AH837" s="8">
        <v>373</v>
      </c>
      <c r="AI837" s="4">
        <f>(AE837+AF837)-AH837</f>
        <v>6769.225</v>
      </c>
      <c r="AJ837" s="4">
        <f>AI837+BP836</f>
        <v>-458374.0055</v>
      </c>
      <c r="AK837" s="8"/>
      <c r="AL837" s="8"/>
      <c r="AM837" s="47" t="s">
        <v>252</v>
      </c>
      <c r="AN837" s="47">
        <f>(4500)</f>
        <v>4500</v>
      </c>
      <c r="AO837" s="8"/>
      <c r="AP837" s="8"/>
      <c r="AQ837" s="47"/>
      <c r="AR837" s="47"/>
      <c r="AS837" s="8"/>
      <c r="AT837" s="8"/>
      <c r="AU837" s="47"/>
      <c r="AV837" s="47"/>
      <c r="AW837" s="8"/>
      <c r="AX837" s="8"/>
      <c r="AY837" s="47"/>
      <c r="AZ837" s="47"/>
      <c r="BA837" s="3"/>
      <c r="BB837" s="8"/>
      <c r="BC837" s="47"/>
      <c r="BD837" s="47"/>
      <c r="BE837" s="8"/>
      <c r="BF837" s="8"/>
      <c r="BG837" s="47"/>
      <c r="BH837" s="47"/>
      <c r="BI837" s="8"/>
      <c r="BJ837" s="3"/>
      <c r="BK837" s="47"/>
      <c r="BL837" s="47"/>
      <c r="BM837" s="46"/>
      <c r="BN837" s="46"/>
      <c r="BO837" s="24">
        <f>AL837+AN837+AP837+AR837+AT837+AV837+AX837+AZ837+BB837+BD837+BF837+BH837+BJ837+BL837</f>
        <v>4500</v>
      </c>
      <c r="BP837" s="28">
        <f>AJ837-BO837</f>
        <v>-462874.0055</v>
      </c>
      <c r="BQ837" s="2">
        <v>45508</v>
      </c>
    </row>
    <row r="838" spans="1:73" hidden="true">
      <c r="D838" s="9" t="s">
        <v>13</v>
      </c>
      <c r="E838" s="2">
        <v>45509</v>
      </c>
      <c r="F838" s="38"/>
      <c r="G838" s="51"/>
      <c r="H838" s="4">
        <f>F161*50%</f>
        <v>1990.65</v>
      </c>
      <c r="I838" s="120">
        <v>2997.3</v>
      </c>
      <c r="J838" s="4">
        <f>(G838+H838)-I838</f>
        <v>-1006.65</v>
      </c>
      <c r="K838" s="4">
        <f>J838+O837</f>
        <v>-13482.565</v>
      </c>
      <c r="L838" s="3"/>
      <c r="M838" s="3"/>
      <c r="N838" s="33">
        <f>I838+M838</f>
        <v>2997.3</v>
      </c>
      <c r="O838" s="28">
        <f>K838-M838</f>
        <v>-13482.565</v>
      </c>
      <c r="P838" s="9" t="s">
        <v>13</v>
      </c>
      <c r="Q838" s="2">
        <v>45509</v>
      </c>
      <c r="R838" s="38"/>
      <c r="S838" s="52"/>
      <c r="T838" s="4">
        <f>R161*45%</f>
        <v>2305.35</v>
      </c>
      <c r="U838" s="5">
        <v>1355</v>
      </c>
      <c r="V838" s="4">
        <f>(S838+T838)-U838</f>
        <v>950.35</v>
      </c>
      <c r="W838" s="4">
        <f>V838+AA837</f>
        <v>100472.675</v>
      </c>
      <c r="X838" s="3"/>
      <c r="Y838" s="3"/>
      <c r="Z838" s="25">
        <f>U838+Y838</f>
        <v>1355</v>
      </c>
      <c r="AA838" s="76">
        <f>W838-Y838</f>
        <v>100472.675</v>
      </c>
      <c r="AB838" s="9" t="s">
        <v>13</v>
      </c>
      <c r="AC838" s="19">
        <v>45509</v>
      </c>
      <c r="AD838" s="41"/>
      <c r="AE838" s="42"/>
      <c r="AF838" s="4">
        <f>AD161-H838-T838</f>
        <v>4808.3</v>
      </c>
      <c r="AG838" s="3"/>
      <c r="AH838" s="8">
        <v>358.6</v>
      </c>
      <c r="AI838" s="4">
        <f>(AE838+AF838)-AH838</f>
        <v>4449.7</v>
      </c>
      <c r="AJ838" s="4">
        <f>AI838+BP837</f>
        <v>-458424.3055</v>
      </c>
      <c r="AK838" s="8"/>
      <c r="AL838" s="8"/>
      <c r="AM838" s="47"/>
      <c r="AN838" s="47"/>
      <c r="AO838" s="8"/>
      <c r="AP838" s="8"/>
      <c r="AQ838" s="47"/>
      <c r="AR838" s="47"/>
      <c r="AS838" s="8"/>
      <c r="AT838" s="8"/>
      <c r="AU838" s="47"/>
      <c r="AV838" s="47"/>
      <c r="AW838" s="8"/>
      <c r="AX838" s="8"/>
      <c r="AY838" s="47" t="s">
        <v>253</v>
      </c>
      <c r="AZ838" s="47">
        <f>(104.25)</f>
        <v>104.25</v>
      </c>
      <c r="BA838" s="8" t="s">
        <v>254</v>
      </c>
      <c r="BB838" s="8">
        <f>(720)</f>
        <v>720</v>
      </c>
      <c r="BC838" s="47"/>
      <c r="BD838" s="47"/>
      <c r="BE838" s="8"/>
      <c r="BF838" s="8"/>
      <c r="BG838" s="47"/>
      <c r="BH838" s="47"/>
      <c r="BI838" s="8"/>
      <c r="BJ838" s="3"/>
      <c r="BK838" s="47"/>
      <c r="BL838" s="47"/>
      <c r="BM838" s="46"/>
      <c r="BN838" s="46"/>
      <c r="BO838" s="24">
        <f>AL838+AN838+AP838+AR838+AT838+AV838+AX838+AZ838+BB838+BD838+BF838+BH838+BJ838+BL838</f>
        <v>824.25</v>
      </c>
      <c r="BP838" s="28">
        <f>AJ838-BO838</f>
        <v>-459248.5555</v>
      </c>
      <c r="BQ838" s="2">
        <v>45509</v>
      </c>
    </row>
    <row r="839" spans="1:73" hidden="true">
      <c r="D839" s="9" t="s">
        <v>14</v>
      </c>
      <c r="E839" s="2">
        <v>45510</v>
      </c>
      <c r="F839" s="38"/>
      <c r="G839" s="51"/>
      <c r="H839" s="4">
        <f>F162*50%</f>
        <v>2351.725</v>
      </c>
      <c r="I839" s="120">
        <v>4082.54</v>
      </c>
      <c r="J839" s="4">
        <f>(G839+H839)-I839</f>
        <v>-1730.815</v>
      </c>
      <c r="K839" s="4">
        <f>J839+O838</f>
        <v>-15213.38</v>
      </c>
      <c r="L839" s="3"/>
      <c r="M839" s="3"/>
      <c r="N839" s="33">
        <f>I839+M839</f>
        <v>4082.54</v>
      </c>
      <c r="O839" s="28">
        <f>K839-M839</f>
        <v>-15213.38</v>
      </c>
      <c r="P839" s="9" t="s">
        <v>14</v>
      </c>
      <c r="Q839" s="2">
        <v>45510</v>
      </c>
      <c r="R839" s="38"/>
      <c r="S839" s="52"/>
      <c r="T839" s="4">
        <f>R162*45%</f>
        <v>3147.75</v>
      </c>
      <c r="U839" s="5">
        <v>0</v>
      </c>
      <c r="V839" s="4">
        <f>(S839+T839)-U839</f>
        <v>3147.75</v>
      </c>
      <c r="W839" s="4">
        <f>V839+AA838</f>
        <v>103620.425</v>
      </c>
      <c r="X839" s="3"/>
      <c r="Y839" s="3"/>
      <c r="Z839" s="25">
        <f>U839+Y839</f>
        <v>0</v>
      </c>
      <c r="AA839" s="76">
        <f>W839-Y839</f>
        <v>103620.425</v>
      </c>
      <c r="AB839" s="9" t="s">
        <v>14</v>
      </c>
      <c r="AC839" s="19">
        <v>45510</v>
      </c>
      <c r="AD839" s="41"/>
      <c r="AE839" s="42"/>
      <c r="AF839" s="4">
        <f>AD162-H839-T839</f>
        <v>6198.975</v>
      </c>
      <c r="AG839" s="3"/>
      <c r="AH839" s="8">
        <v>483.7</v>
      </c>
      <c r="AI839" s="4">
        <f>(AE839+AF839)-AH839</f>
        <v>5715.275</v>
      </c>
      <c r="AJ839" s="4">
        <f>AI839+BP838</f>
        <v>-453533.2805</v>
      </c>
      <c r="AK839" s="8" t="s">
        <v>41</v>
      </c>
      <c r="AL839" s="8">
        <f>(8025.46+1800)</f>
        <v>9825.46</v>
      </c>
      <c r="AM839" s="47"/>
      <c r="AN839" s="47"/>
      <c r="AO839" s="8"/>
      <c r="AP839" s="8"/>
      <c r="AQ839" s="47"/>
      <c r="AR839" s="47"/>
      <c r="AS839" s="8"/>
      <c r="AT839" s="8"/>
      <c r="AU839" s="47"/>
      <c r="AV839" s="47"/>
      <c r="AW839" s="8"/>
      <c r="AX839" s="8"/>
      <c r="AY839" s="47"/>
      <c r="AZ839" s="47"/>
      <c r="BA839" s="8"/>
      <c r="BB839" s="8"/>
      <c r="BC839" s="47"/>
      <c r="BD839" s="47"/>
      <c r="BE839" s="8"/>
      <c r="BF839" s="8"/>
      <c r="BG839" s="47"/>
      <c r="BH839" s="47"/>
      <c r="BI839" s="8"/>
      <c r="BJ839" s="3"/>
      <c r="BK839" s="47"/>
      <c r="BL839" s="47"/>
      <c r="BM839" s="46"/>
      <c r="BN839" s="46"/>
      <c r="BO839" s="24">
        <f>AL839+AN839+AP839+AR839+AT839+AV839+AX839+AZ839+BB839+BD839+BF839+BH839+BJ839+BL839</f>
        <v>9825.46</v>
      </c>
      <c r="BP839" s="28">
        <f>AJ839-BO839</f>
        <v>-463358.7405</v>
      </c>
      <c r="BQ839" s="2">
        <v>45510</v>
      </c>
    </row>
    <row r="840" spans="1:73" hidden="true">
      <c r="D840" s="9" t="s">
        <v>15</v>
      </c>
      <c r="E840" s="2">
        <v>45511</v>
      </c>
      <c r="F840" s="38"/>
      <c r="G840" s="51"/>
      <c r="H840" s="4">
        <f>F163*50%</f>
        <v>1505.8</v>
      </c>
      <c r="I840" s="120">
        <v>1638</v>
      </c>
      <c r="J840" s="4">
        <f>(G840+H840)-I840</f>
        <v>-132.2</v>
      </c>
      <c r="K840" s="4">
        <f>J840+O839</f>
        <v>-15345.58</v>
      </c>
      <c r="L840" s="3"/>
      <c r="M840" s="3"/>
      <c r="N840" s="33">
        <f>I840+M840</f>
        <v>1638</v>
      </c>
      <c r="O840" s="28">
        <f>K840-M840</f>
        <v>-15345.58</v>
      </c>
      <c r="P840" s="9" t="s">
        <v>15</v>
      </c>
      <c r="Q840" s="2">
        <v>45511</v>
      </c>
      <c r="R840" s="38"/>
      <c r="S840" s="52"/>
      <c r="T840" s="4">
        <f>R163*45%</f>
        <v>1665.45</v>
      </c>
      <c r="U840" s="5">
        <v>1873</v>
      </c>
      <c r="V840" s="4">
        <f>(S840+T840)-U840</f>
        <v>-207.55</v>
      </c>
      <c r="W840" s="4">
        <f>V840+AA839</f>
        <v>103412.875</v>
      </c>
      <c r="X840" s="3"/>
      <c r="Y840" s="3"/>
      <c r="Z840" s="25">
        <f>U840+Y840</f>
        <v>1873</v>
      </c>
      <c r="AA840" s="76">
        <f>W840-Y840</f>
        <v>103412.875</v>
      </c>
      <c r="AB840" s="9" t="s">
        <v>15</v>
      </c>
      <c r="AC840" s="19">
        <v>45511</v>
      </c>
      <c r="AD840" s="41" t="s">
        <v>233</v>
      </c>
      <c r="AE840" s="42">
        <f>(3200)</f>
        <v>3200</v>
      </c>
      <c r="AF840" s="4">
        <f>AD163-H840-T840</f>
        <v>3541.35</v>
      </c>
      <c r="AG840" s="3"/>
      <c r="AH840" s="8">
        <v>341.8</v>
      </c>
      <c r="AI840" s="4">
        <f>(AE840+AF840)-AH840</f>
        <v>6399.55</v>
      </c>
      <c r="AJ840" s="4">
        <f>AI840+BP839</f>
        <v>-456959.1905</v>
      </c>
      <c r="AK840" s="8" t="s">
        <v>41</v>
      </c>
      <c r="AL840" s="8">
        <f>(5370.79)</f>
        <v>5370.79</v>
      </c>
      <c r="AM840" s="47"/>
      <c r="AN840" s="47"/>
      <c r="AO840" s="8"/>
      <c r="AP840" s="8"/>
      <c r="AQ840" s="47"/>
      <c r="AR840" s="47"/>
      <c r="AS840" s="8"/>
      <c r="AT840" s="8"/>
      <c r="AU840" s="47"/>
      <c r="AV840" s="47"/>
      <c r="AW840" s="8"/>
      <c r="AX840" s="8"/>
      <c r="AY840" s="47"/>
      <c r="AZ840" s="47"/>
      <c r="BA840" s="8" t="s">
        <v>255</v>
      </c>
      <c r="BB840" s="8">
        <f>(300)</f>
        <v>300</v>
      </c>
      <c r="BC840" s="47"/>
      <c r="BD840" s="47"/>
      <c r="BE840" s="8"/>
      <c r="BF840" s="8"/>
      <c r="BG840" s="47"/>
      <c r="BH840" s="47"/>
      <c r="BI840" s="8"/>
      <c r="BJ840" s="3"/>
      <c r="BK840" s="47"/>
      <c r="BL840" s="47"/>
      <c r="BM840" s="46"/>
      <c r="BN840" s="46"/>
      <c r="BO840" s="24">
        <f>AL840+AN840+AP840+AR840+AT840+AV840+AX840+AZ840+BB840+BD840+BF840+BH840+BJ840+BL840</f>
        <v>5670.79</v>
      </c>
      <c r="BP840" s="28">
        <f>AJ840-BO840</f>
        <v>-462629.9805</v>
      </c>
      <c r="BQ840" s="2">
        <v>45511</v>
      </c>
    </row>
    <row r="841" spans="1:73" hidden="true">
      <c r="D841" s="9" t="s">
        <v>16</v>
      </c>
      <c r="E841" s="2">
        <v>45512</v>
      </c>
      <c r="F841" s="38"/>
      <c r="G841" s="51"/>
      <c r="H841" s="4">
        <f>F164*50%</f>
        <v>2340.025</v>
      </c>
      <c r="I841" s="120">
        <v>1920.4</v>
      </c>
      <c r="J841" s="4">
        <f>(G841+H841)-I841</f>
        <v>419.625</v>
      </c>
      <c r="K841" s="4">
        <f>J841+O840</f>
        <v>-14925.955</v>
      </c>
      <c r="L841" s="3"/>
      <c r="M841" s="3"/>
      <c r="N841" s="33">
        <f>I841+M841</f>
        <v>1920.4</v>
      </c>
      <c r="O841" s="28">
        <f>K841-M841</f>
        <v>-14925.955</v>
      </c>
      <c r="P841" s="9" t="s">
        <v>16</v>
      </c>
      <c r="Q841" s="2">
        <v>45512</v>
      </c>
      <c r="R841" s="38"/>
      <c r="S841" s="52"/>
      <c r="T841" s="4">
        <f>R164*45%</f>
        <v>2355.3</v>
      </c>
      <c r="U841" s="5">
        <v>0</v>
      </c>
      <c r="V841" s="4">
        <f>(S841+T841)-U841</f>
        <v>2355.3</v>
      </c>
      <c r="W841" s="4">
        <f>V841+AA840</f>
        <v>105768.175</v>
      </c>
      <c r="X841" s="3"/>
      <c r="Y841" s="3"/>
      <c r="Z841" s="25">
        <f>U841+Y841</f>
        <v>0</v>
      </c>
      <c r="AA841" s="76">
        <f>W841-Y841</f>
        <v>105768.175</v>
      </c>
      <c r="AB841" s="9" t="s">
        <v>16</v>
      </c>
      <c r="AC841" s="19">
        <v>45512</v>
      </c>
      <c r="AD841" s="41" t="s">
        <v>233</v>
      </c>
      <c r="AE841" s="42">
        <f>(1200+2225)</f>
        <v>3425</v>
      </c>
      <c r="AF841" s="4">
        <f>AD164-H841-T841</f>
        <v>5218.725</v>
      </c>
      <c r="AG841" s="3"/>
      <c r="AH841" s="8">
        <v>471</v>
      </c>
      <c r="AI841" s="4">
        <f>(AE841+AF841)-AH841</f>
        <v>8172.725</v>
      </c>
      <c r="AJ841" s="4">
        <f>AI841+BP840</f>
        <v>-454457.2555</v>
      </c>
      <c r="AK841" s="8" t="s">
        <v>41</v>
      </c>
      <c r="AL841" s="8">
        <f>(6522.6)</f>
        <v>6522.6</v>
      </c>
      <c r="AM841" s="47"/>
      <c r="AN841" s="47"/>
      <c r="AO841" s="8"/>
      <c r="AP841" s="8"/>
      <c r="AQ841" s="47"/>
      <c r="AR841" s="47"/>
      <c r="AS841" s="8"/>
      <c r="AT841" s="8"/>
      <c r="AU841" s="47"/>
      <c r="AV841" s="47"/>
      <c r="AW841" s="8"/>
      <c r="AX841" s="8"/>
      <c r="AY841" s="47"/>
      <c r="AZ841" s="47"/>
      <c r="BA841" s="3" t="s">
        <v>256</v>
      </c>
      <c r="BB841" s="8">
        <f>(400+1200+2225+3200)</f>
        <v>7025</v>
      </c>
      <c r="BC841" s="47"/>
      <c r="BD841" s="47"/>
      <c r="BE841" s="8"/>
      <c r="BF841" s="8"/>
      <c r="BG841" s="47"/>
      <c r="BH841" s="47"/>
      <c r="BI841" s="8"/>
      <c r="BJ841" s="3"/>
      <c r="BK841" s="47"/>
      <c r="BL841" s="47"/>
      <c r="BM841" s="46"/>
      <c r="BN841" s="46"/>
      <c r="BO841" s="24">
        <f>AL841+AN841+AP841+AR841+AT841+AV841+AX841+AZ841+BB841+BD841+BF841+BH841+BJ841+BL841</f>
        <v>13547.6</v>
      </c>
      <c r="BP841" s="28">
        <f>AJ841-BO841</f>
        <v>-468004.8555</v>
      </c>
      <c r="BQ841" s="2">
        <v>45512</v>
      </c>
    </row>
    <row r="842" spans="1:73" hidden="true">
      <c r="D842" s="9" t="s">
        <v>10</v>
      </c>
      <c r="E842" s="2">
        <v>45513</v>
      </c>
      <c r="F842" s="38"/>
      <c r="G842" s="51"/>
      <c r="H842" s="4">
        <f>F165*50%</f>
        <v>1581.175</v>
      </c>
      <c r="I842" s="120"/>
      <c r="J842" s="4">
        <f>(G842+H842)-I842</f>
        <v>1581.175</v>
      </c>
      <c r="K842" s="4">
        <f>J842+O841</f>
        <v>-13344.78</v>
      </c>
      <c r="L842" s="3"/>
      <c r="M842" s="3"/>
      <c r="N842" s="33">
        <f>I842+M842</f>
        <v>0</v>
      </c>
      <c r="O842" s="28">
        <f>K842-M842</f>
        <v>-13344.78</v>
      </c>
      <c r="P842" s="9" t="s">
        <v>10</v>
      </c>
      <c r="Q842" s="2">
        <v>45513</v>
      </c>
      <c r="R842" s="38"/>
      <c r="S842" s="52"/>
      <c r="T842" s="4">
        <f>R165*45%</f>
        <v>5131.35</v>
      </c>
      <c r="U842" s="5">
        <f>(440+26388.43)</f>
        <v>26828.43</v>
      </c>
      <c r="V842" s="4">
        <f>(S842+T842)-U842</f>
        <v>-21697.08</v>
      </c>
      <c r="W842" s="4">
        <f>V842+AA841</f>
        <v>84071.095</v>
      </c>
      <c r="X842" s="3"/>
      <c r="Y842" s="3"/>
      <c r="Z842" s="25">
        <f>U842+Y842</f>
        <v>26828.43</v>
      </c>
      <c r="AA842" s="76">
        <f>W842-Y842</f>
        <v>84071.095</v>
      </c>
      <c r="AB842" s="9" t="s">
        <v>10</v>
      </c>
      <c r="AC842" s="19">
        <v>45513</v>
      </c>
      <c r="AD842" s="41" t="s">
        <v>233</v>
      </c>
      <c r="AE842" s="42">
        <f>(5300+8300)</f>
        <v>13600</v>
      </c>
      <c r="AF842" s="4">
        <f>AD165-H842-T842</f>
        <v>7852.825</v>
      </c>
      <c r="AG842" s="3"/>
      <c r="AH842" s="8">
        <v>934.9</v>
      </c>
      <c r="AI842" s="4">
        <f>(AE842+AF842)-AH842</f>
        <v>20517.925</v>
      </c>
      <c r="AJ842" s="4">
        <f>AI842+BP841</f>
        <v>-447486.9305</v>
      </c>
      <c r="AK842" s="8" t="s">
        <v>41</v>
      </c>
      <c r="AL842" s="8">
        <f>(6147.3)</f>
        <v>6147.3</v>
      </c>
      <c r="AM842" s="47"/>
      <c r="AN842" s="47"/>
      <c r="AO842" s="8"/>
      <c r="AP842" s="8"/>
      <c r="AQ842" s="47"/>
      <c r="AR842" s="47"/>
      <c r="AS842" s="8"/>
      <c r="AT842" s="8"/>
      <c r="AU842" s="47"/>
      <c r="AV842" s="47"/>
      <c r="AW842" s="8"/>
      <c r="AX842" s="8"/>
      <c r="AY842" s="47"/>
      <c r="AZ842" s="47"/>
      <c r="BA842" s="8" t="s">
        <v>237</v>
      </c>
      <c r="BB842" s="8">
        <f>(5300)</f>
        <v>5300</v>
      </c>
      <c r="BC842" s="47"/>
      <c r="BD842" s="47"/>
      <c r="BE842" s="8"/>
      <c r="BF842" s="8"/>
      <c r="BG842" s="47"/>
      <c r="BH842" s="47"/>
      <c r="BI842" s="8"/>
      <c r="BJ842" s="3"/>
      <c r="BK842" s="47"/>
      <c r="BL842" s="47"/>
      <c r="BM842" s="46"/>
      <c r="BN842" s="46"/>
      <c r="BO842" s="24">
        <f>AL842+AN842+AP842+AR842+AT842+AV842+AX842+AZ842+BB842+BD842+BF842+BH842+BJ842+BL842</f>
        <v>11447.3</v>
      </c>
      <c r="BP842" s="28">
        <f>AJ842-BO842</f>
        <v>-458934.2305</v>
      </c>
      <c r="BQ842" s="2">
        <v>45513</v>
      </c>
    </row>
    <row r="843" spans="1:73" hidden="true">
      <c r="D843" s="9" t="s">
        <v>11</v>
      </c>
      <c r="E843" s="2">
        <v>45514</v>
      </c>
      <c r="F843" s="38"/>
      <c r="G843" s="51"/>
      <c r="H843" s="4">
        <f>F166*50%</f>
        <v>2090.075</v>
      </c>
      <c r="I843" s="120"/>
      <c r="J843" s="4">
        <f>(G843+H843)-I843</f>
        <v>2090.075</v>
      </c>
      <c r="K843" s="4">
        <f>J843+O842</f>
        <v>-11254.705</v>
      </c>
      <c r="L843" s="3"/>
      <c r="M843" s="3"/>
      <c r="N843" s="33">
        <f>I843+M843</f>
        <v>0</v>
      </c>
      <c r="O843" s="28">
        <f>K843-M843</f>
        <v>-11254.705</v>
      </c>
      <c r="P843" s="9" t="s">
        <v>11</v>
      </c>
      <c r="Q843" s="2">
        <v>45514</v>
      </c>
      <c r="R843" s="38"/>
      <c r="S843" s="52"/>
      <c r="T843" s="4">
        <f>R166*45%</f>
        <v>5634</v>
      </c>
      <c r="U843" s="5"/>
      <c r="V843" s="4">
        <f>(S843+T843)-U843</f>
        <v>5634</v>
      </c>
      <c r="W843" s="4">
        <f>V843+AA842</f>
        <v>89705.095</v>
      </c>
      <c r="X843" s="3"/>
      <c r="Y843" s="3"/>
      <c r="Z843" s="25">
        <f>U843+Y843</f>
        <v>0</v>
      </c>
      <c r="AA843" s="76">
        <f>W843-Y843</f>
        <v>89705.095</v>
      </c>
      <c r="AB843" s="9" t="s">
        <v>11</v>
      </c>
      <c r="AC843" s="19">
        <v>45514</v>
      </c>
      <c r="AD843" s="41" t="s">
        <v>233</v>
      </c>
      <c r="AE843" s="42">
        <f>(1300+4800+10000)</f>
        <v>16100</v>
      </c>
      <c r="AF843" s="4">
        <f>AD166-H843-T843</f>
        <v>8976.075</v>
      </c>
      <c r="AG843" s="3"/>
      <c r="AH843" s="8">
        <v>1140.05</v>
      </c>
      <c r="AI843" s="4">
        <f>(AE843+AF843)-AH843</f>
        <v>23936.025</v>
      </c>
      <c r="AJ843" s="4">
        <f>AI843+BP842</f>
        <v>-434998.2055</v>
      </c>
      <c r="AK843" s="8" t="s">
        <v>101</v>
      </c>
      <c r="AL843" s="8">
        <f>(10000)</f>
        <v>10000</v>
      </c>
      <c r="AM843" s="47"/>
      <c r="AN843" s="47"/>
      <c r="AO843" s="8"/>
      <c r="AP843" s="8"/>
      <c r="AQ843" s="47"/>
      <c r="AR843" s="47"/>
      <c r="AS843" s="8"/>
      <c r="AT843" s="8"/>
      <c r="AU843" s="47"/>
      <c r="AV843" s="47"/>
      <c r="AW843" s="8"/>
      <c r="AX843" s="8"/>
      <c r="AY843" s="47"/>
      <c r="AZ843" s="47"/>
      <c r="BA843" s="8" t="s">
        <v>257</v>
      </c>
      <c r="BB843" s="8">
        <f>(1300+4800)</f>
        <v>6100</v>
      </c>
      <c r="BC843" s="47"/>
      <c r="BD843" s="47"/>
      <c r="BE843" s="8"/>
      <c r="BF843" s="8"/>
      <c r="BG843" s="47"/>
      <c r="BH843" s="47"/>
      <c r="BI843" s="8"/>
      <c r="BJ843" s="3"/>
      <c r="BK843" s="47"/>
      <c r="BL843" s="47"/>
      <c r="BM843" s="46"/>
      <c r="BN843" s="46"/>
      <c r="BO843" s="24">
        <f>AL843+AN843+AP843+AR843+AT843+AV843+AX843+AZ843+BB843+BD843+BF843+BH843+BJ843+BL843</f>
        <v>16100</v>
      </c>
      <c r="BP843" s="28">
        <f>AJ843-BO843</f>
        <v>-451098.2055</v>
      </c>
      <c r="BQ843" s="2">
        <v>45514</v>
      </c>
    </row>
    <row r="844" spans="1:73" hidden="true">
      <c r="D844" s="9" t="s">
        <v>12</v>
      </c>
      <c r="E844" s="2">
        <v>45515</v>
      </c>
      <c r="F844" s="38"/>
      <c r="G844" s="51"/>
      <c r="H844" s="4">
        <f>F167*50%</f>
        <v>2003.475</v>
      </c>
      <c r="I844" s="120"/>
      <c r="J844" s="4">
        <f>(G844+H844)-I844</f>
        <v>2003.475</v>
      </c>
      <c r="K844" s="4">
        <f>J844+O843</f>
        <v>-9251.23</v>
      </c>
      <c r="L844" s="3"/>
      <c r="M844" s="3"/>
      <c r="N844" s="33">
        <f>I844+M844</f>
        <v>0</v>
      </c>
      <c r="O844" s="28">
        <f>K844-M844</f>
        <v>-9251.23</v>
      </c>
      <c r="P844" s="9" t="s">
        <v>12</v>
      </c>
      <c r="Q844" s="2">
        <v>45515</v>
      </c>
      <c r="R844" s="38"/>
      <c r="S844" s="52"/>
      <c r="T844" s="4">
        <f>R167*45%</f>
        <v>5806.35</v>
      </c>
      <c r="U844" s="5"/>
      <c r="V844" s="4">
        <f>(S844+T844)-U844</f>
        <v>5806.35</v>
      </c>
      <c r="W844" s="4">
        <f>V844+AA843</f>
        <v>95511.445</v>
      </c>
      <c r="X844" s="3"/>
      <c r="Y844" s="3"/>
      <c r="Z844" s="25">
        <f>U844+Y844</f>
        <v>0</v>
      </c>
      <c r="AA844" s="76">
        <f>W844-Y844</f>
        <v>95511.445</v>
      </c>
      <c r="AB844" s="9" t="s">
        <v>12</v>
      </c>
      <c r="AC844" s="19">
        <v>45515</v>
      </c>
      <c r="AD844" s="41"/>
      <c r="AE844" s="42"/>
      <c r="AF844" s="4">
        <f>AD167-H844-T844</f>
        <v>9100.125</v>
      </c>
      <c r="AG844" s="3"/>
      <c r="AH844" s="8"/>
      <c r="AI844" s="4">
        <f>(AE844+AF844)-AH844</f>
        <v>9100.125</v>
      </c>
      <c r="AJ844" s="4">
        <f>AI844+BP843</f>
        <v>-441998.0805</v>
      </c>
      <c r="AK844" s="8"/>
      <c r="AL844" s="8"/>
      <c r="AM844" s="47"/>
      <c r="AN844" s="47"/>
      <c r="AO844" s="8"/>
      <c r="AP844" s="8"/>
      <c r="AQ844" s="47"/>
      <c r="AR844" s="47"/>
      <c r="AS844" s="8"/>
      <c r="AT844" s="8"/>
      <c r="AU844" s="47"/>
      <c r="AV844" s="47"/>
      <c r="AW844" s="8"/>
      <c r="AX844" s="8"/>
      <c r="AY844" s="47"/>
      <c r="AZ844" s="47"/>
      <c r="BA844" s="8"/>
      <c r="BB844" s="8"/>
      <c r="BC844" s="47"/>
      <c r="BD844" s="47"/>
      <c r="BE844" s="8"/>
      <c r="BF844" s="8"/>
      <c r="BG844" s="47"/>
      <c r="BH844" s="47"/>
      <c r="BI844" s="8"/>
      <c r="BJ844" s="3"/>
      <c r="BK844" s="47"/>
      <c r="BL844" s="47"/>
      <c r="BM844" s="46"/>
      <c r="BN844" s="46"/>
      <c r="BO844" s="24">
        <f>AL844+AN844+AP844+AR844+AT844+AV844+AX844+AZ844+BB844+BD844+BF844+BH844+BJ844+BL844</f>
        <v>0</v>
      </c>
      <c r="BP844" s="28">
        <f>AJ844-BO844</f>
        <v>-441998.0805</v>
      </c>
      <c r="BQ844" s="2">
        <v>45515</v>
      </c>
    </row>
    <row r="845" spans="1:73" hidden="true">
      <c r="D845" s="9" t="s">
        <v>13</v>
      </c>
      <c r="E845" s="2">
        <v>45516</v>
      </c>
      <c r="F845" s="38"/>
      <c r="G845" s="51"/>
      <c r="H845" s="4">
        <f>F168*50%</f>
        <v>2088.5</v>
      </c>
      <c r="I845" s="120"/>
      <c r="J845" s="4">
        <f>(G845+H845)-I845</f>
        <v>2088.5</v>
      </c>
      <c r="K845" s="4">
        <f>J845+O844</f>
        <v>-7162.73</v>
      </c>
      <c r="L845" s="3"/>
      <c r="M845" s="3"/>
      <c r="N845" s="33">
        <f>I845+M845</f>
        <v>0</v>
      </c>
      <c r="O845" s="28">
        <f>K845-M845</f>
        <v>-7162.73</v>
      </c>
      <c r="P845" s="9" t="s">
        <v>13</v>
      </c>
      <c r="Q845" s="2">
        <v>45516</v>
      </c>
      <c r="R845" s="38"/>
      <c r="S845" s="52"/>
      <c r="T845" s="4">
        <f>R168*45%</f>
        <v>2090.7</v>
      </c>
      <c r="U845" s="5"/>
      <c r="V845" s="4">
        <f>(S845+T845)-U845</f>
        <v>2090.7</v>
      </c>
      <c r="W845" s="4">
        <f>V845+AA844</f>
        <v>97602.145</v>
      </c>
      <c r="X845" s="3"/>
      <c r="Y845" s="3"/>
      <c r="Z845" s="25">
        <f>U845+Y845</f>
        <v>0</v>
      </c>
      <c r="AA845" s="76">
        <f>W845-Y845</f>
        <v>97602.145</v>
      </c>
      <c r="AB845" s="9" t="s">
        <v>13</v>
      </c>
      <c r="AC845" s="19">
        <v>45516</v>
      </c>
      <c r="AD845" s="41"/>
      <c r="AE845" s="42"/>
      <c r="AF845" s="4">
        <f>AD168-H845-T845</f>
        <v>4643.8</v>
      </c>
      <c r="AG845" s="3"/>
      <c r="AH845" s="8"/>
      <c r="AI845" s="4">
        <f>(AE845+AF845)-AH845</f>
        <v>4643.8</v>
      </c>
      <c r="AJ845" s="4">
        <f>AI845+BP844</f>
        <v>-437354.2805</v>
      </c>
      <c r="AK845" s="8"/>
      <c r="AL845" s="8"/>
      <c r="AM845" s="47"/>
      <c r="AN845" s="47"/>
      <c r="AO845" s="8"/>
      <c r="AP845" s="8"/>
      <c r="AQ845" s="47"/>
      <c r="AR845" s="47"/>
      <c r="AS845" s="8"/>
      <c r="AT845" s="8"/>
      <c r="AU845" s="47"/>
      <c r="AV845" s="47"/>
      <c r="AW845" s="8"/>
      <c r="AX845" s="8"/>
      <c r="AY845" s="47"/>
      <c r="AZ845" s="47"/>
      <c r="BA845" s="8"/>
      <c r="BB845" s="8"/>
      <c r="BC845" s="47"/>
      <c r="BD845" s="47"/>
      <c r="BE845" s="8"/>
      <c r="BF845" s="8"/>
      <c r="BG845" s="47"/>
      <c r="BH845" s="47"/>
      <c r="BI845" s="8"/>
      <c r="BJ845" s="3"/>
      <c r="BK845" s="47"/>
      <c r="BL845" s="47"/>
      <c r="BM845" s="46"/>
      <c r="BN845" s="46"/>
      <c r="BO845" s="24">
        <f>AL845+AN845+AP845+AR845+AT845+AV845+AX845+AZ845+BB845+BD845+BF845+BH845+BJ845+BL845</f>
        <v>0</v>
      </c>
      <c r="BP845" s="28">
        <f>AJ845-BO845</f>
        <v>-437354.2805</v>
      </c>
      <c r="BQ845" s="2">
        <v>45516</v>
      </c>
    </row>
    <row r="846" spans="1:73" hidden="true">
      <c r="D846" s="9" t="s">
        <v>14</v>
      </c>
      <c r="E846" s="2">
        <v>45517</v>
      </c>
      <c r="F846" s="38"/>
      <c r="G846" s="51"/>
      <c r="H846" s="4">
        <f>F169*50%</f>
        <v>2059.05</v>
      </c>
      <c r="I846" s="120"/>
      <c r="J846" s="4">
        <f>(G846+H846)-I846</f>
        <v>2059.05</v>
      </c>
      <c r="K846" s="4">
        <f>J846+O845</f>
        <v>-5103.68</v>
      </c>
      <c r="L846" s="3"/>
      <c r="M846" s="3"/>
      <c r="N846" s="33">
        <f>I846+M846</f>
        <v>0</v>
      </c>
      <c r="O846" s="28">
        <f>K846-M846</f>
        <v>-5103.68</v>
      </c>
      <c r="P846" s="9" t="s">
        <v>14</v>
      </c>
      <c r="Q846" s="2">
        <v>45517</v>
      </c>
      <c r="R846" s="38"/>
      <c r="S846" s="52"/>
      <c r="T846" s="4">
        <f>R169*45%</f>
        <v>3098.7</v>
      </c>
      <c r="U846" s="5"/>
      <c r="V846" s="4">
        <f>(S846+T846)-U846</f>
        <v>3098.7</v>
      </c>
      <c r="W846" s="4">
        <f>V846+AA845</f>
        <v>100700.845</v>
      </c>
      <c r="X846" s="3"/>
      <c r="Y846" s="3"/>
      <c r="Z846" s="25">
        <f>U846+Y846</f>
        <v>0</v>
      </c>
      <c r="AA846" s="76">
        <f>W846-Y846</f>
        <v>100700.845</v>
      </c>
      <c r="AB846" s="9" t="s">
        <v>14</v>
      </c>
      <c r="AC846" s="19">
        <v>45517</v>
      </c>
      <c r="AD846" s="41"/>
      <c r="AE846" s="42"/>
      <c r="AF846" s="4">
        <f>AD169-H846-T846</f>
        <v>5846.35</v>
      </c>
      <c r="AG846" s="3"/>
      <c r="AH846" s="8"/>
      <c r="AI846" s="4">
        <f>(AE846+AF846)-AH846</f>
        <v>5846.35</v>
      </c>
      <c r="AJ846" s="4">
        <f>AI846+BP845</f>
        <v>-431507.9305</v>
      </c>
      <c r="AK846" s="8"/>
      <c r="AL846" s="8"/>
      <c r="AM846" s="47"/>
      <c r="AN846" s="47"/>
      <c r="AO846" s="8"/>
      <c r="AP846" s="8"/>
      <c r="AQ846" s="47"/>
      <c r="AR846" s="47"/>
      <c r="AS846" s="8"/>
      <c r="AT846" s="8"/>
      <c r="AU846" s="47"/>
      <c r="AV846" s="47"/>
      <c r="AW846" s="8"/>
      <c r="AX846" s="8"/>
      <c r="AY846" s="47"/>
      <c r="AZ846" s="47"/>
      <c r="BA846" s="8"/>
      <c r="BB846" s="8"/>
      <c r="BC846" s="47"/>
      <c r="BD846" s="47"/>
      <c r="BE846" s="8"/>
      <c r="BF846" s="8"/>
      <c r="BG846" s="47"/>
      <c r="BH846" s="47"/>
      <c r="BI846" s="8"/>
      <c r="BJ846" s="3"/>
      <c r="BK846" s="47"/>
      <c r="BL846" s="47"/>
      <c r="BM846" s="46"/>
      <c r="BN846" s="46"/>
      <c r="BO846" s="24">
        <f>AL846+AN846+AP846+AR846+AT846+AV846+AX846+AZ846+BB846+BD846+BF846+BH846+BJ846+BL846</f>
        <v>0</v>
      </c>
      <c r="BP846" s="28">
        <f>AJ846-BO846</f>
        <v>-431507.9305</v>
      </c>
      <c r="BQ846" s="2">
        <v>45517</v>
      </c>
    </row>
    <row r="847" spans="1:73" hidden="true">
      <c r="D847" s="9" t="s">
        <v>15</v>
      </c>
      <c r="E847" s="2">
        <v>45518</v>
      </c>
      <c r="F847" s="38"/>
      <c r="G847" s="51"/>
      <c r="H847" s="4">
        <f>F170*50%</f>
        <v>2410.45</v>
      </c>
      <c r="I847" s="120"/>
      <c r="J847" s="4">
        <f>(G847+H847)-I847</f>
        <v>2410.45</v>
      </c>
      <c r="K847" s="4">
        <f>J847+O846</f>
        <v>-2693.23</v>
      </c>
      <c r="L847" s="3"/>
      <c r="M847" s="3"/>
      <c r="N847" s="33">
        <f>I847+M847</f>
        <v>0</v>
      </c>
      <c r="O847" s="28">
        <f>K847-M847</f>
        <v>-2693.23</v>
      </c>
      <c r="P847" s="9" t="s">
        <v>15</v>
      </c>
      <c r="Q847" s="2">
        <v>45518</v>
      </c>
      <c r="R847" s="38"/>
      <c r="S847" s="52"/>
      <c r="T847" s="4">
        <f>R170*45%</f>
        <v>2046.6</v>
      </c>
      <c r="U847" s="5"/>
      <c r="V847" s="4">
        <f>(S847+T847)-U847</f>
        <v>2046.6</v>
      </c>
      <c r="W847" s="4">
        <f>V847+AA846</f>
        <v>102747.445</v>
      </c>
      <c r="X847" s="3"/>
      <c r="Y847" s="3"/>
      <c r="Z847" s="25">
        <f>U847+Y847</f>
        <v>0</v>
      </c>
      <c r="AA847" s="76">
        <f>W847-Y847</f>
        <v>102747.445</v>
      </c>
      <c r="AB847" s="9" t="s">
        <v>15</v>
      </c>
      <c r="AC847" s="19">
        <v>45518</v>
      </c>
      <c r="AD847" s="41"/>
      <c r="AE847" s="42"/>
      <c r="AF847" s="4">
        <f>AD170-H847-T847</f>
        <v>4911.85</v>
      </c>
      <c r="AG847" s="3"/>
      <c r="AH847" s="8"/>
      <c r="AI847" s="4">
        <f>(AE847+AF847)-AH847</f>
        <v>4911.85</v>
      </c>
      <c r="AJ847" s="4">
        <f>AI847+BP846</f>
        <v>-426596.0805</v>
      </c>
      <c r="AK847" s="8"/>
      <c r="AL847" s="8"/>
      <c r="AM847" s="47"/>
      <c r="AN847" s="47"/>
      <c r="AO847" s="8"/>
      <c r="AP847" s="8"/>
      <c r="AQ847" s="47"/>
      <c r="AR847" s="47"/>
      <c r="AS847" s="8"/>
      <c r="AT847" s="8"/>
      <c r="AU847" s="47"/>
      <c r="AV847" s="47"/>
      <c r="AW847" s="8"/>
      <c r="AX847" s="8"/>
      <c r="AY847" s="47"/>
      <c r="AZ847" s="47"/>
      <c r="BA847" s="8"/>
      <c r="BB847" s="8"/>
      <c r="BC847" s="47"/>
      <c r="BD847" s="47"/>
      <c r="BE847" s="8"/>
      <c r="BF847" s="8"/>
      <c r="BG847" s="47"/>
      <c r="BH847" s="47"/>
      <c r="BI847" s="8"/>
      <c r="BJ847" s="3"/>
      <c r="BK847" s="47"/>
      <c r="BL847" s="47"/>
      <c r="BM847" s="46"/>
      <c r="BN847" s="46"/>
      <c r="BO847" s="24">
        <f>AL847+AN847+AP847+AR847+AT847+AV847+AX847+AZ847+BB847+BD847+BF847+BH847+BJ847+BL847</f>
        <v>0</v>
      </c>
      <c r="BP847" s="28">
        <f>AJ847-BO847</f>
        <v>-426596.0805</v>
      </c>
      <c r="BQ847" s="2">
        <v>45518</v>
      </c>
    </row>
    <row r="848" spans="1:73" hidden="true">
      <c r="D848" s="9" t="s">
        <v>16</v>
      </c>
      <c r="E848" s="2">
        <v>45519</v>
      </c>
      <c r="F848" s="38"/>
      <c r="G848" s="51"/>
      <c r="H848" s="4">
        <f>F171*50%</f>
        <v>1535.175</v>
      </c>
      <c r="I848" s="120"/>
      <c r="J848" s="4">
        <f>(G848+H848)-I848</f>
        <v>1535.175</v>
      </c>
      <c r="K848" s="4">
        <f>J848+O847</f>
        <v>-1158.055</v>
      </c>
      <c r="L848" s="3"/>
      <c r="M848" s="3"/>
      <c r="N848" s="33">
        <f>I848+M848</f>
        <v>0</v>
      </c>
      <c r="O848" s="28">
        <f>K848-M848</f>
        <v>-1158.055</v>
      </c>
      <c r="P848" s="9" t="s">
        <v>16</v>
      </c>
      <c r="Q848" s="2">
        <v>45519</v>
      </c>
      <c r="R848" s="38"/>
      <c r="S848" s="52"/>
      <c r="T848" s="4">
        <f>R171*45%</f>
        <v>2337.75</v>
      </c>
      <c r="U848" s="5"/>
      <c r="V848" s="4">
        <f>(S848+T848)-U848</f>
        <v>2337.75</v>
      </c>
      <c r="W848" s="4">
        <f>V848+AA847</f>
        <v>105085.195</v>
      </c>
      <c r="X848" s="3"/>
      <c r="Y848" s="3"/>
      <c r="Z848" s="25">
        <f>U848+Y848</f>
        <v>0</v>
      </c>
      <c r="AA848" s="76">
        <f>W848-Y848</f>
        <v>105085.195</v>
      </c>
      <c r="AB848" s="9" t="s">
        <v>16</v>
      </c>
      <c r="AC848" s="19">
        <v>45519</v>
      </c>
      <c r="AD848" s="41"/>
      <c r="AE848" s="42"/>
      <c r="AF848" s="4">
        <f>AD171-H848-T848</f>
        <v>4392.425</v>
      </c>
      <c r="AG848" s="3"/>
      <c r="AH848" s="8"/>
      <c r="AI848" s="4">
        <f>(AE848+AF848)-AH848</f>
        <v>4392.425</v>
      </c>
      <c r="AJ848" s="4">
        <f>AI848+BP847</f>
        <v>-422203.6555</v>
      </c>
      <c r="AK848" s="8"/>
      <c r="AL848" s="8"/>
      <c r="AM848" s="47"/>
      <c r="AN848" s="47"/>
      <c r="AO848" s="8"/>
      <c r="AP848" s="8"/>
      <c r="AQ848" s="47"/>
      <c r="AR848" s="47"/>
      <c r="AS848" s="8"/>
      <c r="AT848" s="8"/>
      <c r="AU848" s="47"/>
      <c r="AV848" s="47"/>
      <c r="AW848" s="8"/>
      <c r="AX848" s="8"/>
      <c r="AY848" s="47"/>
      <c r="AZ848" s="47"/>
      <c r="BA848" s="8"/>
      <c r="BB848" s="8"/>
      <c r="BC848" s="47"/>
      <c r="BD848" s="47"/>
      <c r="BE848" s="8"/>
      <c r="BF848" s="8"/>
      <c r="BG848" s="47"/>
      <c r="BH848" s="47"/>
      <c r="BI848" s="8"/>
      <c r="BJ848" s="3"/>
      <c r="BK848" s="47"/>
      <c r="BL848" s="47"/>
      <c r="BM848" s="46"/>
      <c r="BN848" s="46"/>
      <c r="BO848" s="24">
        <f>AL848+AN848+AP848+AR848+AT848+AV848+AX848+AZ848+BB848+BD848+BF848+BH848+BJ848+BL848</f>
        <v>0</v>
      </c>
      <c r="BP848" s="28">
        <f>AJ848-BO848</f>
        <v>-422203.6555</v>
      </c>
      <c r="BQ848" s="2">
        <v>45519</v>
      </c>
    </row>
    <row r="849" spans="1:73" hidden="true">
      <c r="D849" s="9" t="s">
        <v>10</v>
      </c>
      <c r="E849" s="2">
        <v>45520</v>
      </c>
      <c r="F849" s="38"/>
      <c r="G849" s="51"/>
      <c r="H849" s="4">
        <f>F172*50%</f>
        <v>2272.275</v>
      </c>
      <c r="I849" s="120"/>
      <c r="J849" s="4">
        <f>(G849+H849)-I849</f>
        <v>2272.275</v>
      </c>
      <c r="K849" s="4">
        <f>J849+O848</f>
        <v>1114.22</v>
      </c>
      <c r="L849" s="3"/>
      <c r="M849" s="3"/>
      <c r="N849" s="33">
        <f>I849+M849</f>
        <v>0</v>
      </c>
      <c r="O849" s="28">
        <f>K849-M849</f>
        <v>1114.22</v>
      </c>
      <c r="P849" s="9" t="s">
        <v>10</v>
      </c>
      <c r="Q849" s="2">
        <v>45520</v>
      </c>
      <c r="R849" s="38"/>
      <c r="S849" s="52"/>
      <c r="T849" s="4">
        <f>R172*45%</f>
        <v>4005.45</v>
      </c>
      <c r="U849" s="5"/>
      <c r="V849" s="4">
        <f>(S849+T849)-U849</f>
        <v>4005.45</v>
      </c>
      <c r="W849" s="4">
        <f>V849+AA848</f>
        <v>109090.645</v>
      </c>
      <c r="X849" s="3"/>
      <c r="Y849" s="3"/>
      <c r="Z849" s="25">
        <f>U849+Y849</f>
        <v>0</v>
      </c>
      <c r="AA849" s="76">
        <f>W849-Y849</f>
        <v>109090.645</v>
      </c>
      <c r="AB849" s="9" t="s">
        <v>10</v>
      </c>
      <c r="AC849" s="19">
        <v>45520</v>
      </c>
      <c r="AD849" s="41"/>
      <c r="AE849" s="42"/>
      <c r="AF849" s="4">
        <f>AD172-H849-T849</f>
        <v>7167.825</v>
      </c>
      <c r="AG849" s="3"/>
      <c r="AH849" s="8"/>
      <c r="AI849" s="4">
        <f>(AE849+AF849)-AH849</f>
        <v>7167.825</v>
      </c>
      <c r="AJ849" s="4">
        <f>AI849+BP848</f>
        <v>-415035.8305</v>
      </c>
      <c r="AK849" s="8"/>
      <c r="AL849" s="8"/>
      <c r="AM849" s="47"/>
      <c r="AN849" s="47"/>
      <c r="AO849" s="8"/>
      <c r="AP849" s="8"/>
      <c r="AQ849" s="47"/>
      <c r="AR849" s="47"/>
      <c r="AS849" s="8"/>
      <c r="AT849" s="8"/>
      <c r="AU849" s="47"/>
      <c r="AV849" s="47"/>
      <c r="AW849" s="8"/>
      <c r="AX849" s="8"/>
      <c r="AY849" s="47"/>
      <c r="AZ849" s="47"/>
      <c r="BA849" s="8"/>
      <c r="BB849" s="8"/>
      <c r="BC849" s="47"/>
      <c r="BD849" s="47"/>
      <c r="BE849" s="8"/>
      <c r="BF849" s="8"/>
      <c r="BG849" s="47"/>
      <c r="BH849" s="47"/>
      <c r="BI849" s="8"/>
      <c r="BJ849" s="3"/>
      <c r="BK849" s="47"/>
      <c r="BL849" s="47"/>
      <c r="BM849" s="46"/>
      <c r="BN849" s="46"/>
      <c r="BO849" s="24">
        <f>AL849+AN849+AP849+AR849+AT849+AV849+AX849+AZ849+BB849+BD849+BF849+BH849+BJ849+BL849</f>
        <v>0</v>
      </c>
      <c r="BP849" s="28">
        <f>AJ849-BO849</f>
        <v>-415035.8305</v>
      </c>
      <c r="BQ849" s="2">
        <v>45520</v>
      </c>
    </row>
    <row r="850" spans="1:73" hidden="true">
      <c r="D850" s="9" t="s">
        <v>11</v>
      </c>
      <c r="E850" s="2">
        <v>45521</v>
      </c>
      <c r="F850" s="38"/>
      <c r="G850" s="51"/>
      <c r="H850" s="4">
        <f>F173*50%</f>
        <v>1525.15</v>
      </c>
      <c r="I850" s="120"/>
      <c r="J850" s="4">
        <f>(G850+H850)-I850</f>
        <v>1525.15</v>
      </c>
      <c r="K850" s="4">
        <f>J850+O849</f>
        <v>2639.37</v>
      </c>
      <c r="L850" s="3"/>
      <c r="M850" s="3"/>
      <c r="N850" s="33">
        <f>I850+M850</f>
        <v>0</v>
      </c>
      <c r="O850" s="28">
        <f>K850-M850</f>
        <v>2639.37</v>
      </c>
      <c r="P850" s="9" t="s">
        <v>11</v>
      </c>
      <c r="Q850" s="2">
        <v>45521</v>
      </c>
      <c r="R850" s="38"/>
      <c r="S850" s="52"/>
      <c r="T850" s="4">
        <f>R173*45%</f>
        <v>1425.6</v>
      </c>
      <c r="U850" s="5"/>
      <c r="V850" s="4">
        <f>(S850+T850)-U850</f>
        <v>1425.6</v>
      </c>
      <c r="W850" s="4">
        <f>V850+AA849</f>
        <v>110516.245</v>
      </c>
      <c r="X850" s="3"/>
      <c r="Y850" s="3"/>
      <c r="Z850" s="25">
        <f>U850+Y850</f>
        <v>0</v>
      </c>
      <c r="AA850" s="76">
        <f>W850-Y850</f>
        <v>110516.245</v>
      </c>
      <c r="AB850" s="9" t="s">
        <v>11</v>
      </c>
      <c r="AC850" s="19">
        <v>45521</v>
      </c>
      <c r="AD850" s="41"/>
      <c r="AE850" s="42"/>
      <c r="AF850" s="4">
        <f>AD173-H850-T850</f>
        <v>3267.55</v>
      </c>
      <c r="AG850" s="3"/>
      <c r="AH850" s="8"/>
      <c r="AI850" s="4">
        <f>(AE850+AF850)-AH850</f>
        <v>3267.55</v>
      </c>
      <c r="AJ850" s="4">
        <f>AI850+BP849</f>
        <v>-411768.2805</v>
      </c>
      <c r="AK850" s="8"/>
      <c r="AL850" s="8"/>
      <c r="AM850" s="47"/>
      <c r="AN850" s="47"/>
      <c r="AO850" s="8"/>
      <c r="AP850" s="8"/>
      <c r="AQ850" s="47"/>
      <c r="AR850" s="47"/>
      <c r="AS850" s="8"/>
      <c r="AT850" s="8"/>
      <c r="AU850" s="47"/>
      <c r="AV850" s="47"/>
      <c r="AW850" s="8"/>
      <c r="AX850" s="8"/>
      <c r="AY850" s="47"/>
      <c r="AZ850" s="47"/>
      <c r="BA850" s="8"/>
      <c r="BB850" s="8"/>
      <c r="BC850" s="47"/>
      <c r="BD850" s="47"/>
      <c r="BE850" s="8"/>
      <c r="BF850" s="8"/>
      <c r="BG850" s="47"/>
      <c r="BH850" s="47"/>
      <c r="BI850" s="8"/>
      <c r="BJ850" s="3"/>
      <c r="BK850" s="47"/>
      <c r="BL850" s="47"/>
      <c r="BM850" s="46"/>
      <c r="BN850" s="46"/>
      <c r="BO850" s="24">
        <f>AL850+AN850+AP850+AR850+AT850+AV850+AX850+AZ850+BB850+BD850+BF850+BH850+BJ850+BL850</f>
        <v>0</v>
      </c>
      <c r="BP850" s="28">
        <f>AJ850-BO850</f>
        <v>-411768.2805</v>
      </c>
      <c r="BQ850" s="2">
        <v>45521</v>
      </c>
    </row>
    <row r="851" spans="1:73" hidden="true">
      <c r="D851" s="9" t="s">
        <v>12</v>
      </c>
      <c r="E851" s="2">
        <v>45522</v>
      </c>
      <c r="F851" s="38"/>
      <c r="G851" s="51"/>
      <c r="H851" s="4">
        <f>F174*50%</f>
        <v>2233.7</v>
      </c>
      <c r="I851" s="120"/>
      <c r="J851" s="4">
        <f>(G851+H851)-I851</f>
        <v>2233.7</v>
      </c>
      <c r="K851" s="4">
        <f>J851+O850</f>
        <v>4873.07</v>
      </c>
      <c r="L851" s="3"/>
      <c r="M851" s="3"/>
      <c r="N851" s="33">
        <f>I851+M851</f>
        <v>0</v>
      </c>
      <c r="O851" s="28">
        <f>K851-M851</f>
        <v>4873.07</v>
      </c>
      <c r="P851" s="9" t="s">
        <v>12</v>
      </c>
      <c r="Q851" s="2">
        <v>45522</v>
      </c>
      <c r="R851" s="38"/>
      <c r="S851" s="52"/>
      <c r="T851" s="4">
        <f>R174*45%</f>
        <v>2218.05</v>
      </c>
      <c r="U851" s="5"/>
      <c r="V851" s="4">
        <f>(S851+T851)-U851</f>
        <v>2218.05</v>
      </c>
      <c r="W851" s="4">
        <f>V851+AA850</f>
        <v>112734.295</v>
      </c>
      <c r="X851" s="3"/>
      <c r="Y851" s="3"/>
      <c r="Z851" s="25">
        <f>U851+Y851</f>
        <v>0</v>
      </c>
      <c r="AA851" s="76">
        <f>W851-Y851</f>
        <v>112734.295</v>
      </c>
      <c r="AB851" s="9" t="s">
        <v>12</v>
      </c>
      <c r="AC851" s="19">
        <v>45522</v>
      </c>
      <c r="AD851" s="41"/>
      <c r="AE851" s="42"/>
      <c r="AF851" s="4">
        <f>AD174-H851-T851</f>
        <v>4944.65</v>
      </c>
      <c r="AG851" s="3"/>
      <c r="AH851" s="8"/>
      <c r="AI851" s="4">
        <f>(AE851+AF851)-AH851</f>
        <v>4944.65</v>
      </c>
      <c r="AJ851" s="4">
        <f>AI851+BP850</f>
        <v>-406823.6305</v>
      </c>
      <c r="AK851" s="8"/>
      <c r="AL851" s="8"/>
      <c r="AM851" s="47"/>
      <c r="AN851" s="47"/>
      <c r="AO851" s="8"/>
      <c r="AP851" s="8"/>
      <c r="AQ851" s="47"/>
      <c r="AR851" s="47"/>
      <c r="AS851" s="8"/>
      <c r="AT851" s="8"/>
      <c r="AU851" s="47"/>
      <c r="AV851" s="47"/>
      <c r="AW851" s="8"/>
      <c r="AX851" s="8"/>
      <c r="AY851" s="47"/>
      <c r="AZ851" s="47"/>
      <c r="BA851" s="8"/>
      <c r="BB851" s="8"/>
      <c r="BC851" s="47"/>
      <c r="BD851" s="47"/>
      <c r="BE851" s="8"/>
      <c r="BF851" s="8"/>
      <c r="BG851" s="47"/>
      <c r="BH851" s="47"/>
      <c r="BI851" s="8"/>
      <c r="BJ851" s="3"/>
      <c r="BK851" s="47"/>
      <c r="BL851" s="47"/>
      <c r="BM851" s="46"/>
      <c r="BN851" s="46"/>
      <c r="BO851" s="24">
        <f>AL851+AN851+AP851+AR851+AT851+AV851+AX851+AZ851+BB851+BD851+BF851+BH851+BJ851+BL851</f>
        <v>0</v>
      </c>
      <c r="BP851" s="28">
        <f>AJ851-BO851</f>
        <v>-406823.6305</v>
      </c>
      <c r="BQ851" s="2">
        <v>45522</v>
      </c>
    </row>
    <row r="852" spans="1:73" hidden="true">
      <c r="D852" s="9" t="s">
        <v>13</v>
      </c>
      <c r="E852" s="2">
        <v>45523</v>
      </c>
      <c r="F852" s="38"/>
      <c r="G852" s="51"/>
      <c r="H852" s="4">
        <f>F175*50%</f>
        <v>2054.95</v>
      </c>
      <c r="I852" s="120"/>
      <c r="J852" s="4">
        <f>(G852+H852)-I852</f>
        <v>2054.95</v>
      </c>
      <c r="K852" s="4">
        <f>J852+O851</f>
        <v>6928.02</v>
      </c>
      <c r="L852" s="3"/>
      <c r="M852" s="3"/>
      <c r="N852" s="33">
        <f>I852+M852</f>
        <v>0</v>
      </c>
      <c r="O852" s="28">
        <f>K852-M852</f>
        <v>6928.02</v>
      </c>
      <c r="P852" s="9" t="s">
        <v>13</v>
      </c>
      <c r="Q852" s="2">
        <v>45523</v>
      </c>
      <c r="R852" s="38"/>
      <c r="S852" s="52"/>
      <c r="T852" s="4">
        <f>R175*45%</f>
        <v>1258.2</v>
      </c>
      <c r="U852" s="5"/>
      <c r="V852" s="4">
        <f>(S852+T852)-U852</f>
        <v>1258.2</v>
      </c>
      <c r="W852" s="4">
        <f>V852+AA851</f>
        <v>113992.495</v>
      </c>
      <c r="X852" s="3"/>
      <c r="Y852" s="3"/>
      <c r="Z852" s="25">
        <f>U852+Y852</f>
        <v>0</v>
      </c>
      <c r="AA852" s="76">
        <f>W852-Y852</f>
        <v>113992.495</v>
      </c>
      <c r="AB852" s="9" t="s">
        <v>13</v>
      </c>
      <c r="AC852" s="19">
        <v>45523</v>
      </c>
      <c r="AD852" s="41"/>
      <c r="AE852" s="42"/>
      <c r="AF852" s="4">
        <f>AD175-H852-T852</f>
        <v>3592.75</v>
      </c>
      <c r="AG852" s="3"/>
      <c r="AH852" s="8"/>
      <c r="AI852" s="4">
        <f>(AE852+AF852)-AH852</f>
        <v>3592.75</v>
      </c>
      <c r="AJ852" s="4">
        <f>AI852+BP851</f>
        <v>-403230.8805</v>
      </c>
      <c r="AK852" s="8"/>
      <c r="AL852" s="8"/>
      <c r="AM852" s="47"/>
      <c r="AN852" s="47"/>
      <c r="AO852" s="8"/>
      <c r="AP852" s="8"/>
      <c r="AQ852" s="47"/>
      <c r="AR852" s="47"/>
      <c r="AS852" s="8"/>
      <c r="AT852" s="8"/>
      <c r="AU852" s="47"/>
      <c r="AV852" s="47"/>
      <c r="AW852" s="8"/>
      <c r="AX852" s="8"/>
      <c r="AY852" s="47"/>
      <c r="AZ852" s="47"/>
      <c r="BA852" s="8"/>
      <c r="BB852" s="8"/>
      <c r="BC852" s="47"/>
      <c r="BD852" s="47"/>
      <c r="BE852" s="8"/>
      <c r="BF852" s="8"/>
      <c r="BG852" s="47"/>
      <c r="BH852" s="47"/>
      <c r="BI852" s="8"/>
      <c r="BJ852" s="3"/>
      <c r="BK852" s="47"/>
      <c r="BL852" s="47"/>
      <c r="BM852" s="46"/>
      <c r="BN852" s="46"/>
      <c r="BO852" s="24">
        <f>AL852+AN852+AP852+AR852+AT852+AV852+AX852+AZ852+BB852+BD852+BF852+BH852+BJ852+BL852</f>
        <v>0</v>
      </c>
      <c r="BP852" s="28">
        <f>AJ852-BO852</f>
        <v>-403230.8805</v>
      </c>
      <c r="BQ852" s="2">
        <v>45523</v>
      </c>
    </row>
    <row r="853" spans="1:73" hidden="true">
      <c r="D853" s="9" t="s">
        <v>14</v>
      </c>
      <c r="E853" s="2">
        <v>45524</v>
      </c>
      <c r="F853" s="38"/>
      <c r="G853" s="51"/>
      <c r="H853" s="4">
        <f>F176*50%</f>
        <v>2410.825</v>
      </c>
      <c r="I853" s="120"/>
      <c r="J853" s="4">
        <f>(G853+H853)-I853</f>
        <v>2410.825</v>
      </c>
      <c r="K853" s="4">
        <f>J853+O852</f>
        <v>9338.845</v>
      </c>
      <c r="L853" s="3"/>
      <c r="M853" s="3"/>
      <c r="N853" s="33">
        <f>I853+M853</f>
        <v>0</v>
      </c>
      <c r="O853" s="28">
        <f>K853-M853</f>
        <v>9338.845</v>
      </c>
      <c r="P853" s="9" t="s">
        <v>14</v>
      </c>
      <c r="Q853" s="2">
        <v>45524</v>
      </c>
      <c r="R853" s="38"/>
      <c r="S853" s="52"/>
      <c r="T853" s="4">
        <f>R176*45%</f>
        <v>3274.65</v>
      </c>
      <c r="U853" s="5"/>
      <c r="V853" s="4">
        <f>(S853+T853)-U853</f>
        <v>3274.65</v>
      </c>
      <c r="W853" s="4">
        <f>V853+AA852</f>
        <v>117267.145</v>
      </c>
      <c r="X853" s="3"/>
      <c r="Y853" s="3"/>
      <c r="Z853" s="25">
        <f>U853+Y853</f>
        <v>0</v>
      </c>
      <c r="AA853" s="76">
        <f>W853-Y853</f>
        <v>117267.145</v>
      </c>
      <c r="AB853" s="9" t="s">
        <v>14</v>
      </c>
      <c r="AC853" s="19">
        <v>45524</v>
      </c>
      <c r="AD853" s="41"/>
      <c r="AE853" s="42"/>
      <c r="AF853" s="4">
        <f>AD176-H853-T853</f>
        <v>6413.175</v>
      </c>
      <c r="AG853" s="3"/>
      <c r="AH853" s="8"/>
      <c r="AI853" s="4">
        <f>(AE853+AF853)-AH853</f>
        <v>6413.175</v>
      </c>
      <c r="AJ853" s="4">
        <f>AI853+BP852</f>
        <v>-396817.7055</v>
      </c>
      <c r="AK853" s="8"/>
      <c r="AL853" s="8"/>
      <c r="AM853" s="47"/>
      <c r="AN853" s="47"/>
      <c r="AO853" s="8"/>
      <c r="AP853" s="8"/>
      <c r="AQ853" s="47"/>
      <c r="AR853" s="47"/>
      <c r="AS853" s="8"/>
      <c r="AT853" s="8"/>
      <c r="AU853" s="47"/>
      <c r="AV853" s="47"/>
      <c r="AW853" s="8"/>
      <c r="AX853" s="8"/>
      <c r="AY853" s="47"/>
      <c r="AZ853" s="47"/>
      <c r="BA853" s="8"/>
      <c r="BB853" s="8"/>
      <c r="BC853" s="47"/>
      <c r="BD853" s="47"/>
      <c r="BE853" s="8"/>
      <c r="BF853" s="8"/>
      <c r="BG853" s="47"/>
      <c r="BH853" s="47"/>
      <c r="BI853" s="8"/>
      <c r="BJ853" s="3"/>
      <c r="BK853" s="47"/>
      <c r="BL853" s="47"/>
      <c r="BM853" s="46"/>
      <c r="BN853" s="46"/>
      <c r="BO853" s="24">
        <f>AL853+AN853+AP853+AR853+AT853+AV853+AX853+AZ853+BB853+BD853+BF853+BH853+BJ853+BL853</f>
        <v>0</v>
      </c>
      <c r="BP853" s="28">
        <f>AJ853-BO853</f>
        <v>-396817.7055</v>
      </c>
      <c r="BQ853" s="2">
        <v>45524</v>
      </c>
    </row>
    <row r="854" spans="1:73" hidden="true">
      <c r="D854" s="9" t="s">
        <v>15</v>
      </c>
      <c r="E854" s="2">
        <v>45525</v>
      </c>
      <c r="F854" s="38"/>
      <c r="G854" s="51"/>
      <c r="H854" s="4">
        <f>F177*50%</f>
        <v>1680.9</v>
      </c>
      <c r="I854" s="120"/>
      <c r="J854" s="4">
        <f>(G854+H854)-I854</f>
        <v>1680.9</v>
      </c>
      <c r="K854" s="4">
        <f>J854+O853</f>
        <v>11019.745</v>
      </c>
      <c r="L854" s="3"/>
      <c r="M854" s="3"/>
      <c r="N854" s="33">
        <f>I854+M854</f>
        <v>0</v>
      </c>
      <c r="O854" s="28">
        <f>K854-M854</f>
        <v>11019.745</v>
      </c>
      <c r="P854" s="9" t="s">
        <v>15</v>
      </c>
      <c r="Q854" s="2">
        <v>45525</v>
      </c>
      <c r="R854" s="38"/>
      <c r="S854" s="52"/>
      <c r="T854" s="4">
        <f>R177*45%</f>
        <v>2386.8</v>
      </c>
      <c r="U854" s="5"/>
      <c r="V854" s="4">
        <f>(S854+T854)-U854</f>
        <v>2386.8</v>
      </c>
      <c r="W854" s="4">
        <f>V854+AA853</f>
        <v>119653.945</v>
      </c>
      <c r="X854" s="3"/>
      <c r="Y854" s="3"/>
      <c r="Z854" s="25">
        <f>U854+Y854</f>
        <v>0</v>
      </c>
      <c r="AA854" s="76">
        <f>W854-Y854</f>
        <v>119653.945</v>
      </c>
      <c r="AB854" s="9" t="s">
        <v>15</v>
      </c>
      <c r="AC854" s="19">
        <v>45525</v>
      </c>
      <c r="AD854" s="41"/>
      <c r="AE854" s="42"/>
      <c r="AF854" s="4">
        <f>AD177-H854-T854</f>
        <v>4598.1</v>
      </c>
      <c r="AG854" s="3"/>
      <c r="AH854" s="8"/>
      <c r="AI854" s="4">
        <f>(AE854+AF854)-AH854</f>
        <v>4598.1</v>
      </c>
      <c r="AJ854" s="4">
        <f>AI854+BP853</f>
        <v>-392219.6055</v>
      </c>
      <c r="AK854" s="8"/>
      <c r="AL854" s="8"/>
      <c r="AM854" s="47"/>
      <c r="AN854" s="47"/>
      <c r="AO854" s="8"/>
      <c r="AP854" s="8"/>
      <c r="AQ854" s="47"/>
      <c r="AR854" s="47"/>
      <c r="AS854" s="8"/>
      <c r="AT854" s="8"/>
      <c r="AU854" s="47"/>
      <c r="AV854" s="47"/>
      <c r="AW854" s="8"/>
      <c r="AX854" s="8"/>
      <c r="AY854" s="47"/>
      <c r="AZ854" s="47"/>
      <c r="BA854" s="8"/>
      <c r="BB854" s="8"/>
      <c r="BC854" s="47"/>
      <c r="BD854" s="47"/>
      <c r="BE854" s="8"/>
      <c r="BF854" s="8"/>
      <c r="BG854" s="47"/>
      <c r="BH854" s="47"/>
      <c r="BI854" s="8"/>
      <c r="BJ854" s="3"/>
      <c r="BK854" s="47"/>
      <c r="BL854" s="47"/>
      <c r="BM854" s="46"/>
      <c r="BN854" s="46"/>
      <c r="BO854" s="24">
        <f>AL854+AN854+AP854+AR854+AT854+AV854+AX854+AZ854+BB854+BD854+BF854+BH854+BJ854+BL854</f>
        <v>0</v>
      </c>
      <c r="BP854" s="28">
        <f>AJ854-BO854</f>
        <v>-392219.6055</v>
      </c>
      <c r="BQ854" s="2">
        <v>45525</v>
      </c>
    </row>
    <row r="855" spans="1:73" hidden="true">
      <c r="D855" s="9" t="s">
        <v>16</v>
      </c>
      <c r="E855" s="2">
        <v>45526</v>
      </c>
      <c r="F855" s="38"/>
      <c r="G855" s="51"/>
      <c r="H855" s="4">
        <f>F178*50%</f>
        <v>1904.65</v>
      </c>
      <c r="I855" s="120"/>
      <c r="J855" s="4">
        <f>(G855+H855)-I855</f>
        <v>1904.65</v>
      </c>
      <c r="K855" s="4">
        <f>J855+O854</f>
        <v>12924.395</v>
      </c>
      <c r="L855" s="3"/>
      <c r="M855" s="3"/>
      <c r="N855" s="33">
        <f>I855+M855</f>
        <v>0</v>
      </c>
      <c r="O855" s="28">
        <f>K855-M855</f>
        <v>12924.395</v>
      </c>
      <c r="P855" s="9" t="s">
        <v>16</v>
      </c>
      <c r="Q855" s="2">
        <v>45526</v>
      </c>
      <c r="R855" s="38"/>
      <c r="S855" s="52"/>
      <c r="T855" s="4">
        <f>R178*45%</f>
        <v>2433.6</v>
      </c>
      <c r="U855" s="5"/>
      <c r="V855" s="4">
        <f>(S855+T855)-U855</f>
        <v>2433.6</v>
      </c>
      <c r="W855" s="4">
        <f>V855+AA854</f>
        <v>122087.545</v>
      </c>
      <c r="X855" s="3"/>
      <c r="Y855" s="3"/>
      <c r="Z855" s="25">
        <f>U855+Y855</f>
        <v>0</v>
      </c>
      <c r="AA855" s="76">
        <f>W855-Y855</f>
        <v>122087.545</v>
      </c>
      <c r="AB855" s="9" t="s">
        <v>16</v>
      </c>
      <c r="AC855" s="19">
        <v>45526</v>
      </c>
      <c r="AD855" s="41"/>
      <c r="AE855" s="42"/>
      <c r="AF855" s="4">
        <f>AD178-H855-T855</f>
        <v>4879.05</v>
      </c>
      <c r="AG855" s="3"/>
      <c r="AH855" s="8"/>
      <c r="AI855" s="4">
        <f>(AE855+AF855)-AH855</f>
        <v>4879.05</v>
      </c>
      <c r="AJ855" s="4">
        <f>AI855+BP854</f>
        <v>-387340.5555</v>
      </c>
      <c r="AK855" s="8"/>
      <c r="AL855" s="8"/>
      <c r="AM855" s="47"/>
      <c r="AN855" s="47"/>
      <c r="AO855" s="8"/>
      <c r="AP855" s="8"/>
      <c r="AQ855" s="47"/>
      <c r="AR855" s="47"/>
      <c r="AS855" s="8"/>
      <c r="AT855" s="8"/>
      <c r="AU855" s="47"/>
      <c r="AV855" s="47"/>
      <c r="AW855" s="8"/>
      <c r="AX855" s="8"/>
      <c r="AY855" s="47"/>
      <c r="AZ855" s="47"/>
      <c r="BA855" s="8"/>
      <c r="BB855" s="8"/>
      <c r="BC855" s="47"/>
      <c r="BD855" s="47"/>
      <c r="BE855" s="8"/>
      <c r="BF855" s="8"/>
      <c r="BG855" s="47"/>
      <c r="BH855" s="47"/>
      <c r="BI855" s="8"/>
      <c r="BJ855" s="3"/>
      <c r="BK855" s="47"/>
      <c r="BL855" s="47"/>
      <c r="BM855" s="46"/>
      <c r="BN855" s="46"/>
      <c r="BO855" s="24">
        <f>AL855+AN855+AP855+AR855+AT855+AV855+AX855+AZ855+BB855+BD855+BF855+BH855+BJ855+BL855</f>
        <v>0</v>
      </c>
      <c r="BP855" s="28">
        <f>AJ855-BO855</f>
        <v>-387340.5555</v>
      </c>
      <c r="BQ855" s="2">
        <v>45526</v>
      </c>
    </row>
    <row r="856" spans="1:73" hidden="true">
      <c r="D856" s="9" t="s">
        <v>10</v>
      </c>
      <c r="E856" s="2">
        <v>45527</v>
      </c>
      <c r="F856" s="38"/>
      <c r="G856" s="51"/>
      <c r="H856" s="4">
        <f>F179*50%</f>
        <v>1808.375</v>
      </c>
      <c r="I856" s="120"/>
      <c r="J856" s="4">
        <f>(G856+H856)-I856</f>
        <v>1808.375</v>
      </c>
      <c r="K856" s="4">
        <f>J856+O855</f>
        <v>14732.77</v>
      </c>
      <c r="L856" s="3"/>
      <c r="M856" s="3"/>
      <c r="N856" s="33">
        <f>I856+M856</f>
        <v>0</v>
      </c>
      <c r="O856" s="28">
        <f>K856-M856</f>
        <v>14732.77</v>
      </c>
      <c r="P856" s="9" t="s">
        <v>10</v>
      </c>
      <c r="Q856" s="2">
        <v>45527</v>
      </c>
      <c r="R856" s="38"/>
      <c r="S856" s="52"/>
      <c r="T856" s="4">
        <f>R179*45%</f>
        <v>1474.2</v>
      </c>
      <c r="U856" s="5"/>
      <c r="V856" s="4">
        <f>(S856+T856)-U856</f>
        <v>1474.2</v>
      </c>
      <c r="W856" s="4">
        <f>V856+AA855</f>
        <v>123561.745</v>
      </c>
      <c r="X856" s="3"/>
      <c r="Y856" s="3"/>
      <c r="Z856" s="25">
        <f>U856+Y856</f>
        <v>0</v>
      </c>
      <c r="AA856" s="76">
        <f>W856-Y856</f>
        <v>123561.745</v>
      </c>
      <c r="AB856" s="9" t="s">
        <v>10</v>
      </c>
      <c r="AC856" s="19">
        <v>45527</v>
      </c>
      <c r="AD856" s="41"/>
      <c r="AE856" s="42"/>
      <c r="AF856" s="4">
        <f>AD179-H856-T856</f>
        <v>3610.175</v>
      </c>
      <c r="AG856" s="3"/>
      <c r="AH856" s="8"/>
      <c r="AI856" s="4">
        <f>(AE856+AF856)-AH856</f>
        <v>3610.175</v>
      </c>
      <c r="AJ856" s="4">
        <f>AI856+BP855</f>
        <v>-383730.3805</v>
      </c>
      <c r="AK856" s="8"/>
      <c r="AL856" s="8"/>
      <c r="AM856" s="47"/>
      <c r="AN856" s="47"/>
      <c r="AO856" s="8"/>
      <c r="AP856" s="8"/>
      <c r="AQ856" s="47"/>
      <c r="AR856" s="47"/>
      <c r="AS856" s="8"/>
      <c r="AT856" s="8"/>
      <c r="AU856" s="47"/>
      <c r="AV856" s="47"/>
      <c r="AW856" s="8"/>
      <c r="AX856" s="8"/>
      <c r="AY856" s="47"/>
      <c r="AZ856" s="47"/>
      <c r="BA856" s="8"/>
      <c r="BB856" s="8"/>
      <c r="BC856" s="47"/>
      <c r="BD856" s="47"/>
      <c r="BE856" s="8"/>
      <c r="BF856" s="8"/>
      <c r="BG856" s="47"/>
      <c r="BH856" s="47"/>
      <c r="BI856" s="8"/>
      <c r="BJ856" s="3"/>
      <c r="BK856" s="47"/>
      <c r="BL856" s="47"/>
      <c r="BM856" s="46"/>
      <c r="BN856" s="46"/>
      <c r="BO856" s="24">
        <f>AL856+AN856+AP856+AR856+AT856+AV856+AX856+AZ856+BB856+BD856+BF856+BH856+BJ856+BL856</f>
        <v>0</v>
      </c>
      <c r="BP856" s="28">
        <f>AJ856-BO856</f>
        <v>-383730.3805</v>
      </c>
      <c r="BQ856" s="2">
        <v>45527</v>
      </c>
    </row>
    <row r="857" spans="1:73" hidden="true">
      <c r="D857" s="9" t="s">
        <v>11</v>
      </c>
      <c r="E857" s="2">
        <v>45528</v>
      </c>
      <c r="F857" s="38"/>
      <c r="G857" s="51"/>
      <c r="H857" s="4">
        <f>F180*50%</f>
        <v>2398.75</v>
      </c>
      <c r="I857" s="120"/>
      <c r="J857" s="4">
        <f>(G857+H857)-I857</f>
        <v>2398.75</v>
      </c>
      <c r="K857" s="4">
        <f>J857+O856</f>
        <v>17131.52</v>
      </c>
      <c r="L857" s="3"/>
      <c r="M857" s="3"/>
      <c r="N857" s="33">
        <f>I857+M857</f>
        <v>0</v>
      </c>
      <c r="O857" s="28">
        <f>K857-M857</f>
        <v>17131.52</v>
      </c>
      <c r="P857" s="9" t="s">
        <v>11</v>
      </c>
      <c r="Q857" s="2">
        <v>45528</v>
      </c>
      <c r="R857" s="38"/>
      <c r="S857" s="52"/>
      <c r="T857" s="4">
        <f>R180*45%</f>
        <v>3794.4</v>
      </c>
      <c r="U857" s="5"/>
      <c r="V857" s="4">
        <f>(S857+T857)-U857</f>
        <v>3794.4</v>
      </c>
      <c r="W857" s="4">
        <f>V857+AA856</f>
        <v>127356.145</v>
      </c>
      <c r="X857" s="3"/>
      <c r="Y857" s="3"/>
      <c r="Z857" s="25">
        <f>U857+Y857</f>
        <v>0</v>
      </c>
      <c r="AA857" s="76">
        <f>W857-Y857</f>
        <v>127356.145</v>
      </c>
      <c r="AB857" s="9" t="s">
        <v>11</v>
      </c>
      <c r="AC857" s="19">
        <v>45528</v>
      </c>
      <c r="AD857" s="41"/>
      <c r="AE857" s="42"/>
      <c r="AF857" s="4">
        <f>AD180-H857-T857</f>
        <v>7036.35</v>
      </c>
      <c r="AG857" s="3"/>
      <c r="AH857" s="8"/>
      <c r="AI857" s="4">
        <f>(AE857+AF857)-AH857</f>
        <v>7036.35</v>
      </c>
      <c r="AJ857" s="4">
        <f>AI857+BP856</f>
        <v>-376694.0305</v>
      </c>
      <c r="AK857" s="8"/>
      <c r="AL857" s="8"/>
      <c r="AM857" s="48"/>
      <c r="AN857" s="47"/>
      <c r="AO857" s="8"/>
      <c r="AP857" s="8"/>
      <c r="AQ857" s="47"/>
      <c r="AR857" s="47"/>
      <c r="AS857" s="8"/>
      <c r="AT857" s="8"/>
      <c r="AU857" s="47"/>
      <c r="AV857" s="47"/>
      <c r="AW857" s="8"/>
      <c r="AX857" s="8"/>
      <c r="AY857" s="47"/>
      <c r="AZ857" s="47"/>
      <c r="BA857" s="8"/>
      <c r="BB857" s="8"/>
      <c r="BC857" s="47"/>
      <c r="BD857" s="47"/>
      <c r="BE857" s="8"/>
      <c r="BF857" s="8"/>
      <c r="BG857" s="47"/>
      <c r="BH857" s="47"/>
      <c r="BI857" s="8"/>
      <c r="BJ857" s="3"/>
      <c r="BK857" s="47"/>
      <c r="BL857" s="47"/>
      <c r="BM857" s="46"/>
      <c r="BN857" s="46"/>
      <c r="BO857" s="24">
        <f>AL857+AN857+AP857+AR857+AT857+AV857+AX857+AZ857+BB857+BD857+BF857+BH857+BJ857+BL857</f>
        <v>0</v>
      </c>
      <c r="BP857" s="28">
        <f>AJ857-BO857</f>
        <v>-376694.0305</v>
      </c>
      <c r="BQ857" s="2">
        <v>45528</v>
      </c>
    </row>
    <row r="858" spans="1:73" hidden="true">
      <c r="D858" s="9" t="s">
        <v>12</v>
      </c>
      <c r="E858" s="2">
        <v>45529</v>
      </c>
      <c r="F858" s="38"/>
      <c r="G858" s="51"/>
      <c r="H858" s="4">
        <f>F181*50%</f>
        <v>1767.375</v>
      </c>
      <c r="I858" s="120"/>
      <c r="J858" s="4">
        <f>(G858+H858)-I858</f>
        <v>1767.375</v>
      </c>
      <c r="K858" s="4">
        <f>J858+O857</f>
        <v>18898.895</v>
      </c>
      <c r="L858" s="3"/>
      <c r="M858" s="3"/>
      <c r="N858" s="33">
        <f>I858+M858</f>
        <v>0</v>
      </c>
      <c r="O858" s="28">
        <f>K858-M858</f>
        <v>18898.895</v>
      </c>
      <c r="P858" s="9" t="s">
        <v>12</v>
      </c>
      <c r="Q858" s="2">
        <v>45529</v>
      </c>
      <c r="R858" s="38"/>
      <c r="S858" s="52"/>
      <c r="T858" s="4">
        <f>R181*45%</f>
        <v>4094.1</v>
      </c>
      <c r="U858" s="5"/>
      <c r="V858" s="4">
        <f>(S858+T858)-U858</f>
        <v>4094.1</v>
      </c>
      <c r="W858" s="4">
        <f>V858+AA857</f>
        <v>131450.245</v>
      </c>
      <c r="X858" s="3"/>
      <c r="Y858" s="3"/>
      <c r="Z858" s="25">
        <f>U858+Y858</f>
        <v>0</v>
      </c>
      <c r="AA858" s="76">
        <f>W858-Y858</f>
        <v>131450.245</v>
      </c>
      <c r="AB858" s="9" t="s">
        <v>12</v>
      </c>
      <c r="AC858" s="19">
        <v>45529</v>
      </c>
      <c r="AD858" s="41"/>
      <c r="AE858" s="42"/>
      <c r="AF858" s="4">
        <f>AD181-H858-T858</f>
        <v>6771.275</v>
      </c>
      <c r="AG858" s="3"/>
      <c r="AH858" s="8"/>
      <c r="AI858" s="4">
        <f>(AE858+AF858)-AH858</f>
        <v>6771.275</v>
      </c>
      <c r="AJ858" s="4">
        <f>AI858+BP857</f>
        <v>-369922.7555</v>
      </c>
      <c r="AK858" s="8"/>
      <c r="AL858" s="8"/>
      <c r="AM858" s="47"/>
      <c r="AN858" s="47"/>
      <c r="AO858" s="8"/>
      <c r="AP858" s="8"/>
      <c r="AQ858" s="47"/>
      <c r="AR858" s="47"/>
      <c r="AS858" s="8"/>
      <c r="AT858" s="8"/>
      <c r="AU858" s="47"/>
      <c r="AV858" s="47"/>
      <c r="AW858" s="8"/>
      <c r="AX858" s="8"/>
      <c r="AY858" s="47"/>
      <c r="AZ858" s="47"/>
      <c r="BA858" s="8"/>
      <c r="BB858" s="8"/>
      <c r="BC858" s="47"/>
      <c r="BD858" s="47"/>
      <c r="BE858" s="8"/>
      <c r="BF858" s="8"/>
      <c r="BG858" s="47"/>
      <c r="BH858" s="47"/>
      <c r="BI858" s="8"/>
      <c r="BJ858" s="3"/>
      <c r="BK858" s="47"/>
      <c r="BL858" s="47"/>
      <c r="BM858" s="46"/>
      <c r="BN858" s="46"/>
      <c r="BO858" s="24">
        <f>AL858+AN858+AP858+AR858+AT858+AV858+AX858+AZ858+BB858+BD858+BF858+BH858+BJ858+BL858</f>
        <v>0</v>
      </c>
      <c r="BP858" s="28">
        <f>AJ858-BO858</f>
        <v>-369922.7555</v>
      </c>
      <c r="BQ858" s="2">
        <v>45529</v>
      </c>
    </row>
    <row r="859" spans="1:73" hidden="true">
      <c r="D859" s="9" t="s">
        <v>13</v>
      </c>
      <c r="E859" s="2">
        <v>45530</v>
      </c>
      <c r="F859" s="38"/>
      <c r="G859" s="51"/>
      <c r="H859" s="4">
        <f>F182*50%</f>
        <v>2821.925</v>
      </c>
      <c r="I859" s="120"/>
      <c r="J859" s="4">
        <f>(G859+H859)-I859</f>
        <v>2821.925</v>
      </c>
      <c r="K859" s="4">
        <f>J859+O858</f>
        <v>21720.82</v>
      </c>
      <c r="L859" s="3"/>
      <c r="M859" s="3"/>
      <c r="N859" s="33">
        <f>I859+M859</f>
        <v>0</v>
      </c>
      <c r="O859" s="28">
        <f>K859-M859</f>
        <v>21720.82</v>
      </c>
      <c r="P859" s="9" t="s">
        <v>13</v>
      </c>
      <c r="Q859" s="2">
        <v>45530</v>
      </c>
      <c r="R859" s="38"/>
      <c r="S859" s="52"/>
      <c r="T859" s="4">
        <f>R182*45%</f>
        <v>3263.4</v>
      </c>
      <c r="U859" s="5"/>
      <c r="V859" s="4">
        <f>(S859+T859)-U859</f>
        <v>3263.4</v>
      </c>
      <c r="W859" s="4">
        <f>V859+AA858</f>
        <v>134713.645</v>
      </c>
      <c r="X859" s="3"/>
      <c r="Y859" s="3"/>
      <c r="Z859" s="25">
        <f>U859+Y859</f>
        <v>0</v>
      </c>
      <c r="AA859" s="76">
        <f>W859-Y859</f>
        <v>134713.645</v>
      </c>
      <c r="AB859" s="9" t="s">
        <v>13</v>
      </c>
      <c r="AC859" s="19">
        <v>45530</v>
      </c>
      <c r="AD859" s="41"/>
      <c r="AE859" s="42"/>
      <c r="AF859" s="4">
        <f>AD182-H859-T859</f>
        <v>6810.525</v>
      </c>
      <c r="AG859" s="3"/>
      <c r="AH859" s="8"/>
      <c r="AI859" s="4">
        <f>(AE859+AF859)-AH859</f>
        <v>6810.525</v>
      </c>
      <c r="AJ859" s="4">
        <f>AI859+BP858</f>
        <v>-363112.2305</v>
      </c>
      <c r="AK859" s="8"/>
      <c r="AL859" s="8"/>
      <c r="AM859" s="47"/>
      <c r="AN859" s="47"/>
      <c r="AO859" s="8"/>
      <c r="AP859" s="8"/>
      <c r="AQ859" s="47"/>
      <c r="AR859" s="47"/>
      <c r="AS859" s="8"/>
      <c r="AT859" s="8"/>
      <c r="AU859" s="47"/>
      <c r="AV859" s="47"/>
      <c r="AW859" s="8"/>
      <c r="AX859" s="8"/>
      <c r="AY859" s="47"/>
      <c r="AZ859" s="47"/>
      <c r="BA859" s="8"/>
      <c r="BB859" s="8"/>
      <c r="BC859" s="47"/>
      <c r="BD859" s="47"/>
      <c r="BE859" s="8"/>
      <c r="BF859" s="8"/>
      <c r="BG859" s="47"/>
      <c r="BH859" s="47"/>
      <c r="BI859" s="8"/>
      <c r="BJ859" s="3"/>
      <c r="BK859" s="47"/>
      <c r="BL859" s="47"/>
      <c r="BM859" s="46"/>
      <c r="BN859" s="46"/>
      <c r="BO859" s="24">
        <f>AL859+AN859+AP859+AR859+AT859+AV859+AX859+AZ859+BB859+BD859+BF859+BH859+BJ859+BL859</f>
        <v>0</v>
      </c>
      <c r="BP859" s="28">
        <f>AJ859-BO859</f>
        <v>-363112.2305</v>
      </c>
      <c r="BQ859" s="2">
        <v>45530</v>
      </c>
    </row>
    <row r="860" spans="1:73" hidden="true">
      <c r="D860" s="9" t="s">
        <v>14</v>
      </c>
      <c r="E860" s="2">
        <v>45531</v>
      </c>
      <c r="F860" s="38"/>
      <c r="G860" s="51"/>
      <c r="H860" s="4">
        <f>F183*50%</f>
        <v>1360.825</v>
      </c>
      <c r="I860" s="120"/>
      <c r="J860" s="4">
        <f>(G860+H860)-I860</f>
        <v>1360.825</v>
      </c>
      <c r="K860" s="4">
        <f>J860+O859</f>
        <v>23081.645</v>
      </c>
      <c r="L860" s="3"/>
      <c r="M860" s="3"/>
      <c r="N860" s="33">
        <f>I860+M860</f>
        <v>0</v>
      </c>
      <c r="O860" s="28">
        <f>K860-M860</f>
        <v>23081.645</v>
      </c>
      <c r="P860" s="9" t="s">
        <v>14</v>
      </c>
      <c r="Q860" s="2">
        <v>45531</v>
      </c>
      <c r="R860" s="38"/>
      <c r="S860" s="52"/>
      <c r="T860" s="4">
        <f>R183*45%</f>
        <v>3749.4</v>
      </c>
      <c r="U860" s="5"/>
      <c r="V860" s="4">
        <f>(S860+T860)-U860</f>
        <v>3749.4</v>
      </c>
      <c r="W860" s="4">
        <f>V860+AA859</f>
        <v>138463.045</v>
      </c>
      <c r="X860" s="3"/>
      <c r="Y860" s="3"/>
      <c r="Z860" s="25">
        <f>U860+Y860</f>
        <v>0</v>
      </c>
      <c r="AA860" s="76">
        <f>W860-Y860</f>
        <v>138463.045</v>
      </c>
      <c r="AB860" s="9" t="s">
        <v>14</v>
      </c>
      <c r="AC860" s="19">
        <v>45531</v>
      </c>
      <c r="AD860" s="41"/>
      <c r="AE860" s="42"/>
      <c r="AF860" s="4">
        <f>AD183-H860-T860</f>
        <v>5943.425</v>
      </c>
      <c r="AG860" s="3"/>
      <c r="AH860" s="8"/>
      <c r="AI860" s="4">
        <f>(AE860+AF860)-AH860</f>
        <v>5943.425</v>
      </c>
      <c r="AJ860" s="4">
        <f>AI860+BP859</f>
        <v>-357168.8055</v>
      </c>
      <c r="AK860" s="8"/>
      <c r="AL860" s="8"/>
      <c r="AM860" s="47"/>
      <c r="AN860" s="47"/>
      <c r="AO860" s="8"/>
      <c r="AP860" s="8"/>
      <c r="AQ860" s="47"/>
      <c r="AR860" s="47"/>
      <c r="AS860" s="8"/>
      <c r="AT860" s="8"/>
      <c r="AU860" s="47"/>
      <c r="AV860" s="47"/>
      <c r="AW860" s="8"/>
      <c r="AX860" s="8"/>
      <c r="AY860" s="47"/>
      <c r="AZ860" s="47"/>
      <c r="BA860" s="8"/>
      <c r="BB860" s="8"/>
      <c r="BC860" s="47"/>
      <c r="BD860" s="47"/>
      <c r="BE860" s="8"/>
      <c r="BF860" s="8"/>
      <c r="BG860" s="47"/>
      <c r="BH860" s="47"/>
      <c r="BI860" s="8"/>
      <c r="BJ860" s="3"/>
      <c r="BK860" s="47"/>
      <c r="BL860" s="47"/>
      <c r="BM860" s="46"/>
      <c r="BN860" s="46"/>
      <c r="BO860" s="24">
        <f>AL860+AN860+AP860+AR860+AT860+AV860+AX860+AZ860+BB860+BD860+BF860+BH860+BJ860+BL860</f>
        <v>0</v>
      </c>
      <c r="BP860" s="28">
        <f>AJ860-BO860</f>
        <v>-357168.8055</v>
      </c>
      <c r="BQ860" s="2">
        <v>45531</v>
      </c>
    </row>
    <row r="861" spans="1:73" hidden="true">
      <c r="D861" s="9" t="s">
        <v>15</v>
      </c>
      <c r="E861" s="2">
        <v>45532</v>
      </c>
      <c r="F861" s="38"/>
      <c r="G861" s="51"/>
      <c r="H861" s="4">
        <f>F184*50%</f>
        <v>1852.35</v>
      </c>
      <c r="I861" s="120"/>
      <c r="J861" s="4">
        <f>(G861+H861)-I861</f>
        <v>1852.35</v>
      </c>
      <c r="K861" s="4">
        <f>J861+O860</f>
        <v>24933.995</v>
      </c>
      <c r="L861" s="3"/>
      <c r="M861" s="3"/>
      <c r="N861" s="33">
        <f>I861+M861</f>
        <v>0</v>
      </c>
      <c r="O861" s="28">
        <f>K861-M861</f>
        <v>24933.995</v>
      </c>
      <c r="P861" s="9" t="s">
        <v>15</v>
      </c>
      <c r="Q861" s="2">
        <v>45532</v>
      </c>
      <c r="R861" s="38"/>
      <c r="S861" s="52"/>
      <c r="T861" s="4">
        <f>R184*45%</f>
        <v>3600</v>
      </c>
      <c r="U861" s="5"/>
      <c r="V861" s="4">
        <f>(S861+T861)-U861</f>
        <v>3600</v>
      </c>
      <c r="W861" s="4">
        <f>V861+AA860</f>
        <v>142063.045</v>
      </c>
      <c r="X861" s="3"/>
      <c r="Y861" s="3"/>
      <c r="Z861" s="25">
        <f>U861+Y861</f>
        <v>0</v>
      </c>
      <c r="AA861" s="76">
        <f>W861-Y861</f>
        <v>142063.045</v>
      </c>
      <c r="AB861" s="9" t="s">
        <v>15</v>
      </c>
      <c r="AC861" s="19">
        <v>45532</v>
      </c>
      <c r="AD861" s="41"/>
      <c r="AE861" s="42"/>
      <c r="AF861" s="4">
        <f>AD184-H861-T861</f>
        <v>6252.35</v>
      </c>
      <c r="AG861" s="3"/>
      <c r="AH861" s="8"/>
      <c r="AI861" s="4">
        <f>(AE861+AF861)-AH861</f>
        <v>6252.35</v>
      </c>
      <c r="AJ861" s="4">
        <f>AI861+BP860</f>
        <v>-350916.4555</v>
      </c>
      <c r="AK861" s="8"/>
      <c r="AL861" s="8"/>
      <c r="AM861" s="47"/>
      <c r="AN861" s="47"/>
      <c r="AO861" s="8"/>
      <c r="AP861" s="8"/>
      <c r="AQ861" s="47"/>
      <c r="AR861" s="47"/>
      <c r="AS861" s="8"/>
      <c r="AT861" s="8"/>
      <c r="AU861" s="47"/>
      <c r="AV861" s="47"/>
      <c r="AW861" s="8"/>
      <c r="AX861" s="8"/>
      <c r="AY861" s="47"/>
      <c r="AZ861" s="47"/>
      <c r="BA861" s="8"/>
      <c r="BB861" s="8"/>
      <c r="BC861" s="47"/>
      <c r="BD861" s="47"/>
      <c r="BE861" s="8"/>
      <c r="BF861" s="8"/>
      <c r="BG861" s="47"/>
      <c r="BH861" s="47"/>
      <c r="BI861" s="8"/>
      <c r="BJ861" s="3"/>
      <c r="BK861" s="47"/>
      <c r="BL861" s="47"/>
      <c r="BM861" s="46"/>
      <c r="BN861" s="46"/>
      <c r="BO861" s="24">
        <f>AL861+AN861+AP861+AR861+AT861+AV861+AX861+AZ861+BB861+BD861+BF861+BH861+BJ861+BL861</f>
        <v>0</v>
      </c>
      <c r="BP861" s="28">
        <f>AJ861-BO861</f>
        <v>-350916.4555</v>
      </c>
      <c r="BQ861" s="2">
        <v>45532</v>
      </c>
    </row>
    <row r="862" spans="1:73" hidden="true">
      <c r="D862" s="9" t="s">
        <v>16</v>
      </c>
      <c r="E862" s="2">
        <v>45533</v>
      </c>
      <c r="F862" s="38"/>
      <c r="G862" s="51"/>
      <c r="H862" s="4">
        <f>F185*50%</f>
        <v>1524.8</v>
      </c>
      <c r="I862" s="120"/>
      <c r="J862" s="4">
        <f>(G862+H862)-I862</f>
        <v>1524.8</v>
      </c>
      <c r="K862" s="4">
        <f>J862+O861</f>
        <v>26458.795</v>
      </c>
      <c r="L862" s="3"/>
      <c r="M862" s="3"/>
      <c r="N862" s="33">
        <f>I862+M862</f>
        <v>0</v>
      </c>
      <c r="O862" s="28">
        <f>K862-M862</f>
        <v>26458.795</v>
      </c>
      <c r="P862" s="9" t="s">
        <v>16</v>
      </c>
      <c r="Q862" s="2">
        <v>45533</v>
      </c>
      <c r="R862" s="38"/>
      <c r="S862" s="52"/>
      <c r="T862" s="4">
        <f>R185*45%</f>
        <v>3600</v>
      </c>
      <c r="U862" s="5"/>
      <c r="V862" s="4">
        <f>(S862+T862)-U862</f>
        <v>3600</v>
      </c>
      <c r="W862" s="4">
        <f>V862+AA861</f>
        <v>145663.045</v>
      </c>
      <c r="X862" s="3"/>
      <c r="Y862" s="3"/>
      <c r="Z862" s="25">
        <f>U862+Y862</f>
        <v>0</v>
      </c>
      <c r="AA862" s="76">
        <f>W862-Y862</f>
        <v>145663.045</v>
      </c>
      <c r="AB862" s="9" t="s">
        <v>16</v>
      </c>
      <c r="AC862" s="19">
        <v>45533</v>
      </c>
      <c r="AD862" s="41"/>
      <c r="AE862" s="42"/>
      <c r="AF862" s="4">
        <f>AD185-H862-T862</f>
        <v>5924.8</v>
      </c>
      <c r="AG862" s="3"/>
      <c r="AH862" s="8"/>
      <c r="AI862" s="4">
        <f>(AE862+AF862)-AH862</f>
        <v>5924.8</v>
      </c>
      <c r="AJ862" s="4">
        <f>AI862+BP861</f>
        <v>-344991.6555</v>
      </c>
      <c r="AK862" s="8"/>
      <c r="AL862" s="8"/>
      <c r="AM862" s="47"/>
      <c r="AN862" s="47"/>
      <c r="AO862" s="8"/>
      <c r="AP862" s="8"/>
      <c r="AQ862" s="47"/>
      <c r="AR862" s="47"/>
      <c r="AS862" s="8"/>
      <c r="AT862" s="8"/>
      <c r="AU862" s="47"/>
      <c r="AV862" s="47"/>
      <c r="AW862" s="8"/>
      <c r="AX862" s="8"/>
      <c r="AY862" s="47"/>
      <c r="AZ862" s="47"/>
      <c r="BA862" s="8"/>
      <c r="BB862" s="8"/>
      <c r="BC862" s="47"/>
      <c r="BD862" s="47"/>
      <c r="BE862" s="8"/>
      <c r="BF862" s="8"/>
      <c r="BG862" s="47"/>
      <c r="BH862" s="47"/>
      <c r="BI862" s="8"/>
      <c r="BJ862" s="3"/>
      <c r="BK862" s="47"/>
      <c r="BL862" s="47"/>
      <c r="BM862" s="46"/>
      <c r="BN862" s="46"/>
      <c r="BO862" s="24">
        <f>AL862+AN862+AP862+AR862+AT862+AV862+AX862+AZ862+BB862+BD862+BF862+BH862+BJ862+BL862</f>
        <v>0</v>
      </c>
      <c r="BP862" s="28">
        <f>AJ862-BO862</f>
        <v>-344991.6555</v>
      </c>
      <c r="BQ862" s="2">
        <v>45533</v>
      </c>
    </row>
    <row r="863" spans="1:73" hidden="true">
      <c r="D863" s="9" t="s">
        <v>10</v>
      </c>
      <c r="E863" s="2">
        <v>45534</v>
      </c>
      <c r="F863" s="38"/>
      <c r="G863" s="51"/>
      <c r="H863" s="4">
        <f>F186*50%</f>
        <v>1792.5</v>
      </c>
      <c r="I863" s="120"/>
      <c r="J863" s="4">
        <f>(G863+H863)-I863</f>
        <v>1792.5</v>
      </c>
      <c r="K863" s="4">
        <f>J863+O862</f>
        <v>28251.295</v>
      </c>
      <c r="L863" s="3"/>
      <c r="M863" s="3"/>
      <c r="N863" s="33">
        <f>I863+M863</f>
        <v>0</v>
      </c>
      <c r="O863" s="28">
        <f>K863-M863</f>
        <v>28251.295</v>
      </c>
      <c r="P863" s="9" t="s">
        <v>10</v>
      </c>
      <c r="Q863" s="2">
        <v>45534</v>
      </c>
      <c r="R863" s="38"/>
      <c r="S863" s="52"/>
      <c r="T863" s="4">
        <f>R186*45%</f>
        <v>3600</v>
      </c>
      <c r="U863" s="5"/>
      <c r="V863" s="4">
        <f>(S863+T863)-U863</f>
        <v>3600</v>
      </c>
      <c r="W863" s="4">
        <f>V863+AA862</f>
        <v>149263.045</v>
      </c>
      <c r="X863" s="3"/>
      <c r="Y863" s="3"/>
      <c r="Z863" s="25">
        <f>U863+Y863</f>
        <v>0</v>
      </c>
      <c r="AA863" s="76">
        <f>W863-Y863</f>
        <v>149263.045</v>
      </c>
      <c r="AB863" s="9" t="s">
        <v>10</v>
      </c>
      <c r="AC863" s="19">
        <v>45534</v>
      </c>
      <c r="AD863" s="41"/>
      <c r="AE863" s="42"/>
      <c r="AF863" s="4">
        <f>AD186-H863-T863</f>
        <v>6192.5</v>
      </c>
      <c r="AG863" s="3"/>
      <c r="AH863" s="8"/>
      <c r="AI863" s="4">
        <f>(AE863+AF863)-AH863</f>
        <v>6192.5</v>
      </c>
      <c r="AJ863" s="4">
        <f>AI863+BP862</f>
        <v>-338799.1555</v>
      </c>
      <c r="AK863" s="8"/>
      <c r="AL863" s="8"/>
      <c r="AM863" s="47"/>
      <c r="AN863" s="47"/>
      <c r="AO863" s="8"/>
      <c r="AP863" s="8"/>
      <c r="AQ863" s="47"/>
      <c r="AR863" s="47"/>
      <c r="AS863" s="8"/>
      <c r="AT863" s="8"/>
      <c r="AU863" s="47"/>
      <c r="AV863" s="47"/>
      <c r="AW863" s="8"/>
      <c r="AX863" s="8"/>
      <c r="AY863" s="47"/>
      <c r="AZ863" s="47"/>
      <c r="BA863" s="8"/>
      <c r="BB863" s="8"/>
      <c r="BC863" s="47"/>
      <c r="BD863" s="47"/>
      <c r="BE863" s="8"/>
      <c r="BF863" s="8"/>
      <c r="BG863" s="47"/>
      <c r="BH863" s="47"/>
      <c r="BI863" s="8"/>
      <c r="BJ863" s="3"/>
      <c r="BK863" s="47"/>
      <c r="BL863" s="47"/>
      <c r="BM863" s="46"/>
      <c r="BN863" s="46"/>
      <c r="BO863" s="24">
        <f>AL863+AN863+AP863+AR863+AT863+AV863+AX863+AZ863+BB863+BD863+BF863+BH863+BJ863+BL863</f>
        <v>0</v>
      </c>
      <c r="BP863" s="28">
        <f>AJ863-BO863</f>
        <v>-338799.1555</v>
      </c>
      <c r="BQ863" s="2">
        <v>45534</v>
      </c>
    </row>
    <row r="864" spans="1:73" hidden="true" s="13" customFormat="1">
      <c r="D864" s="13" t="s">
        <v>11</v>
      </c>
      <c r="E864" s="10">
        <v>45535</v>
      </c>
      <c r="F864" s="10"/>
      <c r="G864" s="54"/>
      <c r="H864" s="11">
        <f>F187*50%</f>
        <v>3495.3</v>
      </c>
      <c r="I864" s="121"/>
      <c r="J864" s="11">
        <f>(G864+H864)-I864</f>
        <v>3495.3</v>
      </c>
      <c r="K864" s="11">
        <f>J864+O863</f>
        <v>31746.595</v>
      </c>
      <c r="L864" s="11"/>
      <c r="M864" s="11"/>
      <c r="N864" s="26">
        <f>I864+M864</f>
        <v>0</v>
      </c>
      <c r="O864" s="11">
        <f>K864-M864</f>
        <v>31746.595</v>
      </c>
      <c r="P864" s="13" t="s">
        <v>11</v>
      </c>
      <c r="Q864" s="10">
        <v>45535</v>
      </c>
      <c r="R864" s="10"/>
      <c r="S864" s="53"/>
      <c r="T864" s="11">
        <f>R187*45%</f>
        <v>3600</v>
      </c>
      <c r="U864" s="12"/>
      <c r="V864" s="11">
        <f>(S864+T864)-U864</f>
        <v>3600</v>
      </c>
      <c r="W864" s="11">
        <f>V864+AA863</f>
        <v>152863.045</v>
      </c>
      <c r="X864" s="11"/>
      <c r="Y864" s="11"/>
      <c r="Z864" s="26">
        <f>U864+Y864</f>
        <v>0</v>
      </c>
      <c r="AA864" s="53">
        <f>W864-Y864</f>
        <v>152863.045</v>
      </c>
      <c r="AB864" s="13" t="s">
        <v>11</v>
      </c>
      <c r="AC864" s="20">
        <v>45535</v>
      </c>
      <c r="AD864" s="14"/>
      <c r="AE864" s="27"/>
      <c r="AF864" s="11">
        <f>AD187-H864-T864</f>
        <v>7895.3</v>
      </c>
      <c r="AG864" s="11"/>
      <c r="AH864" s="15"/>
      <c r="AI864" s="11">
        <f>(AE864+AF864)-AH864</f>
        <v>7895.3</v>
      </c>
      <c r="AJ864" s="11">
        <f>AI864+BP863</f>
        <v>-330903.8555</v>
      </c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1"/>
      <c r="BK864" s="15"/>
      <c r="BL864" s="15"/>
      <c r="BM864" s="23"/>
      <c r="BN864" s="23"/>
      <c r="BO864" s="23">
        <f>AL864+AN864+AP864+AR864+AT864+AV864+AX864+AZ864+BB864+BD864+BF864+BH864+BJ864+BL864</f>
        <v>0</v>
      </c>
      <c r="BP864" s="11">
        <f>AJ864-BO864</f>
        <v>-330903.8555</v>
      </c>
      <c r="BQ864" s="10">
        <v>45535</v>
      </c>
    </row>
    <row r="865" spans="1:73" hidden="true">
      <c r="D865" s="9" t="s">
        <v>12</v>
      </c>
      <c r="E865" s="2">
        <v>45536</v>
      </c>
      <c r="F865" s="38"/>
      <c r="G865" s="51"/>
      <c r="H865" s="4">
        <f>F188*50%</f>
        <v>2829.075</v>
      </c>
      <c r="I865" s="120"/>
      <c r="J865" s="4">
        <f>(G865+H865)-I865</f>
        <v>2829.075</v>
      </c>
      <c r="K865" s="4">
        <f>J865+O864</f>
        <v>34575.67</v>
      </c>
      <c r="L865" s="3"/>
      <c r="M865" s="3"/>
      <c r="N865" s="33">
        <f>I865+M865</f>
        <v>0</v>
      </c>
      <c r="O865" s="28">
        <f>K865-M865</f>
        <v>34575.67</v>
      </c>
      <c r="P865" s="9" t="s">
        <v>12</v>
      </c>
      <c r="Q865" s="2">
        <v>45536</v>
      </c>
      <c r="R865" s="38"/>
      <c r="S865" s="52"/>
      <c r="T865" s="4">
        <f>R188*45%</f>
        <v>3600</v>
      </c>
      <c r="U865" s="5"/>
      <c r="V865" s="4">
        <f>(S865+T865)-U865</f>
        <v>3600</v>
      </c>
      <c r="W865" s="4">
        <f>V865+AA864</f>
        <v>156463.045</v>
      </c>
      <c r="X865" s="3"/>
      <c r="Y865" s="3"/>
      <c r="Z865" s="25">
        <f>U865+Y865</f>
        <v>0</v>
      </c>
      <c r="AA865" s="76">
        <f>W865-Y865</f>
        <v>156463.045</v>
      </c>
      <c r="AB865" s="9" t="s">
        <v>12</v>
      </c>
      <c r="AC865" s="19">
        <v>45536</v>
      </c>
      <c r="AD865" s="41"/>
      <c r="AE865" s="42"/>
      <c r="AF865" s="4">
        <f>AD188-H865-T865</f>
        <v>7229.075</v>
      </c>
      <c r="AG865" s="3"/>
      <c r="AH865" s="8"/>
      <c r="AI865" s="4">
        <f>(AE865+AF865)-AH865</f>
        <v>7229.075</v>
      </c>
      <c r="AJ865" s="4">
        <f>AI865+BP864</f>
        <v>-323674.7805</v>
      </c>
      <c r="AK865" s="8"/>
      <c r="AL865" s="8"/>
      <c r="AM865" s="47"/>
      <c r="AN865" s="47"/>
      <c r="AO865" s="8"/>
      <c r="AP865" s="8"/>
      <c r="AQ865" s="47"/>
      <c r="AR865" s="47"/>
      <c r="AS865" s="8"/>
      <c r="AT865" s="8"/>
      <c r="AU865" s="47"/>
      <c r="AV865" s="47"/>
      <c r="AW865" s="8"/>
      <c r="AX865" s="8"/>
      <c r="AY865" s="47"/>
      <c r="AZ865" s="47"/>
      <c r="BA865" s="8"/>
      <c r="BB865" s="8"/>
      <c r="BC865" s="47"/>
      <c r="BD865" s="47"/>
      <c r="BE865" s="8"/>
      <c r="BF865" s="8"/>
      <c r="BG865" s="47"/>
      <c r="BH865" s="47"/>
      <c r="BI865" s="8"/>
      <c r="BJ865" s="3"/>
      <c r="BK865" s="47"/>
      <c r="BL865" s="47"/>
      <c r="BM865" s="46"/>
      <c r="BN865" s="46"/>
      <c r="BO865" s="24">
        <f>AL865+AN865+AP865+AR865+AT865+AV865+AX865+AZ865+BB865+BD865+BF865+BH865+BJ865+BL865</f>
        <v>0</v>
      </c>
      <c r="BP865" s="28">
        <f>AJ865-BO865</f>
        <v>-323674.7805</v>
      </c>
      <c r="BQ865" s="2">
        <v>45536</v>
      </c>
    </row>
    <row r="866" spans="1:73" hidden="true">
      <c r="D866" s="9" t="s">
        <v>13</v>
      </c>
      <c r="E866" s="2">
        <v>45537</v>
      </c>
      <c r="F866" s="38"/>
      <c r="G866" s="51"/>
      <c r="H866" s="4">
        <f>F189*50%</f>
        <v>2043.125</v>
      </c>
      <c r="I866" s="120"/>
      <c r="J866" s="4">
        <f>(G866+H866)-I866</f>
        <v>2043.125</v>
      </c>
      <c r="K866" s="4">
        <f>J866+O865</f>
        <v>36618.795</v>
      </c>
      <c r="L866" s="3"/>
      <c r="M866" s="3"/>
      <c r="N866" s="33">
        <f>I866+M866</f>
        <v>0</v>
      </c>
      <c r="O866" s="28">
        <f>K866-M866</f>
        <v>36618.795</v>
      </c>
      <c r="P866" s="9" t="s">
        <v>13</v>
      </c>
      <c r="Q866" s="2">
        <v>45537</v>
      </c>
      <c r="R866" s="38"/>
      <c r="S866" s="52"/>
      <c r="T866" s="4">
        <f>R189*45%</f>
        <v>3600</v>
      </c>
      <c r="U866" s="5"/>
      <c r="V866" s="4">
        <f>(S866+T866)-U866</f>
        <v>3600</v>
      </c>
      <c r="W866" s="4">
        <f>V866+AA865</f>
        <v>160063.045</v>
      </c>
      <c r="X866" s="3"/>
      <c r="Y866" s="3"/>
      <c r="Z866" s="25">
        <f>U866+Y866</f>
        <v>0</v>
      </c>
      <c r="AA866" s="76">
        <f>W866-Y866</f>
        <v>160063.045</v>
      </c>
      <c r="AB866" s="9" t="s">
        <v>13</v>
      </c>
      <c r="AC866" s="19">
        <v>45537</v>
      </c>
      <c r="AD866" s="41"/>
      <c r="AE866" s="42"/>
      <c r="AF866" s="4">
        <f>AD189-H866-T866</f>
        <v>6443.125</v>
      </c>
      <c r="AG866" s="3"/>
      <c r="AH866" s="8"/>
      <c r="AI866" s="4">
        <f>(AE866+AF866)-AH866</f>
        <v>6443.125</v>
      </c>
      <c r="AJ866" s="4">
        <f>AI866+BP865</f>
        <v>-317231.6555</v>
      </c>
      <c r="AK866" s="8"/>
      <c r="AL866" s="8"/>
      <c r="AM866" s="47"/>
      <c r="AN866" s="47"/>
      <c r="AO866" s="8"/>
      <c r="AP866" s="8"/>
      <c r="AQ866" s="47"/>
      <c r="AR866" s="47"/>
      <c r="AS866" s="8"/>
      <c r="AT866" s="8"/>
      <c r="AU866" s="47"/>
      <c r="AV866" s="47"/>
      <c r="AW866" s="8"/>
      <c r="AX866" s="8"/>
      <c r="AY866" s="47"/>
      <c r="AZ866" s="47"/>
      <c r="BA866" s="8"/>
      <c r="BB866" s="8"/>
      <c r="BC866" s="47"/>
      <c r="BD866" s="47"/>
      <c r="BE866" s="8"/>
      <c r="BF866" s="8"/>
      <c r="BG866" s="47"/>
      <c r="BH866" s="47"/>
      <c r="BI866" s="8"/>
      <c r="BJ866" s="3"/>
      <c r="BK866" s="47"/>
      <c r="BL866" s="47"/>
      <c r="BM866" s="46"/>
      <c r="BN866" s="46"/>
      <c r="BO866" s="24">
        <f>AL866+AN866+AP866+AR866+AT866+AV866+AX866+AZ866+BB866+BD866+BF866+BH866+BJ866+BL866</f>
        <v>0</v>
      </c>
      <c r="BP866" s="28">
        <f>AJ866-BO866</f>
        <v>-317231.6555</v>
      </c>
      <c r="BQ866" s="2">
        <v>45537</v>
      </c>
    </row>
    <row r="867" spans="1:73" hidden="true">
      <c r="D867" s="9" t="s">
        <v>14</v>
      </c>
      <c r="E867" s="2">
        <v>45538</v>
      </c>
      <c r="F867" s="38"/>
      <c r="G867" s="51"/>
      <c r="H867" s="4">
        <f>F190*50%</f>
        <v>1959.25</v>
      </c>
      <c r="I867" s="120"/>
      <c r="J867" s="4">
        <f>(G867+H867)-I867</f>
        <v>1959.25</v>
      </c>
      <c r="K867" s="4">
        <f>J867+O866</f>
        <v>38578.045</v>
      </c>
      <c r="L867" s="3"/>
      <c r="M867" s="3"/>
      <c r="N867" s="33">
        <f>I867+M867</f>
        <v>0</v>
      </c>
      <c r="O867" s="28">
        <f>K867-M867</f>
        <v>38578.045</v>
      </c>
      <c r="P867" s="9" t="s">
        <v>14</v>
      </c>
      <c r="Q867" s="2">
        <v>45538</v>
      </c>
      <c r="R867" s="38"/>
      <c r="S867" s="52"/>
      <c r="T867" s="4">
        <f>R190*45%</f>
        <v>3600</v>
      </c>
      <c r="U867" s="5"/>
      <c r="V867" s="4">
        <f>(S867+T867)-U867</f>
        <v>3600</v>
      </c>
      <c r="W867" s="4">
        <f>V867+AA866</f>
        <v>163663.045</v>
      </c>
      <c r="X867" s="3"/>
      <c r="Y867" s="3"/>
      <c r="Z867" s="25">
        <f>U867+Y867</f>
        <v>0</v>
      </c>
      <c r="AA867" s="76">
        <f>W867-Y867</f>
        <v>163663.045</v>
      </c>
      <c r="AB867" s="9" t="s">
        <v>14</v>
      </c>
      <c r="AC867" s="19">
        <v>45538</v>
      </c>
      <c r="AD867" s="41"/>
      <c r="AE867" s="42"/>
      <c r="AF867" s="4">
        <f>AD190-H867-T867</f>
        <v>6359.25</v>
      </c>
      <c r="AG867" s="3"/>
      <c r="AH867" s="8"/>
      <c r="AI867" s="4">
        <f>(AE867+AF867)-AH867</f>
        <v>6359.25</v>
      </c>
      <c r="AJ867" s="4">
        <f>AI867+BP866</f>
        <v>-310872.4055</v>
      </c>
      <c r="AK867" s="3"/>
      <c r="AL867" s="8"/>
      <c r="AM867" s="47"/>
      <c r="AN867" s="47"/>
      <c r="AO867" s="8"/>
      <c r="AP867" s="8"/>
      <c r="AQ867" s="47"/>
      <c r="AR867" s="47"/>
      <c r="AS867" s="8"/>
      <c r="AT867" s="8"/>
      <c r="AU867" s="47"/>
      <c r="AV867" s="47"/>
      <c r="AW867" s="8"/>
      <c r="AX867" s="8"/>
      <c r="AY867" s="47"/>
      <c r="AZ867" s="47"/>
      <c r="BA867" s="8"/>
      <c r="BB867" s="8"/>
      <c r="BC867" s="47"/>
      <c r="BD867" s="47"/>
      <c r="BE867" s="8"/>
      <c r="BF867" s="8"/>
      <c r="BG867" s="47"/>
      <c r="BH867" s="47"/>
      <c r="BI867" s="8"/>
      <c r="BJ867" s="3"/>
      <c r="BK867" s="47"/>
      <c r="BL867" s="47"/>
      <c r="BM867" s="46"/>
      <c r="BN867" s="46"/>
      <c r="BO867" s="24">
        <f>AL867+AN867+AP867+AR867+AT867+AV867+AX867+AZ867+BB867+BD867+BF867+BH867+BJ867+BL867</f>
        <v>0</v>
      </c>
      <c r="BP867" s="28">
        <f>AJ867-BO867</f>
        <v>-310872.4055</v>
      </c>
      <c r="BQ867" s="2">
        <v>45538</v>
      </c>
    </row>
    <row r="868" spans="1:73" hidden="true">
      <c r="D868" s="9" t="s">
        <v>15</v>
      </c>
      <c r="E868" s="2">
        <v>45539</v>
      </c>
      <c r="F868" s="38"/>
      <c r="G868" s="51"/>
      <c r="H868" s="4">
        <f>F191*50%</f>
        <v>1352.9</v>
      </c>
      <c r="I868" s="120"/>
      <c r="J868" s="4">
        <f>(G868+H868)-I868</f>
        <v>1352.9</v>
      </c>
      <c r="K868" s="4">
        <f>J868+O867</f>
        <v>39930.945</v>
      </c>
      <c r="L868" s="3"/>
      <c r="M868" s="3"/>
      <c r="N868" s="33">
        <f>I868+M868</f>
        <v>0</v>
      </c>
      <c r="O868" s="28">
        <f>K868-M868</f>
        <v>39930.945</v>
      </c>
      <c r="P868" s="9" t="s">
        <v>15</v>
      </c>
      <c r="Q868" s="2">
        <v>45539</v>
      </c>
      <c r="R868" s="38"/>
      <c r="S868" s="52"/>
      <c r="T868" s="4">
        <f>R191*45%</f>
        <v>3600</v>
      </c>
      <c r="U868" s="5"/>
      <c r="V868" s="4">
        <f>(S868+T868)-U868</f>
        <v>3600</v>
      </c>
      <c r="W868" s="4">
        <f>V868+AA867</f>
        <v>167263.045</v>
      </c>
      <c r="X868" s="3"/>
      <c r="Y868" s="3"/>
      <c r="Z868" s="25">
        <f>U868+Y868</f>
        <v>0</v>
      </c>
      <c r="AA868" s="76">
        <f>W868-Y868</f>
        <v>167263.045</v>
      </c>
      <c r="AB868" s="9" t="s">
        <v>15</v>
      </c>
      <c r="AC868" s="19">
        <v>45539</v>
      </c>
      <c r="AD868" s="41"/>
      <c r="AE868" s="42"/>
      <c r="AF868" s="4">
        <f>AD191-H868-T868</f>
        <v>5752.9</v>
      </c>
      <c r="AG868" s="3"/>
      <c r="AH868" s="8"/>
      <c r="AI868" s="4">
        <f>(AE868+AF868)-AH868</f>
        <v>5752.9</v>
      </c>
      <c r="AJ868" s="4">
        <f>AI868+BP867</f>
        <v>-305119.5055</v>
      </c>
      <c r="AK868" s="8"/>
      <c r="AL868" s="8"/>
      <c r="AM868" s="47"/>
      <c r="AN868" s="47"/>
      <c r="AO868" s="8"/>
      <c r="AP868" s="8"/>
      <c r="AQ868" s="47"/>
      <c r="AR868" s="47"/>
      <c r="AS868" s="8"/>
      <c r="AT868" s="8"/>
      <c r="AU868" s="47"/>
      <c r="AV868" s="47"/>
      <c r="AW868" s="8"/>
      <c r="AX868" s="8"/>
      <c r="AY868" s="47"/>
      <c r="AZ868" s="47"/>
      <c r="BA868" s="3"/>
      <c r="BB868" s="8"/>
      <c r="BC868" s="47"/>
      <c r="BD868" s="47"/>
      <c r="BE868" s="8"/>
      <c r="BF868" s="8"/>
      <c r="BG868" s="47"/>
      <c r="BH868" s="47"/>
      <c r="BI868" s="8"/>
      <c r="BJ868" s="3"/>
      <c r="BK868" s="47"/>
      <c r="BL868" s="47"/>
      <c r="BM868" s="46"/>
      <c r="BN868" s="46"/>
      <c r="BO868" s="24">
        <f>AL868+AN868+AP868+AR868+AT868+AV868+AX868+AZ868+BB868+BD868+BF868+BH868+BJ868+BL868</f>
        <v>0</v>
      </c>
      <c r="BP868" s="28">
        <f>AJ868-BO868</f>
        <v>-305119.5055</v>
      </c>
      <c r="BQ868" s="2">
        <v>45539</v>
      </c>
    </row>
    <row r="869" spans="1:73" hidden="true">
      <c r="D869" s="9" t="s">
        <v>16</v>
      </c>
      <c r="E869" s="2">
        <v>45540</v>
      </c>
      <c r="F869" s="38"/>
      <c r="G869" s="51"/>
      <c r="H869" s="4">
        <f>F192*50%</f>
        <v>2173.65</v>
      </c>
      <c r="I869" s="120"/>
      <c r="J869" s="4">
        <f>(G869+H869)-I869</f>
        <v>2173.65</v>
      </c>
      <c r="K869" s="4">
        <f>J869+O868</f>
        <v>42104.595</v>
      </c>
      <c r="L869" s="3"/>
      <c r="M869" s="3"/>
      <c r="N869" s="33">
        <f>I869+M869</f>
        <v>0</v>
      </c>
      <c r="O869" s="28">
        <f>K869-M869</f>
        <v>42104.595</v>
      </c>
      <c r="P869" s="9" t="s">
        <v>16</v>
      </c>
      <c r="Q869" s="2">
        <v>45540</v>
      </c>
      <c r="R869" s="38"/>
      <c r="S869" s="52"/>
      <c r="T869" s="4">
        <f>R192*45%</f>
        <v>3600</v>
      </c>
      <c r="U869" s="5"/>
      <c r="V869" s="4">
        <f>(S869+T869)-U869</f>
        <v>3600</v>
      </c>
      <c r="W869" s="4">
        <f>V869+AA868</f>
        <v>170863.045</v>
      </c>
      <c r="X869" s="3"/>
      <c r="Y869" s="3"/>
      <c r="Z869" s="25">
        <f>U869+Y869</f>
        <v>0</v>
      </c>
      <c r="AA869" s="76">
        <f>W869-Y869</f>
        <v>170863.045</v>
      </c>
      <c r="AB869" s="9" t="s">
        <v>16</v>
      </c>
      <c r="AC869" s="19">
        <v>45540</v>
      </c>
      <c r="AD869" s="41"/>
      <c r="AE869" s="42"/>
      <c r="AF869" s="4">
        <f>AD192-H869-T869</f>
        <v>6573.65</v>
      </c>
      <c r="AG869" s="3"/>
      <c r="AH869" s="8"/>
      <c r="AI869" s="4">
        <f>(AE869+AF869)-AH869</f>
        <v>6573.65</v>
      </c>
      <c r="AJ869" s="4">
        <f>AI869+BP868</f>
        <v>-298545.8555</v>
      </c>
      <c r="AK869" s="8"/>
      <c r="AL869" s="8"/>
      <c r="AM869" s="47"/>
      <c r="AN869" s="47"/>
      <c r="AO869" s="8"/>
      <c r="AP869" s="8"/>
      <c r="AQ869" s="47"/>
      <c r="AR869" s="47"/>
      <c r="AS869" s="8"/>
      <c r="AT869" s="8"/>
      <c r="AU869" s="47"/>
      <c r="AV869" s="47"/>
      <c r="AW869" s="8"/>
      <c r="AX869" s="8"/>
      <c r="AY869" s="47"/>
      <c r="AZ869" s="47"/>
      <c r="BA869" s="8"/>
      <c r="BB869" s="8"/>
      <c r="BC869" s="47"/>
      <c r="BD869" s="47"/>
      <c r="BE869" s="8"/>
      <c r="BF869" s="8"/>
      <c r="BG869" s="47"/>
      <c r="BH869" s="47"/>
      <c r="BI869" s="8"/>
      <c r="BJ869" s="3"/>
      <c r="BK869" s="47"/>
      <c r="BL869" s="47"/>
      <c r="BM869" s="46"/>
      <c r="BN869" s="46"/>
      <c r="BO869" s="24">
        <f>AL869+AN869+AP869+AR869+AT869+AV869+AX869+AZ869+BB869+BD869+BF869+BH869+BJ869+BL869</f>
        <v>0</v>
      </c>
      <c r="BP869" s="28">
        <f>AJ869-BO869</f>
        <v>-298545.8555</v>
      </c>
      <c r="BQ869" s="2">
        <v>45540</v>
      </c>
    </row>
    <row r="870" spans="1:73" hidden="true">
      <c r="D870" s="9" t="s">
        <v>10</v>
      </c>
      <c r="E870" s="2">
        <v>45541</v>
      </c>
      <c r="F870" s="38"/>
      <c r="G870" s="51"/>
      <c r="H870" s="4">
        <f>F193*50%</f>
        <v>2294.95</v>
      </c>
      <c r="I870" s="120"/>
      <c r="J870" s="4">
        <f>(G870+H870)-I870</f>
        <v>2294.95</v>
      </c>
      <c r="K870" s="4">
        <f>J870+O869</f>
        <v>44399.545</v>
      </c>
      <c r="L870" s="3"/>
      <c r="M870" s="3"/>
      <c r="N870" s="33">
        <f>I870+M870</f>
        <v>0</v>
      </c>
      <c r="O870" s="28">
        <f>K870-M870</f>
        <v>44399.545</v>
      </c>
      <c r="P870" s="9" t="s">
        <v>10</v>
      </c>
      <c r="Q870" s="2">
        <v>45541</v>
      </c>
      <c r="R870" s="38"/>
      <c r="S870" s="52"/>
      <c r="T870" s="4">
        <f>R193*45%</f>
        <v>3600</v>
      </c>
      <c r="U870" s="5"/>
      <c r="V870" s="4">
        <f>(S870+T870)-U870</f>
        <v>3600</v>
      </c>
      <c r="W870" s="4">
        <f>V870+AA869</f>
        <v>174463.045</v>
      </c>
      <c r="X870" s="3"/>
      <c r="Y870" s="3"/>
      <c r="Z870" s="25">
        <f>U870+Y870</f>
        <v>0</v>
      </c>
      <c r="AA870" s="76">
        <f>W870-Y870</f>
        <v>174463.045</v>
      </c>
      <c r="AB870" s="9" t="s">
        <v>10</v>
      </c>
      <c r="AC870" s="19">
        <v>45541</v>
      </c>
      <c r="AD870" s="41"/>
      <c r="AE870" s="42"/>
      <c r="AF870" s="4">
        <f>AD193-H870-T870</f>
        <v>6694.95</v>
      </c>
      <c r="AG870" s="3"/>
      <c r="AH870" s="8"/>
      <c r="AI870" s="4">
        <f>(AE870+AF870)-AH870</f>
        <v>6694.95</v>
      </c>
      <c r="AJ870" s="4">
        <f>AI870+BP869</f>
        <v>-291850.9055</v>
      </c>
      <c r="AK870" s="8"/>
      <c r="AL870" s="8"/>
      <c r="AM870" s="47"/>
      <c r="AN870" s="47"/>
      <c r="AO870" s="8"/>
      <c r="AP870" s="8"/>
      <c r="AQ870" s="47"/>
      <c r="AR870" s="47"/>
      <c r="AS870" s="8"/>
      <c r="AT870" s="8"/>
      <c r="AU870" s="47"/>
      <c r="AV870" s="47"/>
      <c r="AW870" s="8"/>
      <c r="AX870" s="8"/>
      <c r="AY870" s="47"/>
      <c r="AZ870" s="47"/>
      <c r="BA870" s="8"/>
      <c r="BB870" s="8"/>
      <c r="BC870" s="47"/>
      <c r="BD870" s="47"/>
      <c r="BE870" s="8"/>
      <c r="BF870" s="8"/>
      <c r="BG870" s="47"/>
      <c r="BH870" s="47"/>
      <c r="BI870" s="8"/>
      <c r="BJ870" s="3"/>
      <c r="BK870" s="47"/>
      <c r="BL870" s="47"/>
      <c r="BM870" s="46"/>
      <c r="BN870" s="46"/>
      <c r="BO870" s="24">
        <f>AL870+AN870+AP870+AR870+AT870+AV870+AX870+AZ870+BB870+BD870+BF870+BH870+BJ870+BL870</f>
        <v>0</v>
      </c>
      <c r="BP870" s="28">
        <f>AJ870-BO870</f>
        <v>-291850.9055</v>
      </c>
      <c r="BQ870" s="2">
        <v>45541</v>
      </c>
    </row>
    <row r="871" spans="1:73" hidden="true">
      <c r="D871" s="9" t="s">
        <v>11</v>
      </c>
      <c r="E871" s="2">
        <v>45542</v>
      </c>
      <c r="F871" s="38"/>
      <c r="G871" s="51"/>
      <c r="H871" s="4">
        <f>F194*50%</f>
        <v>2319.325</v>
      </c>
      <c r="I871" s="120"/>
      <c r="J871" s="4">
        <f>(G871+H871)-I871</f>
        <v>2319.325</v>
      </c>
      <c r="K871" s="4">
        <f>J871+O870</f>
        <v>46718.87</v>
      </c>
      <c r="L871" s="3"/>
      <c r="M871" s="3"/>
      <c r="N871" s="33">
        <f>I871+M871</f>
        <v>0</v>
      </c>
      <c r="O871" s="28">
        <f>K871-M871</f>
        <v>46718.87</v>
      </c>
      <c r="P871" s="9" t="s">
        <v>11</v>
      </c>
      <c r="Q871" s="2">
        <v>45542</v>
      </c>
      <c r="R871" s="38"/>
      <c r="S871" s="52"/>
      <c r="T871" s="4">
        <f>R194*45%</f>
        <v>3600</v>
      </c>
      <c r="U871" s="5"/>
      <c r="V871" s="4">
        <f>(S871+T871)-U871</f>
        <v>3600</v>
      </c>
      <c r="W871" s="4">
        <f>V871+AA870</f>
        <v>178063.045</v>
      </c>
      <c r="X871" s="3"/>
      <c r="Y871" s="3"/>
      <c r="Z871" s="25">
        <f>U871+Y871</f>
        <v>0</v>
      </c>
      <c r="AA871" s="76">
        <f>W871-Y871</f>
        <v>178063.045</v>
      </c>
      <c r="AB871" s="9" t="s">
        <v>11</v>
      </c>
      <c r="AC871" s="19">
        <v>45542</v>
      </c>
      <c r="AD871" s="41"/>
      <c r="AE871" s="42"/>
      <c r="AF871" s="4">
        <f>AD194-H871-T871</f>
        <v>6719.325</v>
      </c>
      <c r="AG871" s="3"/>
      <c r="AH871" s="8"/>
      <c r="AI871" s="4">
        <f>(AE871+AF871)-AH871</f>
        <v>6719.325</v>
      </c>
      <c r="AJ871" s="4">
        <f>AI871+BP870</f>
        <v>-285131.5805</v>
      </c>
      <c r="AK871" s="8"/>
      <c r="AL871" s="8"/>
      <c r="AM871" s="47"/>
      <c r="AN871" s="47"/>
      <c r="AO871" s="8"/>
      <c r="AP871" s="8"/>
      <c r="AQ871" s="47"/>
      <c r="AR871" s="47"/>
      <c r="AS871" s="8"/>
      <c r="AT871" s="8"/>
      <c r="AU871" s="47"/>
      <c r="AV871" s="47"/>
      <c r="AW871" s="8"/>
      <c r="AX871" s="8"/>
      <c r="AY871" s="47"/>
      <c r="AZ871" s="47"/>
      <c r="BA871" s="8"/>
      <c r="BB871" s="8"/>
      <c r="BC871" s="47"/>
      <c r="BD871" s="47"/>
      <c r="BE871" s="8"/>
      <c r="BF871" s="8"/>
      <c r="BG871" s="47"/>
      <c r="BH871" s="47"/>
      <c r="BI871" s="8"/>
      <c r="BJ871" s="3"/>
      <c r="BK871" s="47"/>
      <c r="BL871" s="47"/>
      <c r="BM871" s="46"/>
      <c r="BN871" s="46"/>
      <c r="BO871" s="24">
        <f>AL871+AN871+AP871+AR871+AT871+AV871+AX871+AZ871+BB871+BD871+BF871+BH871+BJ871+BL871</f>
        <v>0</v>
      </c>
      <c r="BP871" s="28">
        <f>AJ871-BO871</f>
        <v>-285131.5805</v>
      </c>
      <c r="BQ871" s="2">
        <v>45542</v>
      </c>
    </row>
    <row r="872" spans="1:73" hidden="true">
      <c r="D872" s="9" t="s">
        <v>12</v>
      </c>
      <c r="E872" s="2">
        <v>45543</v>
      </c>
      <c r="F872" s="38"/>
      <c r="G872" s="51"/>
      <c r="H872" s="4">
        <f>F195*50%</f>
        <v>2189</v>
      </c>
      <c r="I872" s="120"/>
      <c r="J872" s="4">
        <f>(G872+H872)-I872</f>
        <v>2189</v>
      </c>
      <c r="K872" s="4">
        <f>J872+O871</f>
        <v>48907.87</v>
      </c>
      <c r="L872" s="3"/>
      <c r="M872" s="3"/>
      <c r="N872" s="33">
        <f>I872+M872</f>
        <v>0</v>
      </c>
      <c r="O872" s="28">
        <f>K872-M872</f>
        <v>48907.87</v>
      </c>
      <c r="P872" s="9" t="s">
        <v>12</v>
      </c>
      <c r="Q872" s="2">
        <v>45543</v>
      </c>
      <c r="R872" s="38"/>
      <c r="S872" s="52"/>
      <c r="T872" s="4">
        <f>R195*45%</f>
        <v>3600</v>
      </c>
      <c r="U872" s="5"/>
      <c r="V872" s="4">
        <f>(S872+T872)-U872</f>
        <v>3600</v>
      </c>
      <c r="W872" s="4">
        <f>V872+AA871</f>
        <v>181663.045</v>
      </c>
      <c r="X872" s="3"/>
      <c r="Y872" s="3"/>
      <c r="Z872" s="25">
        <f>U872+Y872</f>
        <v>0</v>
      </c>
      <c r="AA872" s="76">
        <f>W872-Y872</f>
        <v>181663.045</v>
      </c>
      <c r="AB872" s="9" t="s">
        <v>12</v>
      </c>
      <c r="AC872" s="19">
        <v>45543</v>
      </c>
      <c r="AD872" s="41"/>
      <c r="AE872" s="42"/>
      <c r="AF872" s="4">
        <f>AD195-H872-T872</f>
        <v>6589</v>
      </c>
      <c r="AG872" s="3"/>
      <c r="AH872" s="8"/>
      <c r="AI872" s="4">
        <f>(AE872+AF872)-AH872</f>
        <v>6589</v>
      </c>
      <c r="AJ872" s="4">
        <f>AI872+BP871</f>
        <v>-278542.5805</v>
      </c>
      <c r="AK872" s="8"/>
      <c r="AL872" s="8"/>
      <c r="AM872" s="47"/>
      <c r="AN872" s="47"/>
      <c r="AO872" s="8"/>
      <c r="AP872" s="8"/>
      <c r="AQ872" s="47"/>
      <c r="AR872" s="47"/>
      <c r="AS872" s="8"/>
      <c r="AT872" s="8"/>
      <c r="AU872" s="47"/>
      <c r="AV872" s="47"/>
      <c r="AW872" s="8"/>
      <c r="AX872" s="8"/>
      <c r="AY872" s="47"/>
      <c r="AZ872" s="47"/>
      <c r="BA872" s="3"/>
      <c r="BB872" s="8"/>
      <c r="BC872" s="47"/>
      <c r="BD872" s="47"/>
      <c r="BE872" s="8"/>
      <c r="BF872" s="8"/>
      <c r="BG872" s="47"/>
      <c r="BH872" s="47"/>
      <c r="BI872" s="8"/>
      <c r="BJ872" s="3"/>
      <c r="BK872" s="47"/>
      <c r="BL872" s="47"/>
      <c r="BM872" s="46"/>
      <c r="BN872" s="46"/>
      <c r="BO872" s="24">
        <f>AL872+AN872+AP872+AR872+AT872+AV872+AX872+AZ872+BB872+BD872+BF872+BH872+BJ872+BL872</f>
        <v>0</v>
      </c>
      <c r="BP872" s="28">
        <f>AJ872-BO872</f>
        <v>-278542.5805</v>
      </c>
      <c r="BQ872" s="2">
        <v>45543</v>
      </c>
    </row>
    <row r="873" spans="1:73" hidden="true">
      <c r="D873" s="9" t="s">
        <v>13</v>
      </c>
      <c r="E873" s="2">
        <v>45544</v>
      </c>
      <c r="F873" s="38"/>
      <c r="G873" s="51"/>
      <c r="H873" s="4">
        <f>F196*50%</f>
        <v>1681.65</v>
      </c>
      <c r="I873" s="120"/>
      <c r="J873" s="4">
        <f>(G873+H873)-I873</f>
        <v>1681.65</v>
      </c>
      <c r="K873" s="4">
        <f>J873+O872</f>
        <v>50589.52</v>
      </c>
      <c r="L873" s="3"/>
      <c r="M873" s="3"/>
      <c r="N873" s="33">
        <f>I873+M873</f>
        <v>0</v>
      </c>
      <c r="O873" s="28">
        <f>K873-M873</f>
        <v>50589.52</v>
      </c>
      <c r="P873" s="9" t="s">
        <v>13</v>
      </c>
      <c r="Q873" s="2">
        <v>45544</v>
      </c>
      <c r="R873" s="38"/>
      <c r="S873" s="52"/>
      <c r="T873" s="4">
        <f>R196*45%</f>
        <v>3600</v>
      </c>
      <c r="U873" s="5"/>
      <c r="V873" s="4">
        <f>(S873+T873)-U873</f>
        <v>3600</v>
      </c>
      <c r="W873" s="4">
        <f>V873+AA872</f>
        <v>185263.045</v>
      </c>
      <c r="X873" s="3"/>
      <c r="Y873" s="3"/>
      <c r="Z873" s="25">
        <f>U873+Y873</f>
        <v>0</v>
      </c>
      <c r="AA873" s="76">
        <f>W873-Y873</f>
        <v>185263.045</v>
      </c>
      <c r="AB873" s="9" t="s">
        <v>13</v>
      </c>
      <c r="AC873" s="19">
        <v>45544</v>
      </c>
      <c r="AD873" s="41"/>
      <c r="AE873" s="42"/>
      <c r="AF873" s="4">
        <f>AD196-H873-T873</f>
        <v>6081.65</v>
      </c>
      <c r="AG873" s="3"/>
      <c r="AH873" s="8"/>
      <c r="AI873" s="4">
        <f>(AE873+AF873)-AH873</f>
        <v>6081.65</v>
      </c>
      <c r="AJ873" s="4">
        <f>AI873+BP872</f>
        <v>-272460.9305</v>
      </c>
      <c r="AK873" s="8"/>
      <c r="AL873" s="8"/>
      <c r="AM873" s="47"/>
      <c r="AN873" s="47"/>
      <c r="AO873" s="8"/>
      <c r="AP873" s="8"/>
      <c r="AQ873" s="47"/>
      <c r="AR873" s="47"/>
      <c r="AS873" s="8"/>
      <c r="AT873" s="8"/>
      <c r="AU873" s="47"/>
      <c r="AV873" s="47"/>
      <c r="AW873" s="8"/>
      <c r="AX873" s="8"/>
      <c r="AY873" s="47"/>
      <c r="AZ873" s="47"/>
      <c r="BA873" s="8"/>
      <c r="BB873" s="8"/>
      <c r="BC873" s="47"/>
      <c r="BD873" s="47"/>
      <c r="BE873" s="8"/>
      <c r="BF873" s="8"/>
      <c r="BG873" s="47"/>
      <c r="BH873" s="47"/>
      <c r="BI873" s="8"/>
      <c r="BJ873" s="3"/>
      <c r="BK873" s="47"/>
      <c r="BL873" s="47"/>
      <c r="BM873" s="46"/>
      <c r="BN873" s="46"/>
      <c r="BO873" s="24">
        <f>AL873+AN873+AP873+AR873+AT873+AV873+AX873+AZ873+BB873+BD873+BF873+BH873+BJ873+BL873</f>
        <v>0</v>
      </c>
      <c r="BP873" s="28">
        <f>AJ873-BO873</f>
        <v>-272460.9305</v>
      </c>
      <c r="BQ873" s="2">
        <v>45544</v>
      </c>
    </row>
    <row r="874" spans="1:73" hidden="true">
      <c r="D874" s="9" t="s">
        <v>14</v>
      </c>
      <c r="E874" s="2">
        <v>45545</v>
      </c>
      <c r="F874" s="38"/>
      <c r="G874" s="51"/>
      <c r="H874" s="4">
        <f>F197*50%</f>
        <v>1955.175</v>
      </c>
      <c r="I874" s="120"/>
      <c r="J874" s="4">
        <f>(G874+H874)-I874</f>
        <v>1955.175</v>
      </c>
      <c r="K874" s="4">
        <f>J874+O873</f>
        <v>52544.695</v>
      </c>
      <c r="L874" s="3"/>
      <c r="M874" s="3"/>
      <c r="N874" s="33">
        <f>I874+M874</f>
        <v>0</v>
      </c>
      <c r="O874" s="28">
        <f>K874-M874</f>
        <v>52544.695</v>
      </c>
      <c r="P874" s="9" t="s">
        <v>14</v>
      </c>
      <c r="Q874" s="2">
        <v>45545</v>
      </c>
      <c r="R874" s="38"/>
      <c r="S874" s="52"/>
      <c r="T874" s="4">
        <f>R197*45%</f>
        <v>3600</v>
      </c>
      <c r="U874" s="5"/>
      <c r="V874" s="4">
        <f>(S874+T874)-U874</f>
        <v>3600</v>
      </c>
      <c r="W874" s="4">
        <f>V874+AA873</f>
        <v>188863.045</v>
      </c>
      <c r="X874" s="3"/>
      <c r="Y874" s="3"/>
      <c r="Z874" s="25">
        <f>U874+Y874</f>
        <v>0</v>
      </c>
      <c r="AA874" s="76">
        <f>W874-Y874</f>
        <v>188863.045</v>
      </c>
      <c r="AB874" s="9" t="s">
        <v>14</v>
      </c>
      <c r="AC874" s="19">
        <v>45545</v>
      </c>
      <c r="AD874" s="41"/>
      <c r="AE874" s="42"/>
      <c r="AF874" s="4">
        <f>AD197-H874-T874</f>
        <v>6355.175</v>
      </c>
      <c r="AG874" s="3"/>
      <c r="AH874" s="8"/>
      <c r="AI874" s="4">
        <f>(AE874+AF874)-AH874</f>
        <v>6355.175</v>
      </c>
      <c r="AJ874" s="4">
        <f>AI874+BP873</f>
        <v>-266105.7555</v>
      </c>
      <c r="AK874" s="8"/>
      <c r="AL874" s="8"/>
      <c r="AM874" s="47"/>
      <c r="AN874" s="47"/>
      <c r="AO874" s="8"/>
      <c r="AP874" s="8"/>
      <c r="AQ874" s="47"/>
      <c r="AR874" s="47"/>
      <c r="AS874" s="8"/>
      <c r="AT874" s="8"/>
      <c r="AU874" s="47"/>
      <c r="AV874" s="47"/>
      <c r="AW874" s="8"/>
      <c r="AX874" s="8"/>
      <c r="AY874" s="47"/>
      <c r="AZ874" s="47"/>
      <c r="BA874" s="8"/>
      <c r="BB874" s="8"/>
      <c r="BC874" s="47"/>
      <c r="BD874" s="47"/>
      <c r="BE874" s="8"/>
      <c r="BF874" s="8"/>
      <c r="BG874" s="47"/>
      <c r="BH874" s="47"/>
      <c r="BI874" s="8"/>
      <c r="BJ874" s="3"/>
      <c r="BK874" s="47"/>
      <c r="BL874" s="47"/>
      <c r="BM874" s="46"/>
      <c r="BN874" s="46"/>
      <c r="BO874" s="24">
        <f>AL874+AN874+AP874+AR874+AT874+AV874+AX874+AZ874+BB874+BD874+BF874+BH874+BJ874+BL874</f>
        <v>0</v>
      </c>
      <c r="BP874" s="28">
        <f>AJ874-BO874</f>
        <v>-266105.7555</v>
      </c>
      <c r="BQ874" s="2">
        <v>45545</v>
      </c>
    </row>
    <row r="875" spans="1:73" hidden="true">
      <c r="D875" s="9" t="s">
        <v>15</v>
      </c>
      <c r="E875" s="2">
        <v>45546</v>
      </c>
      <c r="F875" s="38"/>
      <c r="G875" s="51"/>
      <c r="H875" s="4">
        <f>F198*50%</f>
        <v>2281.075</v>
      </c>
      <c r="I875" s="120"/>
      <c r="J875" s="4">
        <f>(G875+H875)-I875</f>
        <v>2281.075</v>
      </c>
      <c r="K875" s="4">
        <f>J875+O874</f>
        <v>54825.77</v>
      </c>
      <c r="L875" s="3"/>
      <c r="M875" s="3"/>
      <c r="N875" s="33">
        <f>I875+M875</f>
        <v>0</v>
      </c>
      <c r="O875" s="28">
        <f>K875-M875</f>
        <v>54825.77</v>
      </c>
      <c r="P875" s="9" t="s">
        <v>15</v>
      </c>
      <c r="Q875" s="2">
        <v>45546</v>
      </c>
      <c r="R875" s="38"/>
      <c r="S875" s="52"/>
      <c r="T875" s="4">
        <f>R198*45%</f>
        <v>3600</v>
      </c>
      <c r="U875" s="5"/>
      <c r="V875" s="4">
        <f>(S875+T875)-U875</f>
        <v>3600</v>
      </c>
      <c r="W875" s="4">
        <f>V875+AA874</f>
        <v>192463.045</v>
      </c>
      <c r="X875" s="3"/>
      <c r="Y875" s="3"/>
      <c r="Z875" s="25">
        <f>U875+Y875</f>
        <v>0</v>
      </c>
      <c r="AA875" s="76">
        <f>W875-Y875</f>
        <v>192463.045</v>
      </c>
      <c r="AB875" s="9" t="s">
        <v>15</v>
      </c>
      <c r="AC875" s="19">
        <v>45546</v>
      </c>
      <c r="AD875" s="41"/>
      <c r="AE875" s="42"/>
      <c r="AF875" s="4">
        <f>AD198-H875-T875</f>
        <v>6681.075</v>
      </c>
      <c r="AG875" s="3"/>
      <c r="AH875" s="8"/>
      <c r="AI875" s="4">
        <f>(AE875+AF875)-AH875</f>
        <v>6681.075</v>
      </c>
      <c r="AJ875" s="4">
        <f>AI875+BP874</f>
        <v>-259424.6805</v>
      </c>
      <c r="AK875" s="8"/>
      <c r="AL875" s="8"/>
      <c r="AM875" s="47"/>
      <c r="AN875" s="47"/>
      <c r="AO875" s="8"/>
      <c r="AP875" s="8"/>
      <c r="AQ875" s="47"/>
      <c r="AR875" s="47"/>
      <c r="AS875" s="8"/>
      <c r="AT875" s="8"/>
      <c r="AU875" s="47"/>
      <c r="AV875" s="47"/>
      <c r="AW875" s="8"/>
      <c r="AX875" s="8"/>
      <c r="AY875" s="47"/>
      <c r="AZ875" s="47"/>
      <c r="BA875" s="8"/>
      <c r="BB875" s="8"/>
      <c r="BC875" s="47"/>
      <c r="BD875" s="47"/>
      <c r="BE875" s="8"/>
      <c r="BF875" s="8"/>
      <c r="BG875" s="47"/>
      <c r="BH875" s="47"/>
      <c r="BI875" s="8"/>
      <c r="BJ875" s="3"/>
      <c r="BK875" s="47"/>
      <c r="BL875" s="47"/>
      <c r="BM875" s="46"/>
      <c r="BN875" s="46"/>
      <c r="BO875" s="24">
        <f>AL875+AN875+AP875+AR875+AT875+AV875+AX875+AZ875+BB875+BD875+BF875+BH875+BJ875+BL875</f>
        <v>0</v>
      </c>
      <c r="BP875" s="28">
        <f>AJ875-BO875</f>
        <v>-259424.6805</v>
      </c>
      <c r="BQ875" s="2">
        <v>45546</v>
      </c>
    </row>
    <row r="876" spans="1:73" hidden="true">
      <c r="D876" s="9" t="s">
        <v>16</v>
      </c>
      <c r="E876" s="2">
        <v>45547</v>
      </c>
      <c r="F876" s="38"/>
      <c r="G876" s="51"/>
      <c r="H876" s="4">
        <f>F199*50%</f>
        <v>1647</v>
      </c>
      <c r="I876" s="120"/>
      <c r="J876" s="4">
        <f>(G876+H876)-I876</f>
        <v>1647</v>
      </c>
      <c r="K876" s="4">
        <f>J876+O875</f>
        <v>56472.77</v>
      </c>
      <c r="L876" s="3"/>
      <c r="M876" s="3"/>
      <c r="N876" s="33">
        <f>I876+M876</f>
        <v>0</v>
      </c>
      <c r="O876" s="28">
        <f>K876-M876</f>
        <v>56472.77</v>
      </c>
      <c r="P876" s="9" t="s">
        <v>16</v>
      </c>
      <c r="Q876" s="2">
        <v>45547</v>
      </c>
      <c r="R876" s="38"/>
      <c r="S876" s="52"/>
      <c r="T876" s="4">
        <f>R199*45%</f>
        <v>3600</v>
      </c>
      <c r="U876" s="5"/>
      <c r="V876" s="4">
        <f>(S876+T876)-U876</f>
        <v>3600</v>
      </c>
      <c r="W876" s="4">
        <f>V876+AA875</f>
        <v>196063.045</v>
      </c>
      <c r="X876" s="3"/>
      <c r="Y876" s="3"/>
      <c r="Z876" s="25">
        <f>U876+Y876</f>
        <v>0</v>
      </c>
      <c r="AA876" s="76">
        <f>W876-Y876</f>
        <v>196063.045</v>
      </c>
      <c r="AB876" s="9" t="s">
        <v>16</v>
      </c>
      <c r="AC876" s="19">
        <v>45547</v>
      </c>
      <c r="AD876" s="41"/>
      <c r="AE876" s="42"/>
      <c r="AF876" s="4">
        <f>AD199-H876-T876</f>
        <v>6047</v>
      </c>
      <c r="AG876" s="3"/>
      <c r="AH876" s="8"/>
      <c r="AI876" s="4">
        <f>(AE876+AF876)-AH876</f>
        <v>6047</v>
      </c>
      <c r="AJ876" s="4">
        <f>AI876+BP875</f>
        <v>-253377.6805</v>
      </c>
      <c r="AK876" s="8"/>
      <c r="AL876" s="8"/>
      <c r="AM876" s="47"/>
      <c r="AN876" s="47"/>
      <c r="AO876" s="8"/>
      <c r="AP876" s="8"/>
      <c r="AQ876" s="47"/>
      <c r="AR876" s="47"/>
      <c r="AS876" s="8"/>
      <c r="AT876" s="8"/>
      <c r="AU876" s="47"/>
      <c r="AV876" s="47"/>
      <c r="AW876" s="8"/>
      <c r="AX876" s="8"/>
      <c r="AY876" s="47"/>
      <c r="AZ876" s="47"/>
      <c r="BA876" s="8"/>
      <c r="BB876" s="8"/>
      <c r="BC876" s="47"/>
      <c r="BD876" s="47"/>
      <c r="BE876" s="8"/>
      <c r="BF876" s="8"/>
      <c r="BG876" s="47"/>
      <c r="BH876" s="47"/>
      <c r="BI876" s="8"/>
      <c r="BJ876" s="3"/>
      <c r="BK876" s="47"/>
      <c r="BL876" s="47"/>
      <c r="BM876" s="46"/>
      <c r="BN876" s="46"/>
      <c r="BO876" s="24">
        <f>AL876+AN876+AP876+AR876+AT876+AV876+AX876+AZ876+BB876+BD876+BF876+BH876+BJ876+BL876</f>
        <v>0</v>
      </c>
      <c r="BP876" s="28">
        <f>AJ876-BO876</f>
        <v>-253377.6805</v>
      </c>
      <c r="BQ876" s="2">
        <v>45547</v>
      </c>
    </row>
    <row r="877" spans="1:73" hidden="true">
      <c r="D877" s="9" t="s">
        <v>10</v>
      </c>
      <c r="E877" s="2">
        <v>45548</v>
      </c>
      <c r="F877" s="38"/>
      <c r="G877" s="51"/>
      <c r="H877" s="4">
        <f>F200*50%</f>
        <v>2451.9</v>
      </c>
      <c r="I877" s="120"/>
      <c r="J877" s="4">
        <f>(G877+H877)-I877</f>
        <v>2451.9</v>
      </c>
      <c r="K877" s="4">
        <f>J877+O876</f>
        <v>58924.67</v>
      </c>
      <c r="L877" s="3"/>
      <c r="M877" s="3"/>
      <c r="N877" s="33">
        <f>I877+M877</f>
        <v>0</v>
      </c>
      <c r="O877" s="28">
        <f>K877-M877</f>
        <v>58924.67</v>
      </c>
      <c r="P877" s="9" t="s">
        <v>10</v>
      </c>
      <c r="Q877" s="2">
        <v>45548</v>
      </c>
      <c r="R877" s="38"/>
      <c r="S877" s="52"/>
      <c r="T877" s="4">
        <f>R200*45%</f>
        <v>3600</v>
      </c>
      <c r="U877" s="5"/>
      <c r="V877" s="4">
        <f>(S877+T877)-U877</f>
        <v>3600</v>
      </c>
      <c r="W877" s="4">
        <f>V877+AA876</f>
        <v>199663.045</v>
      </c>
      <c r="X877" s="3"/>
      <c r="Y877" s="3"/>
      <c r="Z877" s="25">
        <f>U877+Y877</f>
        <v>0</v>
      </c>
      <c r="AA877" s="76">
        <f>W877-Y877</f>
        <v>199663.045</v>
      </c>
      <c r="AB877" s="9" t="s">
        <v>10</v>
      </c>
      <c r="AC877" s="19">
        <v>45548</v>
      </c>
      <c r="AD877" s="41"/>
      <c r="AE877" s="42"/>
      <c r="AF877" s="4">
        <f>AD200-H877-T877</f>
        <v>6851.9</v>
      </c>
      <c r="AG877" s="3"/>
      <c r="AH877" s="8"/>
      <c r="AI877" s="4">
        <f>(AE877+AF877)-AH877</f>
        <v>6851.9</v>
      </c>
      <c r="AJ877" s="4">
        <f>AI877+BP876</f>
        <v>-246525.7805</v>
      </c>
      <c r="AK877" s="8"/>
      <c r="AL877" s="8"/>
      <c r="AM877" s="47"/>
      <c r="AN877" s="47"/>
      <c r="AO877" s="8"/>
      <c r="AP877" s="8"/>
      <c r="AQ877" s="47"/>
      <c r="AR877" s="47"/>
      <c r="AS877" s="8"/>
      <c r="AT877" s="8"/>
      <c r="AU877" s="47"/>
      <c r="AV877" s="47"/>
      <c r="AW877" s="8"/>
      <c r="AX877" s="8"/>
      <c r="AY877" s="47"/>
      <c r="AZ877" s="47"/>
      <c r="BA877" s="8"/>
      <c r="BB877" s="8"/>
      <c r="BC877" s="47"/>
      <c r="BD877" s="47"/>
      <c r="BE877" s="8"/>
      <c r="BF877" s="8"/>
      <c r="BG877" s="47"/>
      <c r="BH877" s="47"/>
      <c r="BI877" s="8"/>
      <c r="BJ877" s="3"/>
      <c r="BK877" s="47"/>
      <c r="BL877" s="47"/>
      <c r="BM877" s="46"/>
      <c r="BN877" s="46"/>
      <c r="BO877" s="24">
        <f>AL877+AN877+AP877+AR877+AT877+AV877+AX877+AZ877+BB877+BD877+BF877+BH877+BJ877+BL877</f>
        <v>0</v>
      </c>
      <c r="BP877" s="28">
        <f>AJ877-BO877</f>
        <v>-246525.7805</v>
      </c>
      <c r="BQ877" s="2">
        <v>45548</v>
      </c>
    </row>
    <row r="878" spans="1:73" hidden="true">
      <c r="D878" s="9" t="s">
        <v>11</v>
      </c>
      <c r="E878" s="2">
        <v>45549</v>
      </c>
      <c r="F878" s="38"/>
      <c r="G878" s="51"/>
      <c r="H878" s="4">
        <f>F201*50%</f>
        <v>2005.6</v>
      </c>
      <c r="I878" s="120"/>
      <c r="J878" s="4">
        <f>(G878+H878)-I878</f>
        <v>2005.6</v>
      </c>
      <c r="K878" s="4">
        <f>J878+O877</f>
        <v>60930.27</v>
      </c>
      <c r="L878" s="3"/>
      <c r="M878" s="3"/>
      <c r="N878" s="33">
        <f>I878+M878</f>
        <v>0</v>
      </c>
      <c r="O878" s="28">
        <f>K878-M878</f>
        <v>60930.27</v>
      </c>
      <c r="P878" s="9" t="s">
        <v>11</v>
      </c>
      <c r="Q878" s="2">
        <v>45549</v>
      </c>
      <c r="R878" s="38"/>
      <c r="S878" s="52"/>
      <c r="T878" s="4">
        <f>R201*45%</f>
        <v>3600</v>
      </c>
      <c r="U878" s="5"/>
      <c r="V878" s="4">
        <f>(S878+T878)-U878</f>
        <v>3600</v>
      </c>
      <c r="W878" s="4">
        <f>V878+AA877</f>
        <v>203263.045</v>
      </c>
      <c r="X878" s="3"/>
      <c r="Y878" s="3"/>
      <c r="Z878" s="25">
        <f>U878+Y878</f>
        <v>0</v>
      </c>
      <c r="AA878" s="76">
        <f>W878-Y878</f>
        <v>203263.045</v>
      </c>
      <c r="AB878" s="9" t="s">
        <v>11</v>
      </c>
      <c r="AC878" s="19">
        <v>45549</v>
      </c>
      <c r="AD878" s="41"/>
      <c r="AE878" s="42"/>
      <c r="AF878" s="4">
        <f>AD201-H878-T878</f>
        <v>6405.6</v>
      </c>
      <c r="AG878" s="3"/>
      <c r="AH878" s="8"/>
      <c r="AI878" s="4">
        <f>(AE878+AF878)-AH878</f>
        <v>6405.6</v>
      </c>
      <c r="AJ878" s="4">
        <f>AI878+BP877</f>
        <v>-240120.1805</v>
      </c>
      <c r="AK878" s="8"/>
      <c r="AL878" s="8"/>
      <c r="AM878" s="47"/>
      <c r="AN878" s="47"/>
      <c r="AO878" s="8"/>
      <c r="AP878" s="8"/>
      <c r="AQ878" s="47"/>
      <c r="AR878" s="47"/>
      <c r="AS878" s="8"/>
      <c r="AT878" s="8"/>
      <c r="AU878" s="47"/>
      <c r="AV878" s="47"/>
      <c r="AW878" s="8"/>
      <c r="AX878" s="8"/>
      <c r="AY878" s="47"/>
      <c r="AZ878" s="47"/>
      <c r="BA878" s="8"/>
      <c r="BB878" s="8"/>
      <c r="BC878" s="47"/>
      <c r="BD878" s="47"/>
      <c r="BE878" s="8"/>
      <c r="BF878" s="8"/>
      <c r="BG878" s="47"/>
      <c r="BH878" s="47"/>
      <c r="BI878" s="8"/>
      <c r="BJ878" s="3"/>
      <c r="BK878" s="47"/>
      <c r="BL878" s="47"/>
      <c r="BM878" s="46"/>
      <c r="BN878" s="46"/>
      <c r="BO878" s="24">
        <f>AL878+AN878+AP878+AR878+AT878+AV878+AX878+AZ878+BB878+BD878+BF878+BH878+BJ878+BL878</f>
        <v>0</v>
      </c>
      <c r="BP878" s="28">
        <f>AJ878-BO878</f>
        <v>-240120.1805</v>
      </c>
      <c r="BQ878" s="2">
        <v>45549</v>
      </c>
    </row>
    <row r="879" spans="1:73" hidden="true">
      <c r="D879" s="9" t="s">
        <v>12</v>
      </c>
      <c r="E879" s="2">
        <v>45550</v>
      </c>
      <c r="F879" s="38"/>
      <c r="G879" s="51"/>
      <c r="H879" s="4">
        <f>F202*50%</f>
        <v>2000.375</v>
      </c>
      <c r="I879" s="120"/>
      <c r="J879" s="4">
        <f>(G879+H879)-I879</f>
        <v>2000.375</v>
      </c>
      <c r="K879" s="4">
        <f>J879+O878</f>
        <v>62930.645</v>
      </c>
      <c r="L879" s="3"/>
      <c r="M879" s="3"/>
      <c r="N879" s="33">
        <f>I879+M879</f>
        <v>0</v>
      </c>
      <c r="O879" s="28">
        <f>K879-M879</f>
        <v>62930.645</v>
      </c>
      <c r="P879" s="9" t="s">
        <v>12</v>
      </c>
      <c r="Q879" s="2">
        <v>45550</v>
      </c>
      <c r="R879" s="38"/>
      <c r="S879" s="52"/>
      <c r="T879" s="4">
        <f>R202*45%</f>
        <v>3600</v>
      </c>
      <c r="U879" s="5"/>
      <c r="V879" s="4">
        <f>(S879+T879)-U879</f>
        <v>3600</v>
      </c>
      <c r="W879" s="4">
        <f>V879+AA878</f>
        <v>206863.045</v>
      </c>
      <c r="X879" s="3"/>
      <c r="Y879" s="3"/>
      <c r="Z879" s="25">
        <f>U879+Y879</f>
        <v>0</v>
      </c>
      <c r="AA879" s="76">
        <f>W879-Y879</f>
        <v>206863.045</v>
      </c>
      <c r="AB879" s="9" t="s">
        <v>12</v>
      </c>
      <c r="AC879" s="19">
        <v>45550</v>
      </c>
      <c r="AD879" s="41"/>
      <c r="AE879" s="42"/>
      <c r="AF879" s="4">
        <f>AD202-H879-T879</f>
        <v>6400.375</v>
      </c>
      <c r="AG879" s="3"/>
      <c r="AH879" s="8"/>
      <c r="AI879" s="4">
        <f>(AE879+AF879)-AH879</f>
        <v>6400.375</v>
      </c>
      <c r="AJ879" s="4">
        <f>AI879+BP878</f>
        <v>-233719.8055</v>
      </c>
      <c r="AK879" s="8"/>
      <c r="AL879" s="8"/>
      <c r="AM879" s="47"/>
      <c r="AN879" s="47"/>
      <c r="AO879" s="8"/>
      <c r="AP879" s="8"/>
      <c r="AQ879" s="47"/>
      <c r="AR879" s="47"/>
      <c r="AS879" s="8"/>
      <c r="AT879" s="8"/>
      <c r="AU879" s="47"/>
      <c r="AV879" s="47"/>
      <c r="AW879" s="8"/>
      <c r="AX879" s="8"/>
      <c r="AY879" s="47"/>
      <c r="AZ879" s="47"/>
      <c r="BA879" s="8"/>
      <c r="BB879" s="8"/>
      <c r="BC879" s="47"/>
      <c r="BD879" s="47"/>
      <c r="BE879" s="8"/>
      <c r="BF879" s="8"/>
      <c r="BG879" s="47"/>
      <c r="BH879" s="47"/>
      <c r="BI879" s="8"/>
      <c r="BJ879" s="3"/>
      <c r="BK879" s="47"/>
      <c r="BL879" s="47"/>
      <c r="BM879" s="46"/>
      <c r="BN879" s="46"/>
      <c r="BO879" s="24">
        <f>AL879+AN879+AP879+AR879+AT879+AV879+AX879+AZ879+BB879+BD879+BF879+BH879+BJ879+BL879</f>
        <v>0</v>
      </c>
      <c r="BP879" s="28">
        <f>AJ879-BO879</f>
        <v>-233719.8055</v>
      </c>
      <c r="BQ879" s="2">
        <v>45550</v>
      </c>
    </row>
    <row r="880" spans="1:73" hidden="true">
      <c r="D880" s="9" t="s">
        <v>13</v>
      </c>
      <c r="E880" s="2">
        <v>45551</v>
      </c>
      <c r="F880" s="38"/>
      <c r="G880" s="51"/>
      <c r="H880" s="4">
        <f>F203*50%</f>
        <v>3451.8</v>
      </c>
      <c r="I880" s="120"/>
      <c r="J880" s="4">
        <f>(G880+H880)-I880</f>
        <v>3451.8</v>
      </c>
      <c r="K880" s="4">
        <f>J880+O879</f>
        <v>66382.445</v>
      </c>
      <c r="L880" s="3"/>
      <c r="M880" s="3"/>
      <c r="N880" s="33">
        <f>I880+M880</f>
        <v>0</v>
      </c>
      <c r="O880" s="28">
        <f>K880-M880</f>
        <v>66382.445</v>
      </c>
      <c r="P880" s="9" t="s">
        <v>13</v>
      </c>
      <c r="Q880" s="2">
        <v>45551</v>
      </c>
      <c r="R880" s="38"/>
      <c r="S880" s="52"/>
      <c r="T880" s="4">
        <f>R203*45%</f>
        <v>3600</v>
      </c>
      <c r="U880" s="5"/>
      <c r="V880" s="4">
        <f>(S880+T880)-U880</f>
        <v>3600</v>
      </c>
      <c r="W880" s="4">
        <f>V880+AA879</f>
        <v>210463.045</v>
      </c>
      <c r="X880" s="3"/>
      <c r="Y880" s="3"/>
      <c r="Z880" s="25">
        <f>U880+Y880</f>
        <v>0</v>
      </c>
      <c r="AA880" s="76">
        <f>W880-Y880</f>
        <v>210463.045</v>
      </c>
      <c r="AB880" s="9" t="s">
        <v>13</v>
      </c>
      <c r="AC880" s="19">
        <v>45551</v>
      </c>
      <c r="AD880" s="41"/>
      <c r="AE880" s="42"/>
      <c r="AF880" s="4">
        <f>AD203-H880-T880</f>
        <v>7851.8</v>
      </c>
      <c r="AG880" s="3"/>
      <c r="AH880" s="8"/>
      <c r="AI880" s="4">
        <f>(AE880+AF880)-AH880</f>
        <v>7851.8</v>
      </c>
      <c r="AJ880" s="4">
        <f>AI880+BP879</f>
        <v>-225868.0055</v>
      </c>
      <c r="AK880" s="8"/>
      <c r="AL880" s="8"/>
      <c r="AM880" s="47"/>
      <c r="AN880" s="47"/>
      <c r="AO880" s="8"/>
      <c r="AP880" s="8"/>
      <c r="AQ880" s="47"/>
      <c r="AR880" s="47"/>
      <c r="AS880" s="8"/>
      <c r="AT880" s="8"/>
      <c r="AU880" s="47"/>
      <c r="AV880" s="47"/>
      <c r="AW880" s="8"/>
      <c r="AX880" s="8"/>
      <c r="AY880" s="47"/>
      <c r="AZ880" s="47"/>
      <c r="BA880" s="8"/>
      <c r="BB880" s="8"/>
      <c r="BC880" s="47"/>
      <c r="BD880" s="47"/>
      <c r="BE880" s="8"/>
      <c r="BF880" s="8"/>
      <c r="BG880" s="47"/>
      <c r="BH880" s="47"/>
      <c r="BI880" s="8"/>
      <c r="BJ880" s="3"/>
      <c r="BK880" s="47"/>
      <c r="BL880" s="47"/>
      <c r="BM880" s="46"/>
      <c r="BN880" s="46"/>
      <c r="BO880" s="24">
        <f>AL880+AN880+AP880+AR880+AT880+AV880+AX880+AZ880+BB880+BD880+BF880+BH880+BJ880+BL880</f>
        <v>0</v>
      </c>
      <c r="BP880" s="28">
        <f>AJ880-BO880</f>
        <v>-225868.0055</v>
      </c>
      <c r="BQ880" s="2">
        <v>45551</v>
      </c>
    </row>
    <row r="881" spans="1:73" hidden="true">
      <c r="D881" s="9" t="s">
        <v>14</v>
      </c>
      <c r="E881" s="2">
        <v>45552</v>
      </c>
      <c r="F881" s="38"/>
      <c r="G881" s="51"/>
      <c r="H881" s="4">
        <f>F204*50%</f>
        <v>2606</v>
      </c>
      <c r="I881" s="120"/>
      <c r="J881" s="4">
        <f>(G881+H881)-I881</f>
        <v>2606</v>
      </c>
      <c r="K881" s="4">
        <f>J881+O880</f>
        <v>68988.445</v>
      </c>
      <c r="L881" s="3"/>
      <c r="M881" s="3"/>
      <c r="N881" s="33">
        <f>I881+M881</f>
        <v>0</v>
      </c>
      <c r="O881" s="28">
        <f>K881-M881</f>
        <v>68988.445</v>
      </c>
      <c r="P881" s="9" t="s">
        <v>14</v>
      </c>
      <c r="Q881" s="2">
        <v>45552</v>
      </c>
      <c r="R881" s="38"/>
      <c r="S881" s="52"/>
      <c r="T881" s="4">
        <f>R204*45%</f>
        <v>3600</v>
      </c>
      <c r="U881" s="5"/>
      <c r="V881" s="4">
        <f>(S881+T881)-U881</f>
        <v>3600</v>
      </c>
      <c r="W881" s="4">
        <f>V881+AA880</f>
        <v>214063.045</v>
      </c>
      <c r="X881" s="3"/>
      <c r="Y881" s="3"/>
      <c r="Z881" s="25">
        <f>U881+Y881</f>
        <v>0</v>
      </c>
      <c r="AA881" s="76">
        <f>W881-Y881</f>
        <v>214063.045</v>
      </c>
      <c r="AB881" s="9" t="s">
        <v>14</v>
      </c>
      <c r="AC881" s="19">
        <v>45552</v>
      </c>
      <c r="AD881" s="41"/>
      <c r="AE881" s="42"/>
      <c r="AF881" s="4">
        <f>AD204-H881-T881</f>
        <v>7006</v>
      </c>
      <c r="AG881" s="3"/>
      <c r="AH881" s="8"/>
      <c r="AI881" s="4">
        <f>(AE881+AF881)-AH881</f>
        <v>7006</v>
      </c>
      <c r="AJ881" s="4">
        <f>AI881+BP880</f>
        <v>-218862.0055</v>
      </c>
      <c r="AK881" s="8"/>
      <c r="AL881" s="8"/>
      <c r="AM881" s="47"/>
      <c r="AN881" s="47"/>
      <c r="AO881" s="8"/>
      <c r="AP881" s="8"/>
      <c r="AQ881" s="47"/>
      <c r="AR881" s="47"/>
      <c r="AS881" s="8"/>
      <c r="AT881" s="8"/>
      <c r="AU881" s="47"/>
      <c r="AV881" s="47"/>
      <c r="AW881" s="8"/>
      <c r="AX881" s="8"/>
      <c r="AY881" s="47"/>
      <c r="AZ881" s="47"/>
      <c r="BA881" s="8"/>
      <c r="BB881" s="8"/>
      <c r="BC881" s="47"/>
      <c r="BD881" s="47"/>
      <c r="BE881" s="8"/>
      <c r="BF881" s="8"/>
      <c r="BG881" s="47"/>
      <c r="BH881" s="47"/>
      <c r="BI881" s="8"/>
      <c r="BJ881" s="3"/>
      <c r="BK881" s="47"/>
      <c r="BL881" s="47"/>
      <c r="BM881" s="46"/>
      <c r="BN881" s="46"/>
      <c r="BO881" s="24">
        <f>AL881+AN881+AP881+AR881+AT881+AV881+AX881+AZ881+BB881+BD881+BF881+BH881+BJ881+BL881</f>
        <v>0</v>
      </c>
      <c r="BP881" s="28">
        <f>AJ881-BO881</f>
        <v>-218862.0055</v>
      </c>
      <c r="BQ881" s="2">
        <v>45552</v>
      </c>
    </row>
    <row r="882" spans="1:73" hidden="true">
      <c r="D882" s="9" t="s">
        <v>15</v>
      </c>
      <c r="E882" s="2">
        <v>45553</v>
      </c>
      <c r="F882" s="38"/>
      <c r="G882" s="51"/>
      <c r="H882" s="4">
        <f>F205*50%</f>
        <v>2038.7</v>
      </c>
      <c r="I882" s="120"/>
      <c r="J882" s="4">
        <f>(G882+H882)-I882</f>
        <v>2038.7</v>
      </c>
      <c r="K882" s="4">
        <f>J882+O881</f>
        <v>71027.145</v>
      </c>
      <c r="L882" s="3"/>
      <c r="M882" s="3"/>
      <c r="N882" s="33">
        <f>I882+M882</f>
        <v>0</v>
      </c>
      <c r="O882" s="28">
        <f>K882-M882</f>
        <v>71027.145</v>
      </c>
      <c r="P882" s="9" t="s">
        <v>15</v>
      </c>
      <c r="Q882" s="2">
        <v>45553</v>
      </c>
      <c r="R882" s="38"/>
      <c r="S882" s="52"/>
      <c r="T882" s="4">
        <f>R205*45%</f>
        <v>3600</v>
      </c>
      <c r="U882" s="5"/>
      <c r="V882" s="4">
        <f>(S882+T882)-U882</f>
        <v>3600</v>
      </c>
      <c r="W882" s="4">
        <f>V882+AA881</f>
        <v>217663.045</v>
      </c>
      <c r="X882" s="3"/>
      <c r="Y882" s="3"/>
      <c r="Z882" s="25">
        <f>U882+Y882</f>
        <v>0</v>
      </c>
      <c r="AA882" s="76">
        <f>W882-Y882</f>
        <v>217663.045</v>
      </c>
      <c r="AB882" s="9" t="s">
        <v>15</v>
      </c>
      <c r="AC882" s="19">
        <v>45553</v>
      </c>
      <c r="AD882" s="41"/>
      <c r="AE882" s="42"/>
      <c r="AF882" s="4">
        <f>AD205-H882-T882</f>
        <v>6438.7</v>
      </c>
      <c r="AG882" s="3"/>
      <c r="AH882" s="8"/>
      <c r="AI882" s="4">
        <f>(AE882+AF882)-AH882</f>
        <v>6438.7</v>
      </c>
      <c r="AJ882" s="4">
        <f>AI882+BP881</f>
        <v>-212423.3055</v>
      </c>
      <c r="AK882" s="8"/>
      <c r="AL882" s="8"/>
      <c r="AM882" s="47"/>
      <c r="AN882" s="47"/>
      <c r="AO882" s="8"/>
      <c r="AP882" s="8"/>
      <c r="AQ882" s="47"/>
      <c r="AR882" s="47"/>
      <c r="AS882" s="8"/>
      <c r="AT882" s="8"/>
      <c r="AU882" s="47"/>
      <c r="AV882" s="47"/>
      <c r="AW882" s="8"/>
      <c r="AX882" s="8"/>
      <c r="AY882" s="47"/>
      <c r="AZ882" s="47"/>
      <c r="BA882" s="8"/>
      <c r="BB882" s="8"/>
      <c r="BC882" s="47"/>
      <c r="BD882" s="47"/>
      <c r="BE882" s="8"/>
      <c r="BF882" s="8"/>
      <c r="BG882" s="47"/>
      <c r="BH882" s="47"/>
      <c r="BI882" s="8"/>
      <c r="BJ882" s="3"/>
      <c r="BK882" s="47"/>
      <c r="BL882" s="47"/>
      <c r="BM882" s="46"/>
      <c r="BN882" s="46"/>
      <c r="BO882" s="24">
        <f>AL882+AN882+AP882+AR882+AT882+AV882+AX882+AZ882+BB882+BD882+BF882+BH882+BJ882+BL882</f>
        <v>0</v>
      </c>
      <c r="BP882" s="28">
        <f>AJ882-BO882</f>
        <v>-212423.3055</v>
      </c>
      <c r="BQ882" s="2">
        <v>45553</v>
      </c>
    </row>
    <row r="883" spans="1:73" hidden="true">
      <c r="D883" s="9" t="s">
        <v>16</v>
      </c>
      <c r="E883" s="2">
        <v>45554</v>
      </c>
      <c r="F883" s="38"/>
      <c r="G883" s="51"/>
      <c r="H883" s="4">
        <f>F206*50%</f>
        <v>1601.575</v>
      </c>
      <c r="I883" s="120"/>
      <c r="J883" s="4">
        <f>(G883+H883)-I883</f>
        <v>1601.575</v>
      </c>
      <c r="K883" s="4">
        <f>J883+O882</f>
        <v>72628.72</v>
      </c>
      <c r="L883" s="3"/>
      <c r="M883" s="3"/>
      <c r="N883" s="33">
        <f>I883+M883</f>
        <v>0</v>
      </c>
      <c r="O883" s="28">
        <f>K883-M883</f>
        <v>72628.72</v>
      </c>
      <c r="P883" s="9" t="s">
        <v>16</v>
      </c>
      <c r="Q883" s="2">
        <v>45554</v>
      </c>
      <c r="R883" s="38"/>
      <c r="S883" s="52"/>
      <c r="T883" s="4">
        <f>R206*45%</f>
        <v>3600</v>
      </c>
      <c r="U883" s="5"/>
      <c r="V883" s="4">
        <f>(S883+T883)-U883</f>
        <v>3600</v>
      </c>
      <c r="W883" s="4">
        <f>V883+AA882</f>
        <v>221263.045</v>
      </c>
      <c r="X883" s="3"/>
      <c r="Y883" s="3"/>
      <c r="Z883" s="25">
        <f>U883+Y883</f>
        <v>0</v>
      </c>
      <c r="AA883" s="76">
        <f>W883-Y883</f>
        <v>221263.045</v>
      </c>
      <c r="AB883" s="9" t="s">
        <v>16</v>
      </c>
      <c r="AC883" s="19">
        <v>45554</v>
      </c>
      <c r="AD883" s="41"/>
      <c r="AE883" s="42"/>
      <c r="AF883" s="4">
        <f>AD206-H883-T883</f>
        <v>6001.575</v>
      </c>
      <c r="AG883" s="3"/>
      <c r="AH883" s="8"/>
      <c r="AI883" s="4">
        <f>(AE883+AF883)-AH883</f>
        <v>6001.575</v>
      </c>
      <c r="AJ883" s="4">
        <f>AI883+BP882</f>
        <v>-206421.7305</v>
      </c>
      <c r="AK883" s="8"/>
      <c r="AL883" s="8"/>
      <c r="AM883" s="47"/>
      <c r="AN883" s="47"/>
      <c r="AO883" s="8"/>
      <c r="AP883" s="8"/>
      <c r="AQ883" s="47"/>
      <c r="AR883" s="47"/>
      <c r="AS883" s="8"/>
      <c r="AT883" s="8"/>
      <c r="AU883" s="47"/>
      <c r="AV883" s="47"/>
      <c r="AW883" s="8"/>
      <c r="AX883" s="8"/>
      <c r="AY883" s="47"/>
      <c r="AZ883" s="47"/>
      <c r="BA883" s="8"/>
      <c r="BB883" s="8"/>
      <c r="BC883" s="47"/>
      <c r="BD883" s="47"/>
      <c r="BE883" s="8"/>
      <c r="BF883" s="8"/>
      <c r="BG883" s="47"/>
      <c r="BH883" s="47"/>
      <c r="BI883" s="8"/>
      <c r="BJ883" s="3"/>
      <c r="BK883" s="47"/>
      <c r="BL883" s="47"/>
      <c r="BM883" s="46"/>
      <c r="BN883" s="46"/>
      <c r="BO883" s="24">
        <f>AL883+AN883+AP883+AR883+AT883+AV883+AX883+AZ883+BB883+BD883+BF883+BH883+BJ883+BL883</f>
        <v>0</v>
      </c>
      <c r="BP883" s="28">
        <f>AJ883-BO883</f>
        <v>-206421.7305</v>
      </c>
      <c r="BQ883" s="2">
        <v>45554</v>
      </c>
    </row>
    <row r="884" spans="1:73" hidden="true">
      <c r="D884" s="9" t="s">
        <v>10</v>
      </c>
      <c r="E884" s="2">
        <v>45555</v>
      </c>
      <c r="F884" s="38"/>
      <c r="G884" s="51"/>
      <c r="H884" s="4">
        <f>F207*50%</f>
        <v>3141</v>
      </c>
      <c r="I884" s="120"/>
      <c r="J884" s="4">
        <f>(G884+H884)-I884</f>
        <v>3141</v>
      </c>
      <c r="K884" s="4">
        <f>J884+O883</f>
        <v>75769.72</v>
      </c>
      <c r="L884" s="3"/>
      <c r="M884" s="3"/>
      <c r="N884" s="33">
        <f>I884+M884</f>
        <v>0</v>
      </c>
      <c r="O884" s="28">
        <f>K884-M884</f>
        <v>75769.72</v>
      </c>
      <c r="P884" s="9" t="s">
        <v>10</v>
      </c>
      <c r="Q884" s="2">
        <v>45555</v>
      </c>
      <c r="R884" s="38"/>
      <c r="S884" s="52"/>
      <c r="T884" s="4">
        <f>R207*45%</f>
        <v>3600</v>
      </c>
      <c r="U884" s="5"/>
      <c r="V884" s="4">
        <f>(S884+T884)-U884</f>
        <v>3600</v>
      </c>
      <c r="W884" s="4">
        <f>V884+AA883</f>
        <v>224863.045</v>
      </c>
      <c r="X884" s="3"/>
      <c r="Y884" s="3"/>
      <c r="Z884" s="25">
        <f>U884+Y884</f>
        <v>0</v>
      </c>
      <c r="AA884" s="76">
        <f>W884-Y884</f>
        <v>224863.045</v>
      </c>
      <c r="AB884" s="9" t="s">
        <v>10</v>
      </c>
      <c r="AC884" s="19">
        <v>45555</v>
      </c>
      <c r="AD884" s="41"/>
      <c r="AE884" s="42"/>
      <c r="AF884" s="4">
        <f>AD207-H884-T884</f>
        <v>7541</v>
      </c>
      <c r="AG884" s="3"/>
      <c r="AH884" s="8"/>
      <c r="AI884" s="4">
        <f>(AE884+AF884)-AH884</f>
        <v>7541</v>
      </c>
      <c r="AJ884" s="4">
        <f>AI884+BP883</f>
        <v>-198880.7305</v>
      </c>
      <c r="AK884" s="8"/>
      <c r="AL884" s="8"/>
      <c r="AM884" s="47"/>
      <c r="AN884" s="47"/>
      <c r="AO884" s="8"/>
      <c r="AP884" s="8"/>
      <c r="AQ884" s="47"/>
      <c r="AR884" s="47"/>
      <c r="AS884" s="8"/>
      <c r="AT884" s="8"/>
      <c r="AU884" s="47"/>
      <c r="AV884" s="47"/>
      <c r="AW884" s="8"/>
      <c r="AX884" s="8"/>
      <c r="AY884" s="47"/>
      <c r="AZ884" s="47"/>
      <c r="BA884" s="8"/>
      <c r="BB884" s="8"/>
      <c r="BC884" s="47"/>
      <c r="BD884" s="47"/>
      <c r="BE884" s="8"/>
      <c r="BF884" s="8"/>
      <c r="BG884" s="47"/>
      <c r="BH884" s="47"/>
      <c r="BI884" s="8"/>
      <c r="BJ884" s="3"/>
      <c r="BK884" s="47"/>
      <c r="BL884" s="47"/>
      <c r="BM884" s="46"/>
      <c r="BN884" s="46"/>
      <c r="BO884" s="24">
        <f>AL884+AN884+AP884+AR884+AT884+AV884+AX884+AZ884+BB884+BD884+BF884+BH884+BJ884+BL884</f>
        <v>0</v>
      </c>
      <c r="BP884" s="28">
        <f>AJ884-BO884</f>
        <v>-198880.7305</v>
      </c>
      <c r="BQ884" s="2">
        <v>45555</v>
      </c>
    </row>
    <row r="885" spans="1:73" hidden="true">
      <c r="D885" s="9" t="s">
        <v>11</v>
      </c>
      <c r="E885" s="2">
        <v>45556</v>
      </c>
      <c r="F885" s="38"/>
      <c r="G885" s="51"/>
      <c r="H885" s="4">
        <f>F208*50%</f>
        <v>2503.575</v>
      </c>
      <c r="I885" s="120"/>
      <c r="J885" s="4">
        <f>(G885+H885)-I885</f>
        <v>2503.575</v>
      </c>
      <c r="K885" s="4">
        <f>J885+O884</f>
        <v>78273.295</v>
      </c>
      <c r="L885" s="3"/>
      <c r="M885" s="3"/>
      <c r="N885" s="33">
        <f>I885+M885</f>
        <v>0</v>
      </c>
      <c r="O885" s="28">
        <f>K885-M885</f>
        <v>78273.295</v>
      </c>
      <c r="P885" s="9" t="s">
        <v>11</v>
      </c>
      <c r="Q885" s="2">
        <v>45556</v>
      </c>
      <c r="R885" s="38"/>
      <c r="S885" s="52"/>
      <c r="T885" s="4">
        <f>R208*45%</f>
        <v>3600</v>
      </c>
      <c r="U885" s="5"/>
      <c r="V885" s="4">
        <f>(S885+T885)-U885</f>
        <v>3600</v>
      </c>
      <c r="W885" s="4">
        <f>V885+AA884</f>
        <v>228463.045</v>
      </c>
      <c r="X885" s="3"/>
      <c r="Y885" s="3"/>
      <c r="Z885" s="25">
        <f>U885+Y885</f>
        <v>0</v>
      </c>
      <c r="AA885" s="76">
        <f>W885-Y885</f>
        <v>228463.045</v>
      </c>
      <c r="AB885" s="9" t="s">
        <v>11</v>
      </c>
      <c r="AC885" s="19">
        <v>45556</v>
      </c>
      <c r="AD885" s="41"/>
      <c r="AE885" s="42"/>
      <c r="AF885" s="4">
        <f>AD208-H885-T885</f>
        <v>6903.575</v>
      </c>
      <c r="AG885" s="3"/>
      <c r="AH885" s="8"/>
      <c r="AI885" s="4">
        <f>(AE885+AF885)-AH885</f>
        <v>6903.575</v>
      </c>
      <c r="AJ885" s="4">
        <f>AI885+BP884</f>
        <v>-191977.1555</v>
      </c>
      <c r="AK885" s="8"/>
      <c r="AL885" s="8"/>
      <c r="AM885" s="47"/>
      <c r="AN885" s="47"/>
      <c r="AO885" s="8"/>
      <c r="AP885" s="8"/>
      <c r="AQ885" s="47"/>
      <c r="AR885" s="47"/>
      <c r="AS885" s="8"/>
      <c r="AT885" s="8"/>
      <c r="AU885" s="47"/>
      <c r="AV885" s="47"/>
      <c r="AW885" s="8"/>
      <c r="AX885" s="8"/>
      <c r="AY885" s="47"/>
      <c r="AZ885" s="47"/>
      <c r="BA885" s="8"/>
      <c r="BB885" s="8"/>
      <c r="BC885" s="47"/>
      <c r="BD885" s="47"/>
      <c r="BE885" s="8"/>
      <c r="BF885" s="8"/>
      <c r="BG885" s="47"/>
      <c r="BH885" s="47"/>
      <c r="BI885" s="8"/>
      <c r="BJ885" s="3"/>
      <c r="BK885" s="47"/>
      <c r="BL885" s="47"/>
      <c r="BM885" s="46"/>
      <c r="BN885" s="46"/>
      <c r="BO885" s="24">
        <f>AL885+AN885+AP885+AR885+AT885+AV885+AX885+AZ885+BB885+BD885+BF885+BH885+BJ885+BL885</f>
        <v>0</v>
      </c>
      <c r="BP885" s="28">
        <f>AJ885-BO885</f>
        <v>-191977.1555</v>
      </c>
      <c r="BQ885" s="2">
        <v>45556</v>
      </c>
    </row>
    <row r="886" spans="1:73" hidden="true">
      <c r="D886" s="9" t="s">
        <v>12</v>
      </c>
      <c r="E886" s="2">
        <v>45557</v>
      </c>
      <c r="F886" s="38"/>
      <c r="G886" s="51"/>
      <c r="H886" s="4">
        <f>F209*50%</f>
        <v>3415.05</v>
      </c>
      <c r="I886" s="120"/>
      <c r="J886" s="4">
        <f>(G886+H886)-I886</f>
        <v>3415.05</v>
      </c>
      <c r="K886" s="4">
        <f>J886+O885</f>
        <v>81688.345</v>
      </c>
      <c r="L886" s="3"/>
      <c r="M886" s="3"/>
      <c r="N886" s="33">
        <f>I886+M886</f>
        <v>0</v>
      </c>
      <c r="O886" s="28">
        <f>K886-M886</f>
        <v>81688.345</v>
      </c>
      <c r="P886" s="9" t="s">
        <v>12</v>
      </c>
      <c r="Q886" s="2">
        <v>45557</v>
      </c>
      <c r="R886" s="38"/>
      <c r="S886" s="52"/>
      <c r="T886" s="4">
        <f>R209*45%</f>
        <v>3600</v>
      </c>
      <c r="U886" s="5"/>
      <c r="V886" s="4">
        <f>(S886+T886)-U886</f>
        <v>3600</v>
      </c>
      <c r="W886" s="4">
        <f>V886+AA885</f>
        <v>232063.045</v>
      </c>
      <c r="X886" s="3"/>
      <c r="Y886" s="3"/>
      <c r="Z886" s="25">
        <f>U886+Y886</f>
        <v>0</v>
      </c>
      <c r="AA886" s="76">
        <f>W886-Y886</f>
        <v>232063.045</v>
      </c>
      <c r="AB886" s="9" t="s">
        <v>12</v>
      </c>
      <c r="AC886" s="19">
        <v>45557</v>
      </c>
      <c r="AD886" s="41"/>
      <c r="AE886" s="42"/>
      <c r="AF886" s="4">
        <f>AD209-H886-T886</f>
        <v>7815.05</v>
      </c>
      <c r="AG886" s="3"/>
      <c r="AH886" s="8"/>
      <c r="AI886" s="4">
        <f>(AE886+AF886)-AH886</f>
        <v>7815.05</v>
      </c>
      <c r="AJ886" s="4">
        <f>AI886+BP885</f>
        <v>-184162.1055</v>
      </c>
      <c r="AK886" s="8"/>
      <c r="AL886" s="8"/>
      <c r="AM886" s="47"/>
      <c r="AN886" s="47"/>
      <c r="AO886" s="8"/>
      <c r="AP886" s="8"/>
      <c r="AQ886" s="47"/>
      <c r="AR886" s="47"/>
      <c r="AS886" s="8"/>
      <c r="AT886" s="8"/>
      <c r="AU886" s="47"/>
      <c r="AV886" s="47"/>
      <c r="AW886" s="8"/>
      <c r="AX886" s="8"/>
      <c r="AY886" s="47"/>
      <c r="AZ886" s="47"/>
      <c r="BA886" s="8"/>
      <c r="BB886" s="8"/>
      <c r="BC886" s="47"/>
      <c r="BD886" s="47"/>
      <c r="BE886" s="8"/>
      <c r="BF886" s="8"/>
      <c r="BG886" s="47"/>
      <c r="BH886" s="47"/>
      <c r="BI886" s="8"/>
      <c r="BJ886" s="3"/>
      <c r="BK886" s="47"/>
      <c r="BL886" s="47"/>
      <c r="BM886" s="46"/>
      <c r="BN886" s="46"/>
      <c r="BO886" s="24">
        <f>AL886+AN886+AP886+AR886+AT886+AV886+AX886+AZ886+BB886+BD886+BF886+BH886+BJ886+BL886</f>
        <v>0</v>
      </c>
      <c r="BP886" s="28">
        <f>AJ886-BO886</f>
        <v>-184162.1055</v>
      </c>
      <c r="BQ886" s="2">
        <v>45557</v>
      </c>
    </row>
    <row r="887" spans="1:73" hidden="true">
      <c r="D887" s="9" t="s">
        <v>13</v>
      </c>
      <c r="E887" s="2">
        <v>45558</v>
      </c>
      <c r="F887" s="38"/>
      <c r="G887" s="51"/>
      <c r="H887" s="4">
        <f>F210*50%</f>
        <v>2097.425</v>
      </c>
      <c r="I887" s="120"/>
      <c r="J887" s="4">
        <f>(G887+H887)-I887</f>
        <v>2097.425</v>
      </c>
      <c r="K887" s="4">
        <f>J887+O886</f>
        <v>83785.77</v>
      </c>
      <c r="L887" s="3"/>
      <c r="M887" s="3"/>
      <c r="N887" s="33">
        <f>I887+M887</f>
        <v>0</v>
      </c>
      <c r="O887" s="28">
        <f>K887-M887</f>
        <v>83785.77</v>
      </c>
      <c r="P887" s="9" t="s">
        <v>13</v>
      </c>
      <c r="Q887" s="2">
        <v>45558</v>
      </c>
      <c r="R887" s="38"/>
      <c r="S887" s="52"/>
      <c r="T887" s="4">
        <f>R210*45%</f>
        <v>3600</v>
      </c>
      <c r="U887" s="5"/>
      <c r="V887" s="4">
        <f>(S887+T887)-U887</f>
        <v>3600</v>
      </c>
      <c r="W887" s="4">
        <f>V887+AA886</f>
        <v>235663.045</v>
      </c>
      <c r="X887" s="3"/>
      <c r="Y887" s="3"/>
      <c r="Z887" s="25">
        <f>U887+Y887</f>
        <v>0</v>
      </c>
      <c r="AA887" s="76">
        <f>W887-Y887</f>
        <v>235663.045</v>
      </c>
      <c r="AB887" s="9" t="s">
        <v>13</v>
      </c>
      <c r="AC887" s="19">
        <v>45558</v>
      </c>
      <c r="AD887" s="41"/>
      <c r="AE887" s="42"/>
      <c r="AF887" s="4">
        <f>AD210-H887-T887</f>
        <v>6497.425</v>
      </c>
      <c r="AG887" s="3"/>
      <c r="AH887" s="8"/>
      <c r="AI887" s="4">
        <f>(AE887+AF887)-AH887</f>
        <v>6497.425</v>
      </c>
      <c r="AJ887" s="4">
        <f>AI887+BP886</f>
        <v>-177664.6805</v>
      </c>
      <c r="AK887" s="8"/>
      <c r="AL887" s="8"/>
      <c r="AM887" s="47"/>
      <c r="AN887" s="47"/>
      <c r="AO887" s="8"/>
      <c r="AP887" s="8"/>
      <c r="AQ887" s="47"/>
      <c r="AR887" s="47"/>
      <c r="AS887" s="8"/>
      <c r="AT887" s="8"/>
      <c r="AU887" s="47"/>
      <c r="AV887" s="47"/>
      <c r="AW887" s="8"/>
      <c r="AX887" s="8"/>
      <c r="AY887" s="47"/>
      <c r="AZ887" s="47"/>
      <c r="BA887" s="8"/>
      <c r="BB887" s="8"/>
      <c r="BC887" s="47"/>
      <c r="BD887" s="47"/>
      <c r="BE887" s="8"/>
      <c r="BF887" s="8"/>
      <c r="BG887" s="47"/>
      <c r="BH887" s="47"/>
      <c r="BI887" s="8"/>
      <c r="BJ887" s="3"/>
      <c r="BK887" s="47"/>
      <c r="BL887" s="47"/>
      <c r="BM887" s="46"/>
      <c r="BN887" s="46"/>
      <c r="BO887" s="24">
        <f>AL887+AN887+AP887+AR887+AT887+AV887+AX887+AZ887+BB887+BD887+BF887+BH887+BJ887+BL887</f>
        <v>0</v>
      </c>
      <c r="BP887" s="28">
        <f>AJ887-BO887</f>
        <v>-177664.6805</v>
      </c>
      <c r="BQ887" s="2">
        <v>45558</v>
      </c>
    </row>
    <row r="888" spans="1:73" hidden="true">
      <c r="D888" s="9" t="s">
        <v>14</v>
      </c>
      <c r="E888" s="2">
        <v>45559</v>
      </c>
      <c r="F888" s="38"/>
      <c r="G888" s="51"/>
      <c r="H888" s="4">
        <f>F211*50%</f>
        <v>1827.075</v>
      </c>
      <c r="I888" s="120"/>
      <c r="J888" s="4">
        <f>(G888+H888)-I888</f>
        <v>1827.075</v>
      </c>
      <c r="K888" s="4">
        <f>J888+O887</f>
        <v>85612.845</v>
      </c>
      <c r="L888" s="3"/>
      <c r="M888" s="3"/>
      <c r="N888" s="33">
        <f>I888+M888</f>
        <v>0</v>
      </c>
      <c r="O888" s="28">
        <f>K888-M888</f>
        <v>85612.845</v>
      </c>
      <c r="P888" s="9" t="s">
        <v>14</v>
      </c>
      <c r="Q888" s="2">
        <v>45559</v>
      </c>
      <c r="R888" s="38"/>
      <c r="S888" s="52"/>
      <c r="T888" s="4">
        <f>R211*45%</f>
        <v>3600</v>
      </c>
      <c r="U888" s="5"/>
      <c r="V888" s="4">
        <f>(S888+T888)-U888</f>
        <v>3600</v>
      </c>
      <c r="W888" s="4">
        <f>V888+AA887</f>
        <v>239263.045</v>
      </c>
      <c r="X888" s="3"/>
      <c r="Y888" s="3"/>
      <c r="Z888" s="25">
        <f>U888+Y888</f>
        <v>0</v>
      </c>
      <c r="AA888" s="76">
        <f>W888-Y888</f>
        <v>239263.045</v>
      </c>
      <c r="AB888" s="9" t="s">
        <v>14</v>
      </c>
      <c r="AC888" s="19">
        <v>45559</v>
      </c>
      <c r="AD888" s="41"/>
      <c r="AE888" s="42"/>
      <c r="AF888" s="4">
        <f>AD211-H888-T888</f>
        <v>6227.075</v>
      </c>
      <c r="AG888" s="3"/>
      <c r="AH888" s="8"/>
      <c r="AI888" s="4">
        <f>(AE888+AF888)-AH888</f>
        <v>6227.075</v>
      </c>
      <c r="AJ888" s="4">
        <f>AI888+BP887</f>
        <v>-171437.6055</v>
      </c>
      <c r="AK888" s="8"/>
      <c r="AL888" s="8"/>
      <c r="AM888" s="48"/>
      <c r="AN888" s="47"/>
      <c r="AO888" s="8"/>
      <c r="AP888" s="8"/>
      <c r="AQ888" s="47"/>
      <c r="AR888" s="47"/>
      <c r="AS888" s="8"/>
      <c r="AT888" s="8"/>
      <c r="AU888" s="47"/>
      <c r="AV888" s="47"/>
      <c r="AW888" s="8"/>
      <c r="AX888" s="8"/>
      <c r="AY888" s="47"/>
      <c r="AZ888" s="47"/>
      <c r="BA888" s="8"/>
      <c r="BB888" s="8"/>
      <c r="BC888" s="47"/>
      <c r="BD888" s="47"/>
      <c r="BE888" s="8"/>
      <c r="BF888" s="8"/>
      <c r="BG888" s="47"/>
      <c r="BH888" s="47"/>
      <c r="BI888" s="8"/>
      <c r="BJ888" s="3"/>
      <c r="BK888" s="47"/>
      <c r="BL888" s="47"/>
      <c r="BM888" s="46"/>
      <c r="BN888" s="46"/>
      <c r="BO888" s="24">
        <f>AL888+AN888+AP888+AR888+AT888+AV888+AX888+AZ888+BB888+BD888+BF888+BH888+BJ888+BL888</f>
        <v>0</v>
      </c>
      <c r="BP888" s="28">
        <f>AJ888-BO888</f>
        <v>-171437.6055</v>
      </c>
      <c r="BQ888" s="2">
        <v>45559</v>
      </c>
    </row>
    <row r="889" spans="1:73" hidden="true">
      <c r="D889" s="9" t="s">
        <v>15</v>
      </c>
      <c r="E889" s="2">
        <v>45560</v>
      </c>
      <c r="F889" s="38"/>
      <c r="G889" s="51"/>
      <c r="H889" s="4">
        <f>F212*50%</f>
        <v>2287.825</v>
      </c>
      <c r="I889" s="120"/>
      <c r="J889" s="4">
        <f>(G889+H889)-I889</f>
        <v>2287.825</v>
      </c>
      <c r="K889" s="4">
        <f>J889+O888</f>
        <v>87900.67</v>
      </c>
      <c r="L889" s="3"/>
      <c r="M889" s="3"/>
      <c r="N889" s="33">
        <f>I889+M889</f>
        <v>0</v>
      </c>
      <c r="O889" s="28">
        <f>K889-M889</f>
        <v>87900.67</v>
      </c>
      <c r="P889" s="9" t="s">
        <v>15</v>
      </c>
      <c r="Q889" s="2">
        <v>45560</v>
      </c>
      <c r="R889" s="38"/>
      <c r="S889" s="52"/>
      <c r="T889" s="4">
        <f>R212*45%</f>
        <v>3600</v>
      </c>
      <c r="U889" s="5"/>
      <c r="V889" s="4">
        <f>(S889+T889)-U889</f>
        <v>3600</v>
      </c>
      <c r="W889" s="4">
        <f>V889+AA888</f>
        <v>242863.045</v>
      </c>
      <c r="X889" s="3"/>
      <c r="Y889" s="3"/>
      <c r="Z889" s="25">
        <f>U889+Y889</f>
        <v>0</v>
      </c>
      <c r="AA889" s="76">
        <f>W889-Y889</f>
        <v>242863.045</v>
      </c>
      <c r="AB889" s="9" t="s">
        <v>15</v>
      </c>
      <c r="AC889" s="19">
        <v>45560</v>
      </c>
      <c r="AD889" s="41"/>
      <c r="AE889" s="42"/>
      <c r="AF889" s="4">
        <f>AD212-H889-T889</f>
        <v>6687.825</v>
      </c>
      <c r="AG889" s="3"/>
      <c r="AH889" s="8"/>
      <c r="AI889" s="4">
        <f>(AE889+AF889)-AH889</f>
        <v>6687.825</v>
      </c>
      <c r="AJ889" s="4">
        <f>AI889+BP888</f>
        <v>-164749.7805</v>
      </c>
      <c r="AK889" s="8"/>
      <c r="AL889" s="8"/>
      <c r="AM889" s="47"/>
      <c r="AN889" s="47"/>
      <c r="AO889" s="8"/>
      <c r="AP889" s="8"/>
      <c r="AQ889" s="47"/>
      <c r="AR889" s="47"/>
      <c r="AS889" s="8"/>
      <c r="AT889" s="8"/>
      <c r="AU889" s="47"/>
      <c r="AV889" s="47"/>
      <c r="AW889" s="8"/>
      <c r="AX889" s="8"/>
      <c r="AY889" s="47"/>
      <c r="AZ889" s="47"/>
      <c r="BA889" s="8"/>
      <c r="BB889" s="8"/>
      <c r="BC889" s="47"/>
      <c r="BD889" s="47"/>
      <c r="BE889" s="8"/>
      <c r="BF889" s="8"/>
      <c r="BG889" s="47"/>
      <c r="BH889" s="47"/>
      <c r="BI889" s="8"/>
      <c r="BJ889" s="3"/>
      <c r="BK889" s="47"/>
      <c r="BL889" s="47"/>
      <c r="BM889" s="46"/>
      <c r="BN889" s="46"/>
      <c r="BO889" s="24">
        <f>AL889+AN889+AP889+AR889+AT889+AV889+AX889+AZ889+BB889+BD889+BF889+BH889+BJ889+BL889</f>
        <v>0</v>
      </c>
      <c r="BP889" s="28">
        <f>AJ889-BO889</f>
        <v>-164749.7805</v>
      </c>
      <c r="BQ889" s="2">
        <v>45560</v>
      </c>
    </row>
    <row r="890" spans="1:73" hidden="true">
      <c r="D890" s="9" t="s">
        <v>16</v>
      </c>
      <c r="E890" s="2">
        <v>45561</v>
      </c>
      <c r="F890" s="38"/>
      <c r="G890" s="51"/>
      <c r="H890" s="4">
        <f>F213*50%</f>
        <v>2351.725</v>
      </c>
      <c r="I890" s="120"/>
      <c r="J890" s="4">
        <f>(G890+H890)-I890</f>
        <v>2351.725</v>
      </c>
      <c r="K890" s="4">
        <f>J890+O889</f>
        <v>90252.395</v>
      </c>
      <c r="L890" s="3"/>
      <c r="M890" s="3"/>
      <c r="N890" s="33">
        <f>I890+M890</f>
        <v>0</v>
      </c>
      <c r="O890" s="28">
        <f>K890-M890</f>
        <v>90252.395</v>
      </c>
      <c r="P890" s="9" t="s">
        <v>16</v>
      </c>
      <c r="Q890" s="2">
        <v>45561</v>
      </c>
      <c r="R890" s="38"/>
      <c r="S890" s="52"/>
      <c r="T890" s="4">
        <f>R213*45%</f>
        <v>3600</v>
      </c>
      <c r="U890" s="5"/>
      <c r="V890" s="4">
        <f>(S890+T890)-U890</f>
        <v>3600</v>
      </c>
      <c r="W890" s="4">
        <f>V890+AA889</f>
        <v>246463.045</v>
      </c>
      <c r="X890" s="3"/>
      <c r="Y890" s="3"/>
      <c r="Z890" s="25">
        <f>U890+Y890</f>
        <v>0</v>
      </c>
      <c r="AA890" s="76">
        <f>W890-Y890</f>
        <v>246463.045</v>
      </c>
      <c r="AB890" s="9" t="s">
        <v>16</v>
      </c>
      <c r="AC890" s="19">
        <v>45561</v>
      </c>
      <c r="AD890" s="41"/>
      <c r="AE890" s="42"/>
      <c r="AF890" s="4">
        <f>AD213-H890-T890</f>
        <v>6751.725</v>
      </c>
      <c r="AG890" s="3"/>
      <c r="AH890" s="8"/>
      <c r="AI890" s="4">
        <f>(AE890+AF890)-AH890</f>
        <v>6751.725</v>
      </c>
      <c r="AJ890" s="4">
        <f>AI890+BP889</f>
        <v>-157998.0555</v>
      </c>
      <c r="AK890" s="8"/>
      <c r="AL890" s="8"/>
      <c r="AM890" s="47"/>
      <c r="AN890" s="47"/>
      <c r="AO890" s="8"/>
      <c r="AP890" s="8"/>
      <c r="AQ890" s="47"/>
      <c r="AR890" s="47"/>
      <c r="AS890" s="8"/>
      <c r="AT890" s="8"/>
      <c r="AU890" s="47"/>
      <c r="AV890" s="47"/>
      <c r="AW890" s="8"/>
      <c r="AX890" s="8"/>
      <c r="AY890" s="47"/>
      <c r="AZ890" s="47"/>
      <c r="BA890" s="8"/>
      <c r="BB890" s="8"/>
      <c r="BC890" s="47"/>
      <c r="BD890" s="47"/>
      <c r="BE890" s="8"/>
      <c r="BF890" s="8"/>
      <c r="BG890" s="47"/>
      <c r="BH890" s="47"/>
      <c r="BI890" s="8"/>
      <c r="BJ890" s="3"/>
      <c r="BK890" s="47"/>
      <c r="BL890" s="47"/>
      <c r="BM890" s="46"/>
      <c r="BN890" s="46"/>
      <c r="BO890" s="24">
        <f>AL890+AN890+AP890+AR890+AT890+AV890+AX890+AZ890+BB890+BD890+BF890+BH890+BJ890+BL890</f>
        <v>0</v>
      </c>
      <c r="BP890" s="28">
        <f>AJ890-BO890</f>
        <v>-157998.0555</v>
      </c>
      <c r="BQ890" s="2">
        <v>45561</v>
      </c>
    </row>
    <row r="891" spans="1:73" hidden="true">
      <c r="D891" s="9" t="s">
        <v>10</v>
      </c>
      <c r="E891" s="2">
        <v>45562</v>
      </c>
      <c r="F891" s="38"/>
      <c r="G891" s="51"/>
      <c r="H891" s="4">
        <f>F214*50%</f>
        <v>2653.55</v>
      </c>
      <c r="I891" s="120"/>
      <c r="J891" s="4">
        <f>(G891+H891)-I891</f>
        <v>2653.55</v>
      </c>
      <c r="K891" s="4">
        <f>J891+O890</f>
        <v>92905.945</v>
      </c>
      <c r="L891" s="3"/>
      <c r="M891" s="3"/>
      <c r="N891" s="33">
        <f>I891+M891</f>
        <v>0</v>
      </c>
      <c r="O891" s="28">
        <f>K891-M891</f>
        <v>92905.945</v>
      </c>
      <c r="P891" s="9" t="s">
        <v>10</v>
      </c>
      <c r="Q891" s="2">
        <v>45562</v>
      </c>
      <c r="R891" s="38"/>
      <c r="S891" s="52"/>
      <c r="T891" s="4">
        <f>R214*45%</f>
        <v>3600</v>
      </c>
      <c r="U891" s="5"/>
      <c r="V891" s="4">
        <f>(S891+T891)-U891</f>
        <v>3600</v>
      </c>
      <c r="W891" s="4">
        <f>V891+AA890</f>
        <v>250063.045</v>
      </c>
      <c r="X891" s="3"/>
      <c r="Y891" s="3"/>
      <c r="Z891" s="25">
        <f>U891+Y891</f>
        <v>0</v>
      </c>
      <c r="AA891" s="76">
        <f>W891-Y891</f>
        <v>250063.045</v>
      </c>
      <c r="AB891" s="9" t="s">
        <v>10</v>
      </c>
      <c r="AC891" s="19">
        <v>45562</v>
      </c>
      <c r="AD891" s="41"/>
      <c r="AE891" s="42"/>
      <c r="AF891" s="4">
        <f>AD214-H891-T891</f>
        <v>7053.55</v>
      </c>
      <c r="AG891" s="3"/>
      <c r="AH891" s="8"/>
      <c r="AI891" s="4">
        <f>(AE891+AF891)-AH891</f>
        <v>7053.55</v>
      </c>
      <c r="AJ891" s="4">
        <f>AI891+BP890</f>
        <v>-150944.5055</v>
      </c>
      <c r="AK891" s="8"/>
      <c r="AL891" s="8"/>
      <c r="AM891" s="47"/>
      <c r="AN891" s="47"/>
      <c r="AO891" s="8"/>
      <c r="AP891" s="8"/>
      <c r="AQ891" s="47"/>
      <c r="AR891" s="47"/>
      <c r="AS891" s="8"/>
      <c r="AT891" s="8"/>
      <c r="AU891" s="47"/>
      <c r="AV891" s="47"/>
      <c r="AW891" s="8"/>
      <c r="AX891" s="8"/>
      <c r="AY891" s="47"/>
      <c r="AZ891" s="47"/>
      <c r="BA891" s="8"/>
      <c r="BB891" s="8"/>
      <c r="BC891" s="47"/>
      <c r="BD891" s="47"/>
      <c r="BE891" s="8"/>
      <c r="BF891" s="8"/>
      <c r="BG891" s="47"/>
      <c r="BH891" s="47"/>
      <c r="BI891" s="8"/>
      <c r="BJ891" s="3"/>
      <c r="BK891" s="47"/>
      <c r="BL891" s="47"/>
      <c r="BM891" s="46"/>
      <c r="BN891" s="46"/>
      <c r="BO891" s="24">
        <f>AL891+AN891+AP891+AR891+AT891+AV891+AX891+AZ891+BB891+BD891+BF891+BH891+BJ891+BL891</f>
        <v>0</v>
      </c>
      <c r="BP891" s="28">
        <f>AJ891-BO891</f>
        <v>-150944.5055</v>
      </c>
      <c r="BQ891" s="2">
        <v>45562</v>
      </c>
    </row>
    <row r="892" spans="1:73" hidden="true">
      <c r="D892" s="9" t="s">
        <v>11</v>
      </c>
      <c r="E892" s="2">
        <v>45563</v>
      </c>
      <c r="F892" s="38"/>
      <c r="G892" s="51"/>
      <c r="H892" s="4">
        <f>F215*50%</f>
        <v>2523.275</v>
      </c>
      <c r="I892" s="120"/>
      <c r="J892" s="4">
        <f>(G892+H892)-I892</f>
        <v>2523.275</v>
      </c>
      <c r="K892" s="4">
        <f>J892+O891</f>
        <v>95429.22</v>
      </c>
      <c r="L892" s="3"/>
      <c r="M892" s="3"/>
      <c r="N892" s="33">
        <f>I892+M892</f>
        <v>0</v>
      </c>
      <c r="O892" s="28">
        <f>K892-M892</f>
        <v>95429.22</v>
      </c>
      <c r="P892" s="9" t="s">
        <v>11</v>
      </c>
      <c r="Q892" s="2">
        <v>45563</v>
      </c>
      <c r="R892" s="38"/>
      <c r="S892" s="52"/>
      <c r="T892" s="4">
        <f>R215*45%</f>
        <v>3600</v>
      </c>
      <c r="U892" s="5"/>
      <c r="V892" s="4">
        <f>(S892+T892)-U892</f>
        <v>3600</v>
      </c>
      <c r="W892" s="4">
        <f>V892+AA891</f>
        <v>253663.045</v>
      </c>
      <c r="X892" s="3"/>
      <c r="Y892" s="3"/>
      <c r="Z892" s="25">
        <f>U892+Y892</f>
        <v>0</v>
      </c>
      <c r="AA892" s="76">
        <f>W892-Y892</f>
        <v>253663.045</v>
      </c>
      <c r="AB892" s="9" t="s">
        <v>11</v>
      </c>
      <c r="AC892" s="19">
        <v>45563</v>
      </c>
      <c r="AD892" s="41"/>
      <c r="AE892" s="42"/>
      <c r="AF892" s="4">
        <f>AD215-H892-T892</f>
        <v>6923.275</v>
      </c>
      <c r="AG892" s="3"/>
      <c r="AH892" s="8"/>
      <c r="AI892" s="4">
        <f>(AE892+AF892)-AH892</f>
        <v>6923.275</v>
      </c>
      <c r="AJ892" s="4">
        <f>AI892+BP891</f>
        <v>-144021.2305</v>
      </c>
      <c r="AK892" s="8"/>
      <c r="AL892" s="8"/>
      <c r="AM892" s="47"/>
      <c r="AN892" s="47"/>
      <c r="AO892" s="8"/>
      <c r="AP892" s="8"/>
      <c r="AQ892" s="47"/>
      <c r="AR892" s="47"/>
      <c r="AS892" s="8"/>
      <c r="AT892" s="8"/>
      <c r="AU892" s="47"/>
      <c r="AV892" s="47"/>
      <c r="AW892" s="8"/>
      <c r="AX892" s="8"/>
      <c r="AY892" s="47"/>
      <c r="AZ892" s="47"/>
      <c r="BA892" s="8"/>
      <c r="BB892" s="8"/>
      <c r="BC892" s="47"/>
      <c r="BD892" s="47"/>
      <c r="BE892" s="8"/>
      <c r="BF892" s="8"/>
      <c r="BG892" s="47"/>
      <c r="BH892" s="47"/>
      <c r="BI892" s="8"/>
      <c r="BJ892" s="3"/>
      <c r="BK892" s="47"/>
      <c r="BL892" s="47"/>
      <c r="BM892" s="46"/>
      <c r="BN892" s="46"/>
      <c r="BO892" s="24">
        <f>AL892+AN892+AP892+AR892+AT892+AV892+AX892+AZ892+BB892+BD892+BF892+BH892+BJ892+BL892</f>
        <v>0</v>
      </c>
      <c r="BP892" s="28">
        <f>AJ892-BO892</f>
        <v>-144021.2305</v>
      </c>
      <c r="BQ892" s="2">
        <v>45563</v>
      </c>
    </row>
    <row r="893" spans="1:73" hidden="true">
      <c r="D893" s="9" t="s">
        <v>12</v>
      </c>
      <c r="E893" s="2">
        <v>45564</v>
      </c>
      <c r="F893" s="38"/>
      <c r="G893" s="51"/>
      <c r="H893" s="4">
        <f>F216*50%</f>
        <v>2157.75</v>
      </c>
      <c r="I893" s="120"/>
      <c r="J893" s="4">
        <f>(G893+H893)-I893</f>
        <v>2157.75</v>
      </c>
      <c r="K893" s="4">
        <f>J893+O892</f>
        <v>97586.97</v>
      </c>
      <c r="L893" s="3"/>
      <c r="M893" s="3"/>
      <c r="N893" s="33">
        <f>I893+M893</f>
        <v>0</v>
      </c>
      <c r="O893" s="28">
        <f>K893-M893</f>
        <v>97586.97</v>
      </c>
      <c r="P893" s="9" t="s">
        <v>12</v>
      </c>
      <c r="Q893" s="2">
        <v>45564</v>
      </c>
      <c r="R893" s="38"/>
      <c r="S893" s="52"/>
      <c r="T893" s="4">
        <f>R216*45%</f>
        <v>3600</v>
      </c>
      <c r="U893" s="5"/>
      <c r="V893" s="4">
        <f>(S893+T893)-U893</f>
        <v>3600</v>
      </c>
      <c r="W893" s="4">
        <f>V893+AA892</f>
        <v>257263.045</v>
      </c>
      <c r="X893" s="3"/>
      <c r="Y893" s="3"/>
      <c r="Z893" s="25">
        <f>U893+Y893</f>
        <v>0</v>
      </c>
      <c r="AA893" s="76">
        <f>W893-Y893</f>
        <v>257263.045</v>
      </c>
      <c r="AB893" s="9" t="s">
        <v>12</v>
      </c>
      <c r="AC893" s="19">
        <v>45564</v>
      </c>
      <c r="AD893" s="41"/>
      <c r="AE893" s="42"/>
      <c r="AF893" s="4">
        <f>AD216-H893-T893</f>
        <v>6557.75</v>
      </c>
      <c r="AG893" s="3"/>
      <c r="AH893" s="8"/>
      <c r="AI893" s="4">
        <f>(AE893+AF893)-AH893</f>
        <v>6557.75</v>
      </c>
      <c r="AJ893" s="4">
        <f>AI893+BP892</f>
        <v>-137463.4805</v>
      </c>
      <c r="AK893" s="8"/>
      <c r="AL893" s="8"/>
      <c r="AM893" s="47"/>
      <c r="AN893" s="47"/>
      <c r="AO893" s="8"/>
      <c r="AP893" s="8"/>
      <c r="AQ893" s="47"/>
      <c r="AR893" s="47"/>
      <c r="AS893" s="8"/>
      <c r="AT893" s="8"/>
      <c r="AU893" s="47"/>
      <c r="AV893" s="47"/>
      <c r="AW893" s="8"/>
      <c r="AX893" s="8"/>
      <c r="AY893" s="47"/>
      <c r="AZ893" s="47"/>
      <c r="BA893" s="8"/>
      <c r="BB893" s="8"/>
      <c r="BC893" s="47"/>
      <c r="BD893" s="47"/>
      <c r="BE893" s="8"/>
      <c r="BF893" s="8"/>
      <c r="BG893" s="47"/>
      <c r="BH893" s="47"/>
      <c r="BI893" s="8"/>
      <c r="BJ893" s="3"/>
      <c r="BK893" s="47"/>
      <c r="BL893" s="47"/>
      <c r="BM893" s="46"/>
      <c r="BN893" s="46"/>
      <c r="BO893" s="24">
        <f>AL893+AN893+AP893+AR893+AT893+AV893+AX893+AZ893+BB893+BD893+BF893+BH893+BJ893+BL893</f>
        <v>0</v>
      </c>
      <c r="BP893" s="28">
        <f>AJ893-BO893</f>
        <v>-137463.4805</v>
      </c>
      <c r="BQ893" s="2">
        <v>45564</v>
      </c>
    </row>
    <row r="894" spans="1:73" hidden="true" s="13" customFormat="1">
      <c r="D894" s="13" t="s">
        <v>13</v>
      </c>
      <c r="E894" s="10">
        <v>45565</v>
      </c>
      <c r="F894" s="10"/>
      <c r="G894" s="54"/>
      <c r="H894" s="11">
        <f>F217*50%</f>
        <v>0</v>
      </c>
      <c r="I894" s="121"/>
      <c r="J894" s="11">
        <f>(G894+H894)-I894</f>
        <v>0</v>
      </c>
      <c r="K894" s="11">
        <f>J894+O893</f>
        <v>97586.97</v>
      </c>
      <c r="L894" s="11" t="s">
        <v>258</v>
      </c>
      <c r="M894" s="11">
        <v>97587</v>
      </c>
      <c r="N894" s="26">
        <f>I894+M894</f>
        <v>97587</v>
      </c>
      <c r="O894" s="11">
        <f>K894-M894</f>
        <v>-0.03000000002794</v>
      </c>
      <c r="P894" s="13" t="s">
        <v>13</v>
      </c>
      <c r="Q894" s="10">
        <v>45565</v>
      </c>
      <c r="R894" s="10"/>
      <c r="S894" s="53"/>
      <c r="T894" s="11">
        <f>R217*45%</f>
        <v>0</v>
      </c>
      <c r="U894" s="12"/>
      <c r="V894" s="11">
        <f>(S894+T894)-U894</f>
        <v>0</v>
      </c>
      <c r="W894" s="11">
        <f>V894+AA893</f>
        <v>257263.045</v>
      </c>
      <c r="X894" s="11" t="s">
        <v>258</v>
      </c>
      <c r="Y894" s="11">
        <v>257263</v>
      </c>
      <c r="Z894" s="26">
        <f>U894+Y894</f>
        <v>257263</v>
      </c>
      <c r="AA894" s="53">
        <f>W894-Y894</f>
        <v>0.045000000012806</v>
      </c>
      <c r="AB894" s="13" t="s">
        <v>13</v>
      </c>
      <c r="AC894" s="20">
        <v>45565</v>
      </c>
      <c r="AD894" s="64"/>
      <c r="AE894" s="65"/>
      <c r="AF894" s="11">
        <f>AD217-H894-T894</f>
        <v>0</v>
      </c>
      <c r="AG894" s="11" t="s">
        <v>258</v>
      </c>
      <c r="AH894" s="15">
        <v>-137463</v>
      </c>
      <c r="AI894" s="11">
        <f>(AE894+AF894)-AH894</f>
        <v>137463</v>
      </c>
      <c r="AJ894" s="11">
        <f>AI894+BP893</f>
        <v>-0.48050000006333</v>
      </c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1"/>
      <c r="BK894" s="15"/>
      <c r="BL894" s="15"/>
      <c r="BM894" s="23"/>
      <c r="BN894" s="23"/>
      <c r="BO894" s="23">
        <f>AL894+AN894+AP894+AR894+AT894+AV894+AX894+AZ894+BB894+BD894+BF894+BH894+BJ894+BL894</f>
        <v>0</v>
      </c>
      <c r="BP894" s="11">
        <f>AJ894-BO894</f>
        <v>-0.48050000006333</v>
      </c>
      <c r="BQ894" s="10">
        <v>45565</v>
      </c>
    </row>
    <row r="895" spans="1:73" hidden="true">
      <c r="D895" s="9" t="s">
        <v>14</v>
      </c>
      <c r="E895" s="2">
        <v>45566</v>
      </c>
      <c r="F895" s="38"/>
      <c r="G895" s="51"/>
      <c r="H895" s="4">
        <f>F218*50%</f>
        <v>1965.9</v>
      </c>
      <c r="I895" s="120"/>
      <c r="J895" s="4">
        <f>(G895+H895)-I895</f>
        <v>1965.9</v>
      </c>
      <c r="K895" s="4">
        <f>J895+O894</f>
        <v>1965.87</v>
      </c>
      <c r="L895" s="3"/>
      <c r="M895" s="3"/>
      <c r="N895" s="33">
        <f>I895+M895</f>
        <v>0</v>
      </c>
      <c r="O895" s="28">
        <f>K895-M895</f>
        <v>1965.87</v>
      </c>
      <c r="P895" s="9" t="s">
        <v>14</v>
      </c>
      <c r="Q895" s="2">
        <v>45566</v>
      </c>
      <c r="R895" s="38"/>
      <c r="S895" s="52"/>
      <c r="T895" s="4">
        <f>R218*45%</f>
        <v>2628.9</v>
      </c>
      <c r="U895" s="5"/>
      <c r="V895" s="4">
        <f>(S895+T895)-U895</f>
        <v>2628.9</v>
      </c>
      <c r="W895" s="4">
        <f>V895+AA894</f>
        <v>2628.945</v>
      </c>
      <c r="X895" s="3"/>
      <c r="Y895" s="3"/>
      <c r="Z895" s="25">
        <f>U895+Y895</f>
        <v>0</v>
      </c>
      <c r="AA895" s="76">
        <f>W895-Y895</f>
        <v>2628.945</v>
      </c>
      <c r="AB895" s="9" t="s">
        <v>14</v>
      </c>
      <c r="AC895" s="19">
        <v>45566</v>
      </c>
      <c r="AD895" s="66" t="s">
        <v>259</v>
      </c>
      <c r="AE895" s="67">
        <v>13944.2</v>
      </c>
      <c r="AF895" s="4">
        <f>AD218-H895-T895</f>
        <v>5179</v>
      </c>
      <c r="AG895" s="3" t="s">
        <v>260</v>
      </c>
      <c r="AH895" s="8">
        <v>979.4</v>
      </c>
      <c r="AI895" s="4">
        <f>(AE895+AF895)-AH895</f>
        <v>18143.8</v>
      </c>
      <c r="AJ895" s="4">
        <f>AI895+BP894</f>
        <v>18143.3195</v>
      </c>
      <c r="AK895" s="8"/>
      <c r="AL895" s="8"/>
      <c r="AM895" s="47" t="s">
        <v>261</v>
      </c>
      <c r="AN895" s="47">
        <v>4500</v>
      </c>
      <c r="AO895" s="8" t="s">
        <v>262</v>
      </c>
      <c r="AP895" s="8">
        <v>300</v>
      </c>
      <c r="AQ895" s="47" t="s">
        <v>263</v>
      </c>
      <c r="AR895" s="47">
        <v>374.4</v>
      </c>
      <c r="AS895" s="8"/>
      <c r="AT895" s="8"/>
      <c r="AU895" s="47"/>
      <c r="AV895" s="47"/>
      <c r="AW895" s="8"/>
      <c r="AX895" s="8"/>
      <c r="AY895" s="47"/>
      <c r="AZ895" s="47"/>
      <c r="BA895" s="8" t="s">
        <v>264</v>
      </c>
      <c r="BB895" s="8">
        <v>3000</v>
      </c>
      <c r="BC895" s="47"/>
      <c r="BD895" s="47"/>
      <c r="BE895" s="8"/>
      <c r="BF895" s="8"/>
      <c r="BG895" s="47"/>
      <c r="BH895" s="47">
        <v>1000</v>
      </c>
      <c r="BI895" s="8"/>
      <c r="BJ895" s="3"/>
      <c r="BK895" s="47"/>
      <c r="BL895" s="47"/>
      <c r="BM895" s="46"/>
      <c r="BN895" s="46"/>
      <c r="BO895" s="24">
        <f>AL895+AN895+AP895+AR895+AT895+AV895+AX895+AZ895+BB895+BD895+BF895+BH895+BJ895+BL895</f>
        <v>9174.4</v>
      </c>
      <c r="BP895" s="28">
        <f>AJ895-BO895</f>
        <v>8968.9194999999</v>
      </c>
      <c r="BQ895" s="2">
        <v>45566</v>
      </c>
    </row>
    <row r="896" spans="1:73" hidden="true">
      <c r="D896" s="9" t="s">
        <v>15</v>
      </c>
      <c r="E896" s="2">
        <v>45567</v>
      </c>
      <c r="F896" s="38"/>
      <c r="G896" s="51"/>
      <c r="H896" s="4">
        <f>F219*50%</f>
        <v>1991.125</v>
      </c>
      <c r="I896" s="120"/>
      <c r="J896" s="4">
        <f>(G896+H896)-I896</f>
        <v>1991.125</v>
      </c>
      <c r="K896" s="4">
        <f>J896+O895</f>
        <v>3956.995</v>
      </c>
      <c r="L896" s="3"/>
      <c r="M896" s="3"/>
      <c r="N896" s="33">
        <f>I896+M896</f>
        <v>0</v>
      </c>
      <c r="O896" s="28">
        <f>K896-M896</f>
        <v>3956.995</v>
      </c>
      <c r="P896" s="9" t="s">
        <v>15</v>
      </c>
      <c r="Q896" s="2">
        <v>45567</v>
      </c>
      <c r="R896" s="38"/>
      <c r="S896" s="52"/>
      <c r="T896" s="4">
        <f>R219*45%</f>
        <v>2220.3</v>
      </c>
      <c r="U896" s="5"/>
      <c r="V896" s="4">
        <f>(S896+T896)-U896</f>
        <v>2220.3</v>
      </c>
      <c r="W896" s="4">
        <f>V896+AA895</f>
        <v>4849.245</v>
      </c>
      <c r="X896" s="3"/>
      <c r="Y896" s="3"/>
      <c r="Z896" s="25">
        <f>U896+Y896</f>
        <v>0</v>
      </c>
      <c r="AA896" s="76">
        <f>W896-Y896</f>
        <v>4849.245</v>
      </c>
      <c r="AB896" s="9" t="s">
        <v>15</v>
      </c>
      <c r="AC896" s="19">
        <v>45567</v>
      </c>
      <c r="AD896" s="41"/>
      <c r="AE896" s="42"/>
      <c r="AF896" s="4">
        <f>AD219-H896-T896</f>
        <v>4704.825</v>
      </c>
      <c r="AG896" s="3" t="s">
        <v>260</v>
      </c>
      <c r="AH896" s="8">
        <v>869.4</v>
      </c>
      <c r="AI896" s="4">
        <f>(AE896+AF896)-AH896</f>
        <v>3835.425</v>
      </c>
      <c r="AJ896" s="4">
        <f>AI896+BP895</f>
        <v>12804.3445</v>
      </c>
      <c r="AK896" s="8"/>
      <c r="AL896" s="8"/>
      <c r="AM896" s="47"/>
      <c r="AN896" s="47"/>
      <c r="AO896" s="8" t="s">
        <v>265</v>
      </c>
      <c r="AP896" s="8">
        <v>1700</v>
      </c>
      <c r="AQ896" s="47"/>
      <c r="AR896" s="47"/>
      <c r="AS896" s="8"/>
      <c r="AT896" s="8"/>
      <c r="AU896" s="47"/>
      <c r="AV896" s="47"/>
      <c r="AW896" s="8"/>
      <c r="AX896" s="8"/>
      <c r="AY896" s="47"/>
      <c r="AZ896" s="47"/>
      <c r="BA896" s="8" t="s">
        <v>266</v>
      </c>
      <c r="BB896" s="8">
        <v>3000</v>
      </c>
      <c r="BC896" s="47"/>
      <c r="BD896" s="47"/>
      <c r="BE896" s="8"/>
      <c r="BF896" s="8"/>
      <c r="BG896" s="47"/>
      <c r="BH896" s="47">
        <v>1000</v>
      </c>
      <c r="BI896" s="8"/>
      <c r="BJ896" s="3"/>
      <c r="BK896" s="47"/>
      <c r="BL896" s="47"/>
      <c r="BM896" s="46"/>
      <c r="BN896" s="46"/>
      <c r="BO896" s="24">
        <f>AL896+AN896+AP896+AR896+AT896+AV896+AX896+AZ896+BB896+BD896+BF896+BH896+BJ896+BL896</f>
        <v>5700</v>
      </c>
      <c r="BP896" s="28">
        <f>AJ896-BO896</f>
        <v>7104.3444999999</v>
      </c>
      <c r="BQ896" s="2">
        <v>45567</v>
      </c>
    </row>
    <row r="897" spans="1:73" hidden="true">
      <c r="D897" s="9" t="s">
        <v>16</v>
      </c>
      <c r="E897" s="2">
        <v>45568</v>
      </c>
      <c r="F897" s="38"/>
      <c r="G897" s="51"/>
      <c r="H897" s="4">
        <f>F220*50%</f>
        <v>1942.325</v>
      </c>
      <c r="I897" s="120"/>
      <c r="J897" s="4">
        <f>(G897+H897)-I897</f>
        <v>1942.325</v>
      </c>
      <c r="K897" s="4">
        <f>J897+O896</f>
        <v>5899.32</v>
      </c>
      <c r="L897" s="3"/>
      <c r="M897" s="3"/>
      <c r="N897" s="33">
        <f>I897+M897</f>
        <v>0</v>
      </c>
      <c r="O897" s="28">
        <f>K897-M897</f>
        <v>5899.32</v>
      </c>
      <c r="P897" s="9" t="s">
        <v>16</v>
      </c>
      <c r="Q897" s="2">
        <v>45568</v>
      </c>
      <c r="R897" s="38"/>
      <c r="S897" s="52"/>
      <c r="T897" s="4">
        <f>R220*45%</f>
        <v>3225.915</v>
      </c>
      <c r="U897" s="5">
        <v>608</v>
      </c>
      <c r="V897" s="4">
        <f>(S897+T897)-U897</f>
        <v>2617.915</v>
      </c>
      <c r="W897" s="4">
        <f>V897+AA896</f>
        <v>7467.16</v>
      </c>
      <c r="X897" s="3"/>
      <c r="Y897" s="3"/>
      <c r="Z897" s="25">
        <f>U897+Y897</f>
        <v>608</v>
      </c>
      <c r="AA897" s="76">
        <f>W897-Y897</f>
        <v>7467.16</v>
      </c>
      <c r="AB897" s="9" t="s">
        <v>16</v>
      </c>
      <c r="AC897" s="19">
        <v>45568</v>
      </c>
      <c r="AD897" s="41"/>
      <c r="AE897" s="42"/>
      <c r="AF897" s="4">
        <f>AD220-H897-T897</f>
        <v>5885.11</v>
      </c>
      <c r="AG897" s="3" t="s">
        <v>260</v>
      </c>
      <c r="AH897" s="8">
        <v>514.2</v>
      </c>
      <c r="AI897" s="4">
        <f>(AE897+AF897)-AH897</f>
        <v>5370.91</v>
      </c>
      <c r="AJ897" s="4">
        <f>AI897+BP896</f>
        <v>12475.2545</v>
      </c>
      <c r="AK897" s="8" t="s">
        <v>267</v>
      </c>
      <c r="AL897" s="8">
        <v>2000</v>
      </c>
      <c r="AM897" s="47" t="s">
        <v>7</v>
      </c>
      <c r="AN897" s="47">
        <v>13600</v>
      </c>
      <c r="AO897" s="81" t="s">
        <v>268</v>
      </c>
      <c r="AP897" s="8">
        <v>5.5</v>
      </c>
      <c r="AQ897" s="47"/>
      <c r="AR897" s="47"/>
      <c r="AS897" s="8"/>
      <c r="AT897" s="8"/>
      <c r="AU897" s="47"/>
      <c r="AV897" s="47"/>
      <c r="AW897" s="8"/>
      <c r="AX897" s="8"/>
      <c r="AY897" s="47"/>
      <c r="AZ897" s="47"/>
      <c r="BA897" s="8"/>
      <c r="BB897" s="8"/>
      <c r="BC897" s="47"/>
      <c r="BD897" s="47"/>
      <c r="BE897" s="8"/>
      <c r="BF897" s="8"/>
      <c r="BG897" s="47"/>
      <c r="BH897" s="47">
        <v>1000</v>
      </c>
      <c r="BI897" s="8"/>
      <c r="BJ897" s="3"/>
      <c r="BK897" s="47"/>
      <c r="BL897" s="47"/>
      <c r="BM897" s="46"/>
      <c r="BN897" s="46"/>
      <c r="BO897" s="24">
        <f>AL897+AN897+AP897+AR897+AT897+AV897+AX897+AZ897+BB897+BD897+BF897+BH897+BJ897+BL897</f>
        <v>16605.5</v>
      </c>
      <c r="BP897" s="28">
        <f>AJ897-BO897</f>
        <v>-4130.2455000001</v>
      </c>
      <c r="BQ897" s="2">
        <v>45568</v>
      </c>
    </row>
    <row r="898" spans="1:73" hidden="true">
      <c r="D898" s="9" t="s">
        <v>10</v>
      </c>
      <c r="E898" s="2">
        <v>45569</v>
      </c>
      <c r="F898" s="38"/>
      <c r="G898" s="51"/>
      <c r="H898" s="4">
        <f>F221*50%</f>
        <v>2989.475</v>
      </c>
      <c r="I898" s="120">
        <v>1612</v>
      </c>
      <c r="J898" s="4">
        <f>(G898+H898)-I898</f>
        <v>1377.475</v>
      </c>
      <c r="K898" s="4">
        <f>J898+O897</f>
        <v>7276.795</v>
      </c>
      <c r="L898" s="3"/>
      <c r="M898" s="3"/>
      <c r="N898" s="33">
        <f>I898+M898</f>
        <v>1612</v>
      </c>
      <c r="O898" s="28">
        <f>K898-M898</f>
        <v>7276.795</v>
      </c>
      <c r="P898" s="9" t="s">
        <v>10</v>
      </c>
      <c r="Q898" s="2">
        <v>45569</v>
      </c>
      <c r="R898" s="38"/>
      <c r="S898" s="52"/>
      <c r="T898" s="4">
        <f>R221*45%</f>
        <v>1645.65</v>
      </c>
      <c r="U898" s="5">
        <v>649</v>
      </c>
      <c r="V898" s="4">
        <f>(S898+T898)-U898</f>
        <v>996.65</v>
      </c>
      <c r="W898" s="4">
        <f>V898+AA897</f>
        <v>8463.81</v>
      </c>
      <c r="X898" s="3" t="s">
        <v>269</v>
      </c>
      <c r="Y898" s="3">
        <v>8045</v>
      </c>
      <c r="Z898" s="25">
        <f>U898+Y898</f>
        <v>8694</v>
      </c>
      <c r="AA898" s="76">
        <f>W898-Y898</f>
        <v>418.81000000001</v>
      </c>
      <c r="AB898" s="9" t="s">
        <v>10</v>
      </c>
      <c r="AC898" s="19">
        <v>45569</v>
      </c>
      <c r="AD898" s="41"/>
      <c r="AE898" s="42"/>
      <c r="AF898" s="4">
        <f>AD221-H898-T898</f>
        <v>5000.825</v>
      </c>
      <c r="AG898" s="3" t="s">
        <v>260</v>
      </c>
      <c r="AH898" s="8">
        <v>1167</v>
      </c>
      <c r="AI898" s="4">
        <f>(AE898+AF898)-AH898</f>
        <v>3833.825</v>
      </c>
      <c r="AJ898" s="4">
        <f>AI898+BP897</f>
        <v>-296.42050000006</v>
      </c>
      <c r="AK898" s="8"/>
      <c r="AL898" s="8"/>
      <c r="AM898" s="47"/>
      <c r="AN898" s="47"/>
      <c r="AO898" s="8" t="s">
        <v>270</v>
      </c>
      <c r="AP898" s="8">
        <v>1707</v>
      </c>
      <c r="AQ898" s="47"/>
      <c r="AR898" s="47"/>
      <c r="AS898" s="8"/>
      <c r="AT898" s="8"/>
      <c r="AU898" s="47"/>
      <c r="AV898" s="47"/>
      <c r="AW898" s="8"/>
      <c r="AX898" s="8"/>
      <c r="AY898" s="47"/>
      <c r="AZ898" s="47"/>
      <c r="BA898" s="3"/>
      <c r="BB898" s="8"/>
      <c r="BC898" s="47"/>
      <c r="BD898" s="47"/>
      <c r="BE898" s="8"/>
      <c r="BF898" s="8"/>
      <c r="BG898" s="47"/>
      <c r="BH898" s="47">
        <v>1000</v>
      </c>
      <c r="BI898" s="8" t="s">
        <v>271</v>
      </c>
      <c r="BJ898" s="3">
        <v>1500</v>
      </c>
      <c r="BK898" s="47"/>
      <c r="BL898" s="47"/>
      <c r="BM898" s="46"/>
      <c r="BN898" s="46"/>
      <c r="BO898" s="24">
        <f>AL898+AN898+AP898+AR898+AT898+AV898+AX898+AZ898+BB898+BD898+BF898+BH898+BJ898+BL898</f>
        <v>4207</v>
      </c>
      <c r="BP898" s="28">
        <f>AJ898-BO898</f>
        <v>-4503.4205000001</v>
      </c>
      <c r="BQ898" s="2">
        <v>45569</v>
      </c>
    </row>
    <row r="899" spans="1:73" hidden="true">
      <c r="D899" s="9" t="s">
        <v>11</v>
      </c>
      <c r="E899" s="2">
        <v>45570</v>
      </c>
      <c r="F899" s="38"/>
      <c r="G899" s="51"/>
      <c r="H899" s="4">
        <f>F222*50%</f>
        <v>2485.8</v>
      </c>
      <c r="I899" s="120">
        <v>3211.6</v>
      </c>
      <c r="J899" s="4">
        <f>(G899+H899)-I899</f>
        <v>-725.8</v>
      </c>
      <c r="K899" s="4">
        <f>J899+O898</f>
        <v>6550.995</v>
      </c>
      <c r="L899" s="3"/>
      <c r="M899" s="3"/>
      <c r="N899" s="33">
        <f>I899+M899</f>
        <v>3211.6</v>
      </c>
      <c r="O899" s="28">
        <f>K899-M899</f>
        <v>6550.995</v>
      </c>
      <c r="P899" s="9" t="s">
        <v>11</v>
      </c>
      <c r="Q899" s="2">
        <v>45570</v>
      </c>
      <c r="R899" s="38"/>
      <c r="S899" s="52"/>
      <c r="T899" s="4">
        <f>R222*45%</f>
        <v>4123.35</v>
      </c>
      <c r="U899" s="5"/>
      <c r="V899" s="4">
        <f>(S899+T899)-U899</f>
        <v>4123.35</v>
      </c>
      <c r="W899" s="4">
        <f>V899+AA898</f>
        <v>4542.16</v>
      </c>
      <c r="X899" s="3"/>
      <c r="Y899" s="3"/>
      <c r="Z899" s="25">
        <f>U899+Y899</f>
        <v>0</v>
      </c>
      <c r="AA899" s="76">
        <f>W899-Y899</f>
        <v>4542.16</v>
      </c>
      <c r="AB899" s="9" t="s">
        <v>11</v>
      </c>
      <c r="AC899" s="19">
        <v>45570</v>
      </c>
      <c r="AD899" s="41"/>
      <c r="AE899" s="42"/>
      <c r="AF899" s="4">
        <f>AD222-H899-T899</f>
        <v>7525.45</v>
      </c>
      <c r="AG899" s="3" t="s">
        <v>260</v>
      </c>
      <c r="AH899" s="8">
        <v>1427</v>
      </c>
      <c r="AI899" s="4">
        <f>(AE899+AF899)-AH899</f>
        <v>6098.45</v>
      </c>
      <c r="AJ899" s="4">
        <f>AI899+BP898</f>
        <v>1595.0294999999</v>
      </c>
      <c r="AK899" s="8" t="s">
        <v>272</v>
      </c>
      <c r="AL899" s="8">
        <v>4750</v>
      </c>
      <c r="AM899" s="47"/>
      <c r="AN899" s="47"/>
      <c r="AO899" s="8"/>
      <c r="AP899" s="8"/>
      <c r="AQ899" s="47"/>
      <c r="AR899" s="47"/>
      <c r="AS899" s="8"/>
      <c r="AT899" s="8"/>
      <c r="AU899" s="47"/>
      <c r="AV899" s="47"/>
      <c r="AW899" s="8"/>
      <c r="AX899" s="8"/>
      <c r="AY899" s="47"/>
      <c r="AZ899" s="47"/>
      <c r="BA899" s="8"/>
      <c r="BB899" s="8"/>
      <c r="BC899" s="47"/>
      <c r="BD899" s="47"/>
      <c r="BE899" s="8"/>
      <c r="BF899" s="8"/>
      <c r="BG899" s="47"/>
      <c r="BH899" s="47">
        <v>1000</v>
      </c>
      <c r="BI899" s="8"/>
      <c r="BJ899" s="3"/>
      <c r="BK899" s="47"/>
      <c r="BL899" s="47"/>
      <c r="BM899" s="46"/>
      <c r="BN899" s="46"/>
      <c r="BO899" s="24">
        <f>AL899+AN899+AP899+AR899+AT899+AV899+AX899+AZ899+BB899+BD899+BF899+BH899+BJ899+BL899</f>
        <v>5750</v>
      </c>
      <c r="BP899" s="28">
        <f>AJ899-BO899</f>
        <v>-4154.9705000001</v>
      </c>
      <c r="BQ899" s="2">
        <v>45570</v>
      </c>
    </row>
    <row r="900" spans="1:73" hidden="true">
      <c r="D900" s="9" t="s">
        <v>12</v>
      </c>
      <c r="E900" s="2">
        <v>45571</v>
      </c>
      <c r="F900" s="38"/>
      <c r="G900" s="51"/>
      <c r="H900" s="4">
        <f>F223*50%</f>
        <v>3182.45</v>
      </c>
      <c r="I900" s="120"/>
      <c r="J900" s="4">
        <f>(G900+H900)-I900</f>
        <v>3182.45</v>
      </c>
      <c r="K900" s="4">
        <f>J900+O899</f>
        <v>9733.445</v>
      </c>
      <c r="L900" s="3"/>
      <c r="M900" s="3"/>
      <c r="N900" s="33">
        <f>I900+M900</f>
        <v>0</v>
      </c>
      <c r="O900" s="28">
        <f>K900-M900</f>
        <v>9733.445</v>
      </c>
      <c r="P900" s="9" t="s">
        <v>12</v>
      </c>
      <c r="Q900" s="2">
        <v>45571</v>
      </c>
      <c r="R900" s="38"/>
      <c r="S900" s="52"/>
      <c r="T900" s="4">
        <f>R223*45%</f>
        <v>2683.35</v>
      </c>
      <c r="U900" s="5"/>
      <c r="V900" s="4">
        <f>(S900+T900)-U900</f>
        <v>2683.35</v>
      </c>
      <c r="W900" s="4">
        <f>V900+AA899</f>
        <v>7225.51</v>
      </c>
      <c r="X900" s="3"/>
      <c r="Y900" s="3"/>
      <c r="Z900" s="25">
        <f>U900+Y900</f>
        <v>0</v>
      </c>
      <c r="AA900" s="76">
        <f>W900-Y900</f>
        <v>7225.51</v>
      </c>
      <c r="AB900" s="9" t="s">
        <v>12</v>
      </c>
      <c r="AC900" s="19">
        <v>45571</v>
      </c>
      <c r="AD900" s="41"/>
      <c r="AE900" s="42"/>
      <c r="AF900" s="4">
        <f>AD223-H900-T900</f>
        <v>6462.1</v>
      </c>
      <c r="AG900" s="3" t="s">
        <v>260</v>
      </c>
      <c r="AH900" s="8">
        <v>1405.6</v>
      </c>
      <c r="AI900" s="4">
        <f>(AE900+AF900)-AH900</f>
        <v>5056.5</v>
      </c>
      <c r="AJ900" s="4">
        <f>AI900+BP899</f>
        <v>901.52949999994</v>
      </c>
      <c r="AK900" s="8" t="s">
        <v>272</v>
      </c>
      <c r="AL900" s="8">
        <v>6100</v>
      </c>
      <c r="AM900" s="47"/>
      <c r="AN900" s="47"/>
      <c r="AO900" s="8"/>
      <c r="AP900" s="8"/>
      <c r="AQ900" s="47"/>
      <c r="AR900" s="47"/>
      <c r="AS900" s="8"/>
      <c r="AT900" s="8"/>
      <c r="AU900" s="47"/>
      <c r="AV900" s="47"/>
      <c r="AW900" s="8"/>
      <c r="AX900" s="8"/>
      <c r="AY900" s="47"/>
      <c r="AZ900" s="47"/>
      <c r="BA900" s="8"/>
      <c r="BB900" s="8"/>
      <c r="BC900" s="47"/>
      <c r="BD900" s="47"/>
      <c r="BE900" s="8"/>
      <c r="BF900" s="8"/>
      <c r="BG900" s="47"/>
      <c r="BH900" s="47">
        <v>1000</v>
      </c>
      <c r="BI900" s="8"/>
      <c r="BJ900" s="3"/>
      <c r="BK900" s="47" t="s">
        <v>273</v>
      </c>
      <c r="BL900" s="47">
        <v>3000</v>
      </c>
      <c r="BM900" s="46"/>
      <c r="BN900" s="46"/>
      <c r="BO900" s="24">
        <f>AL900+AN900+AP900+AR900+AT900+AV900+AX900+AZ900+BB900+BD900+BF900+BH900+BJ900+BL900</f>
        <v>10100</v>
      </c>
      <c r="BP900" s="28">
        <f>AJ900-BO900</f>
        <v>-9198.4705000001</v>
      </c>
      <c r="BQ900" s="2">
        <v>45571</v>
      </c>
    </row>
    <row r="901" spans="1:73" hidden="true">
      <c r="D901" s="9" t="s">
        <v>13</v>
      </c>
      <c r="E901" s="2">
        <v>45572</v>
      </c>
      <c r="F901" s="38"/>
      <c r="G901" s="51"/>
      <c r="H901" s="4">
        <f>F224*50%</f>
        <v>4212.35</v>
      </c>
      <c r="I901" s="120">
        <v>2455.5</v>
      </c>
      <c r="J901" s="4">
        <f>(G901+H901)-I901</f>
        <v>1756.85</v>
      </c>
      <c r="K901" s="4">
        <f>J901+O900</f>
        <v>11490.295</v>
      </c>
      <c r="L901" s="3"/>
      <c r="M901" s="3"/>
      <c r="N901" s="33">
        <f>I901+M901</f>
        <v>2455.5</v>
      </c>
      <c r="O901" s="28">
        <f>K901-M901</f>
        <v>11490.295</v>
      </c>
      <c r="P901" s="9" t="s">
        <v>13</v>
      </c>
      <c r="Q901" s="2">
        <v>45572</v>
      </c>
      <c r="R901" s="38"/>
      <c r="S901" s="52"/>
      <c r="T901" s="4">
        <f>R224*45%</f>
        <v>1777.95</v>
      </c>
      <c r="U901" s="5"/>
      <c r="V901" s="4">
        <f>(S901+T901)-U901</f>
        <v>1777.95</v>
      </c>
      <c r="W901" s="4">
        <f>V901+AA900</f>
        <v>9003.46</v>
      </c>
      <c r="X901" s="3"/>
      <c r="Y901" s="3"/>
      <c r="Z901" s="25">
        <f>U901+Y901</f>
        <v>0</v>
      </c>
      <c r="AA901" s="76">
        <f>W901-Y901</f>
        <v>9003.46</v>
      </c>
      <c r="AB901" s="9" t="s">
        <v>13</v>
      </c>
      <c r="AC901" s="19">
        <v>45572</v>
      </c>
      <c r="AD901" s="66"/>
      <c r="AE901" s="67"/>
      <c r="AF901" s="4">
        <f>AD224-H901-T901</f>
        <v>6385.4</v>
      </c>
      <c r="AG901" s="3" t="s">
        <v>260</v>
      </c>
      <c r="AH901" s="8">
        <v>1168</v>
      </c>
      <c r="AI901" s="4">
        <f>(AE901+AF901)-AH901</f>
        <v>5217.4</v>
      </c>
      <c r="AJ901" s="4">
        <f>AI901+BP900</f>
        <v>-3981.0705000001</v>
      </c>
      <c r="AK901" s="8" t="s">
        <v>267</v>
      </c>
      <c r="AL901" s="8">
        <v>3418</v>
      </c>
      <c r="AM901" s="47" t="s">
        <v>274</v>
      </c>
      <c r="AN901" s="47">
        <v>15000</v>
      </c>
      <c r="AO901" s="8"/>
      <c r="AP901" s="8"/>
      <c r="AQ901" s="47"/>
      <c r="AR901" s="47"/>
      <c r="AS901" s="8"/>
      <c r="AT901" s="8"/>
      <c r="AU901" s="47"/>
      <c r="AV901" s="47"/>
      <c r="AW901" s="8"/>
      <c r="AX901" s="8"/>
      <c r="AY901" s="47"/>
      <c r="AZ901" s="47"/>
      <c r="BA901" s="8"/>
      <c r="BB901" s="8"/>
      <c r="BC901" s="47"/>
      <c r="BD901" s="47"/>
      <c r="BE901" s="8"/>
      <c r="BF901" s="8"/>
      <c r="BG901" s="47"/>
      <c r="BH901" s="47">
        <v>1000</v>
      </c>
      <c r="BI901" s="8"/>
      <c r="BJ901" s="3"/>
      <c r="BK901" s="47"/>
      <c r="BL901" s="47"/>
      <c r="BM901" s="46"/>
      <c r="BN901" s="46"/>
      <c r="BO901" s="24">
        <f>AL901+AN901+AP901+AR901+AT901+AV901+AX901+AZ901+BB901+BD901+BF901+BH901+BJ901+BL901</f>
        <v>19418</v>
      </c>
      <c r="BP901" s="28">
        <f>AJ901-BO901</f>
        <v>-23399.0705</v>
      </c>
      <c r="BQ901" s="2">
        <v>45572</v>
      </c>
    </row>
    <row r="902" spans="1:73" hidden="true">
      <c r="D902" s="9" t="s">
        <v>14</v>
      </c>
      <c r="E902" s="2">
        <v>45573</v>
      </c>
      <c r="F902" s="38"/>
      <c r="G902" s="51"/>
      <c r="H902" s="4">
        <f>F225*50%</f>
        <v>2357.675</v>
      </c>
      <c r="I902" s="120"/>
      <c r="J902" s="4">
        <f>(G902+H902)-I902</f>
        <v>2357.675</v>
      </c>
      <c r="K902" s="4">
        <f>J902+O901</f>
        <v>13847.97</v>
      </c>
      <c r="L902" s="3"/>
      <c r="M902" s="3"/>
      <c r="N902" s="33">
        <f>I902+M902</f>
        <v>0</v>
      </c>
      <c r="O902" s="28">
        <f>K902-M902</f>
        <v>13847.97</v>
      </c>
      <c r="P902" s="9" t="s">
        <v>14</v>
      </c>
      <c r="Q902" s="2">
        <v>45573</v>
      </c>
      <c r="R902" s="38"/>
      <c r="S902" s="52"/>
      <c r="T902" s="4">
        <f>R225*45%</f>
        <v>1304.1</v>
      </c>
      <c r="U902" s="5">
        <v>232.3</v>
      </c>
      <c r="V902" s="4">
        <f>(S902+T902)-U902</f>
        <v>1071.8</v>
      </c>
      <c r="W902" s="4">
        <f>V902+AA901</f>
        <v>10075.26</v>
      </c>
      <c r="X902" s="3"/>
      <c r="Y902" s="3"/>
      <c r="Z902" s="25">
        <f>U902+Y902</f>
        <v>232.3</v>
      </c>
      <c r="AA902" s="76">
        <f>W902-Y902</f>
        <v>10075.26</v>
      </c>
      <c r="AB902" s="9" t="s">
        <v>14</v>
      </c>
      <c r="AC902" s="19">
        <v>45573</v>
      </c>
      <c r="AD902" s="66" t="s">
        <v>259</v>
      </c>
      <c r="AE902" s="67">
        <v>112951</v>
      </c>
      <c r="AF902" s="4">
        <f>AD225-H902-T902</f>
        <v>3951.575</v>
      </c>
      <c r="AG902" s="3" t="s">
        <v>260</v>
      </c>
      <c r="AH902" s="8">
        <v>1312.6</v>
      </c>
      <c r="AI902" s="4">
        <f>(AE902+AF902)-AH902</f>
        <v>115589.975</v>
      </c>
      <c r="AJ902" s="4">
        <f>AI902+BP901</f>
        <v>92190.9045</v>
      </c>
      <c r="AK902" s="8" t="s">
        <v>275</v>
      </c>
      <c r="AL902" s="8">
        <v>10261.9</v>
      </c>
      <c r="AM902" s="47" t="s">
        <v>117</v>
      </c>
      <c r="AN902" s="47">
        <v>2000</v>
      </c>
      <c r="AO902" s="8"/>
      <c r="AP902" s="8"/>
      <c r="AQ902" s="47"/>
      <c r="AR902" s="47"/>
      <c r="AS902" s="8"/>
      <c r="AT902" s="8"/>
      <c r="AU902" s="47"/>
      <c r="AV902" s="47"/>
      <c r="AW902" s="8"/>
      <c r="AX902" s="8"/>
      <c r="AY902" s="47"/>
      <c r="AZ902" s="47"/>
      <c r="BA902" s="3"/>
      <c r="BB902" s="8"/>
      <c r="BC902" s="47"/>
      <c r="BD902" s="47"/>
      <c r="BE902" s="8"/>
      <c r="BF902" s="8"/>
      <c r="BG902" s="47"/>
      <c r="BH902" s="47">
        <v>1000</v>
      </c>
      <c r="BI902" s="8"/>
      <c r="BJ902" s="3"/>
      <c r="BK902" s="47"/>
      <c r="BL902" s="47"/>
      <c r="BM902" s="46"/>
      <c r="BN902" s="46"/>
      <c r="BO902" s="24">
        <f>AL902+AN902+AP902+AR902+AT902+AV902+AX902+AZ902+BB902+BD902+BF902+BH902+BJ902+BL902</f>
        <v>13261.9</v>
      </c>
      <c r="BP902" s="28">
        <f>AJ902-BO902</f>
        <v>78929.0045</v>
      </c>
      <c r="BQ902" s="2">
        <v>45573</v>
      </c>
    </row>
    <row r="903" spans="1:73" hidden="true">
      <c r="D903" s="9" t="s">
        <v>15</v>
      </c>
      <c r="E903" s="2">
        <v>45574</v>
      </c>
      <c r="F903" s="38"/>
      <c r="G903" s="51"/>
      <c r="H903" s="4">
        <f>F226*50%</f>
        <v>2514.225</v>
      </c>
      <c r="I903" s="120"/>
      <c r="J903" s="4">
        <f>(G903+H903)-I903</f>
        <v>2514.225</v>
      </c>
      <c r="K903" s="4">
        <f>J903+O902</f>
        <v>16362.195</v>
      </c>
      <c r="L903" s="3"/>
      <c r="M903" s="3"/>
      <c r="N903" s="33">
        <f>I903+M903</f>
        <v>0</v>
      </c>
      <c r="O903" s="28">
        <f>K903-M903</f>
        <v>16362.195</v>
      </c>
      <c r="P903" s="9" t="s">
        <v>15</v>
      </c>
      <c r="Q903" s="2">
        <v>45574</v>
      </c>
      <c r="R903" s="38"/>
      <c r="S903" s="52"/>
      <c r="T903" s="4">
        <f>R226*45%</f>
        <v>3906.81</v>
      </c>
      <c r="U903" s="5"/>
      <c r="V903" s="4">
        <f>(S903+T903)-U903</f>
        <v>3906.81</v>
      </c>
      <c r="W903" s="4">
        <f>V903+AA902</f>
        <v>13982.07</v>
      </c>
      <c r="X903" s="3"/>
      <c r="Y903" s="3"/>
      <c r="Z903" s="25">
        <f>U903+Y903</f>
        <v>0</v>
      </c>
      <c r="AA903" s="76">
        <f>W903-Y903</f>
        <v>13982.07</v>
      </c>
      <c r="AB903" s="9" t="s">
        <v>15</v>
      </c>
      <c r="AC903" s="19">
        <v>45574</v>
      </c>
      <c r="AD903" s="66"/>
      <c r="AE903" s="67"/>
      <c r="AF903" s="4">
        <f>AD226-H903-T903</f>
        <v>7289.215</v>
      </c>
      <c r="AG903" s="3" t="s">
        <v>260</v>
      </c>
      <c r="AH903" s="8">
        <v>1601</v>
      </c>
      <c r="AI903" s="4">
        <f>(AE903+AF903)-AH903</f>
        <v>5688.215</v>
      </c>
      <c r="AJ903" s="4">
        <f>AI903+BP902</f>
        <v>84617.2195</v>
      </c>
      <c r="AK903" s="8" t="s">
        <v>276</v>
      </c>
      <c r="AL903" s="8">
        <v>1942.3</v>
      </c>
      <c r="AM903" s="47"/>
      <c r="AN903" s="47"/>
      <c r="AO903" s="8"/>
      <c r="AP903" s="8"/>
      <c r="AQ903" s="47" t="s">
        <v>277</v>
      </c>
      <c r="AR903" s="47">
        <v>1457</v>
      </c>
      <c r="AS903" s="8"/>
      <c r="AT903" s="8"/>
      <c r="AU903" s="47"/>
      <c r="AV903" s="47"/>
      <c r="AW903" s="8"/>
      <c r="AX903" s="8"/>
      <c r="AY903" s="47"/>
      <c r="AZ903" s="47"/>
      <c r="BA903" s="8" t="s">
        <v>278</v>
      </c>
      <c r="BB903" s="8">
        <v>200</v>
      </c>
      <c r="BC903" s="47"/>
      <c r="BD903" s="47"/>
      <c r="BE903" s="8"/>
      <c r="BF903" s="8"/>
      <c r="BG903" s="47"/>
      <c r="BH903" s="47">
        <v>1000</v>
      </c>
      <c r="BI903" s="8"/>
      <c r="BJ903" s="3"/>
      <c r="BK903" s="47"/>
      <c r="BL903" s="47"/>
      <c r="BM903" s="46"/>
      <c r="BN903" s="46"/>
      <c r="BO903" s="24">
        <f>AL903+AN903+AP903+AR903+AT903+AV903+AX903+AZ903+BB903+BD903+BF903+BH903+BJ903+BL903</f>
        <v>4599.3</v>
      </c>
      <c r="BP903" s="28">
        <f>AJ903-BO903</f>
        <v>80017.9195</v>
      </c>
      <c r="BQ903" s="2">
        <v>45574</v>
      </c>
    </row>
    <row r="904" spans="1:73" hidden="true">
      <c r="D904" s="9" t="s">
        <v>16</v>
      </c>
      <c r="E904" s="2">
        <v>45575</v>
      </c>
      <c r="F904" s="38"/>
      <c r="G904" s="51"/>
      <c r="H904" s="4">
        <f>F227*50%</f>
        <v>2180.625</v>
      </c>
      <c r="I904" s="120"/>
      <c r="J904" s="4">
        <f>(G904+H904)-I904</f>
        <v>2180.625</v>
      </c>
      <c r="K904" s="4">
        <f>J904+O903</f>
        <v>18542.82</v>
      </c>
      <c r="L904" s="3"/>
      <c r="M904" s="3"/>
      <c r="N904" s="33">
        <f>I904+M904</f>
        <v>0</v>
      </c>
      <c r="O904" s="28">
        <f>K904-M904</f>
        <v>18542.82</v>
      </c>
      <c r="P904" s="9" t="s">
        <v>16</v>
      </c>
      <c r="Q904" s="2">
        <v>45575</v>
      </c>
      <c r="R904" s="38"/>
      <c r="S904" s="52"/>
      <c r="T904" s="4">
        <f>R227*45%</f>
        <v>1832.85</v>
      </c>
      <c r="U904" s="5">
        <v>441</v>
      </c>
      <c r="V904" s="4">
        <f>(S904+T904)-U904</f>
        <v>1391.85</v>
      </c>
      <c r="W904" s="4">
        <f>V904+AA903</f>
        <v>15373.92</v>
      </c>
      <c r="X904" s="3" t="s">
        <v>269</v>
      </c>
      <c r="Y904" s="3">
        <v>11826</v>
      </c>
      <c r="Z904" s="25">
        <f>U904+Y904</f>
        <v>12267</v>
      </c>
      <c r="AA904" s="76">
        <f>W904-Y904</f>
        <v>3547.92</v>
      </c>
      <c r="AB904" s="9" t="s">
        <v>16</v>
      </c>
      <c r="AC904" s="19">
        <v>45575</v>
      </c>
      <c r="AD904" s="66"/>
      <c r="AE904" s="67"/>
      <c r="AF904" s="4">
        <f>AD227-H904-T904</f>
        <v>4420.775</v>
      </c>
      <c r="AG904" s="3" t="s">
        <v>260</v>
      </c>
      <c r="AH904" s="8">
        <v>929.25</v>
      </c>
      <c r="AI904" s="4">
        <f>(AE904+AF904)-AH904</f>
        <v>3491.525</v>
      </c>
      <c r="AJ904" s="4">
        <f>AI904+BP903</f>
        <v>83509.4445</v>
      </c>
      <c r="AK904" s="8" t="s">
        <v>276</v>
      </c>
      <c r="AL904" s="8">
        <v>2500</v>
      </c>
      <c r="AM904" s="47" t="s">
        <v>279</v>
      </c>
      <c r="AN904" s="47">
        <v>8340</v>
      </c>
      <c r="AO904" s="8" t="s">
        <v>280</v>
      </c>
      <c r="AP904" s="8">
        <v>300</v>
      </c>
      <c r="AQ904" s="47"/>
      <c r="AR904" s="47"/>
      <c r="AS904" s="8" t="s">
        <v>227</v>
      </c>
      <c r="AT904" s="8">
        <v>5846</v>
      </c>
      <c r="AU904" s="47"/>
      <c r="AV904" s="47"/>
      <c r="AW904" s="8"/>
      <c r="AX904" s="8"/>
      <c r="AY904" s="47"/>
      <c r="AZ904" s="47"/>
      <c r="BA904" s="8"/>
      <c r="BB904" s="8"/>
      <c r="BC904" s="47"/>
      <c r="BD904" s="47"/>
      <c r="BE904" s="8"/>
      <c r="BF904" s="8"/>
      <c r="BG904" s="47"/>
      <c r="BH904" s="47">
        <v>1000</v>
      </c>
      <c r="BI904" s="8"/>
      <c r="BJ904" s="3"/>
      <c r="BK904" s="47" t="s">
        <v>281</v>
      </c>
      <c r="BL904" s="47">
        <v>11692</v>
      </c>
      <c r="BM904" s="46"/>
      <c r="BN904" s="46"/>
      <c r="BO904" s="24">
        <f>AL904+AN904+AP904+AR904+AT904+AV904+AX904+AZ904+BB904+BD904+BF904+BH904+BJ904+BL904</f>
        <v>29678</v>
      </c>
      <c r="BP904" s="28">
        <f>AJ904-BO904</f>
        <v>53831.4445</v>
      </c>
      <c r="BQ904" s="2">
        <v>45575</v>
      </c>
    </row>
    <row r="905" spans="1:73" hidden="true">
      <c r="D905" s="9" t="s">
        <v>10</v>
      </c>
      <c r="E905" s="2">
        <v>45576</v>
      </c>
      <c r="F905" s="38"/>
      <c r="G905" s="51"/>
      <c r="H905" s="4">
        <f>F228*50%</f>
        <v>2170.575</v>
      </c>
      <c r="I905" s="120"/>
      <c r="J905" s="4">
        <f>(G905+H905)-I905</f>
        <v>2170.575</v>
      </c>
      <c r="K905" s="4">
        <f>J905+O904</f>
        <v>20713.395</v>
      </c>
      <c r="L905" s="3"/>
      <c r="M905" s="3"/>
      <c r="N905" s="33">
        <f>I905+M905</f>
        <v>0</v>
      </c>
      <c r="O905" s="28">
        <f>K905-M905</f>
        <v>20713.395</v>
      </c>
      <c r="P905" s="9" t="s">
        <v>10</v>
      </c>
      <c r="Q905" s="2">
        <v>45576</v>
      </c>
      <c r="R905" s="38"/>
      <c r="S905" s="52"/>
      <c r="T905" s="4">
        <f>R228*45%</f>
        <v>2226.15</v>
      </c>
      <c r="U905" s="5">
        <v>440</v>
      </c>
      <c r="V905" s="4">
        <f>(S905+T905)-U905</f>
        <v>1786.15</v>
      </c>
      <c r="W905" s="4">
        <f>V905+AA904</f>
        <v>5334.07</v>
      </c>
      <c r="X905" s="3"/>
      <c r="Y905" s="3"/>
      <c r="Z905" s="25">
        <f>U905+Y905</f>
        <v>440</v>
      </c>
      <c r="AA905" s="76">
        <f>W905-Y905</f>
        <v>5334.07</v>
      </c>
      <c r="AB905" s="9" t="s">
        <v>10</v>
      </c>
      <c r="AC905" s="19">
        <v>45576</v>
      </c>
      <c r="AD905" s="66"/>
      <c r="AE905" s="67"/>
      <c r="AF905" s="4">
        <f>AD228-H905-T905</f>
        <v>4891.425</v>
      </c>
      <c r="AG905" s="3" t="s">
        <v>260</v>
      </c>
      <c r="AH905" s="8">
        <v>1232</v>
      </c>
      <c r="AI905" s="4">
        <f>(AE905+AF905)-AH905</f>
        <v>3659.425</v>
      </c>
      <c r="AJ905" s="4">
        <f>AI905+BP904</f>
        <v>57490.8695</v>
      </c>
      <c r="AK905" s="8" t="s">
        <v>276</v>
      </c>
      <c r="AL905" s="8">
        <v>923.08</v>
      </c>
      <c r="AM905" s="47" t="s">
        <v>282</v>
      </c>
      <c r="AN905" s="47">
        <v>25000</v>
      </c>
      <c r="AO905" s="8"/>
      <c r="AP905" s="8"/>
      <c r="AQ905" s="47"/>
      <c r="AR905" s="47"/>
      <c r="AS905" s="8"/>
      <c r="AT905" s="8"/>
      <c r="AU905" s="47"/>
      <c r="AV905" s="47"/>
      <c r="AW905" s="8"/>
      <c r="AX905" s="8"/>
      <c r="AY905" s="47"/>
      <c r="AZ905" s="47"/>
      <c r="BA905" s="8"/>
      <c r="BB905" s="8"/>
      <c r="BC905" s="47"/>
      <c r="BD905" s="47"/>
      <c r="BE905" s="8"/>
      <c r="BF905" s="8"/>
      <c r="BG905" s="47"/>
      <c r="BH905" s="47">
        <v>1000</v>
      </c>
      <c r="BI905" s="8"/>
      <c r="BJ905" s="3"/>
      <c r="BK905" s="47"/>
      <c r="BL905" s="47"/>
      <c r="BM905" s="46"/>
      <c r="BN905" s="46"/>
      <c r="BO905" s="24">
        <f>AL905+AN905+AP905+AR905+AT905+AV905+AX905+AZ905+BB905+BD905+BF905+BH905+BJ905+BL905</f>
        <v>26923.08</v>
      </c>
      <c r="BP905" s="28">
        <f>AJ905-BO905</f>
        <v>30567.7895</v>
      </c>
      <c r="BQ905" s="2">
        <v>45576</v>
      </c>
    </row>
    <row r="906" spans="1:73" hidden="true">
      <c r="D906" s="9" t="s">
        <v>11</v>
      </c>
      <c r="E906" s="2">
        <v>45577</v>
      </c>
      <c r="F906" s="38"/>
      <c r="G906" s="51"/>
      <c r="H906" s="4">
        <f>F229*50%</f>
        <v>2308.75</v>
      </c>
      <c r="I906" s="120"/>
      <c r="J906" s="4">
        <f>(G906+H906)-I906</f>
        <v>2308.75</v>
      </c>
      <c r="K906" s="4">
        <f>J906+O905</f>
        <v>23022.145</v>
      </c>
      <c r="L906" s="3"/>
      <c r="M906" s="3"/>
      <c r="N906" s="33">
        <f>I906+M906</f>
        <v>0</v>
      </c>
      <c r="O906" s="28">
        <f>K906-M906</f>
        <v>23022.145</v>
      </c>
      <c r="P906" s="9" t="s">
        <v>11</v>
      </c>
      <c r="Q906" s="2">
        <v>45577</v>
      </c>
      <c r="R906" s="38"/>
      <c r="S906" s="52"/>
      <c r="T906" s="4">
        <f>R229*45%</f>
        <v>3781.71</v>
      </c>
      <c r="U906" s="5">
        <v>426</v>
      </c>
      <c r="V906" s="4">
        <f>(S906+T906)-U906</f>
        <v>3355.71</v>
      </c>
      <c r="W906" s="4">
        <f>V906+AA905</f>
        <v>8689.78</v>
      </c>
      <c r="X906" s="3"/>
      <c r="Y906" s="3"/>
      <c r="Z906" s="25">
        <f>U906+Y906</f>
        <v>426</v>
      </c>
      <c r="AA906" s="76">
        <f>W906-Y906</f>
        <v>8689.78</v>
      </c>
      <c r="AB906" s="9" t="s">
        <v>11</v>
      </c>
      <c r="AC906" s="19">
        <v>45577</v>
      </c>
      <c r="AD906" s="66"/>
      <c r="AE906" s="67"/>
      <c r="AF906" s="4">
        <f>AD229-H906-T906</f>
        <v>6930.84</v>
      </c>
      <c r="AG906" s="3" t="s">
        <v>260</v>
      </c>
      <c r="AH906" s="8">
        <v>1583</v>
      </c>
      <c r="AI906" s="4">
        <f>(AE906+AF906)-AH906</f>
        <v>5347.84</v>
      </c>
      <c r="AJ906" s="4">
        <f>AI906+BP905</f>
        <v>35915.6295</v>
      </c>
      <c r="AK906" s="8" t="s">
        <v>276</v>
      </c>
      <c r="AL906" s="8">
        <v>7310.06</v>
      </c>
      <c r="AM906" s="47"/>
      <c r="AN906" s="47"/>
      <c r="AO906" s="8"/>
      <c r="AP906" s="8"/>
      <c r="AQ906" s="47"/>
      <c r="AR906" s="47"/>
      <c r="AS906" s="8"/>
      <c r="AT906" s="8"/>
      <c r="AU906" s="47"/>
      <c r="AV906" s="47"/>
      <c r="AW906" s="8"/>
      <c r="AX906" s="8"/>
      <c r="AY906" s="47"/>
      <c r="AZ906" s="47"/>
      <c r="BA906" s="8"/>
      <c r="BB906" s="8"/>
      <c r="BC906" s="47"/>
      <c r="BD906" s="47"/>
      <c r="BE906" s="8"/>
      <c r="BF906" s="8"/>
      <c r="BG906" s="47"/>
      <c r="BH906" s="47">
        <v>1000</v>
      </c>
      <c r="BI906" s="8"/>
      <c r="BJ906" s="3"/>
      <c r="BK906" s="47"/>
      <c r="BL906" s="47"/>
      <c r="BM906" s="46"/>
      <c r="BN906" s="46"/>
      <c r="BO906" s="24">
        <f>AL906+AN906+AP906+AR906+AT906+AV906+AX906+AZ906+BB906+BD906+BF906+BH906+BJ906+BL906</f>
        <v>8310.06</v>
      </c>
      <c r="BP906" s="28">
        <f>AJ906-BO906</f>
        <v>27605.5695</v>
      </c>
      <c r="BQ906" s="2">
        <v>45577</v>
      </c>
    </row>
    <row r="907" spans="1:73" hidden="true">
      <c r="D907" s="9" t="s">
        <v>12</v>
      </c>
      <c r="E907" s="2">
        <v>45578</v>
      </c>
      <c r="F907" s="38"/>
      <c r="G907" s="51"/>
      <c r="H907" s="4">
        <f>F230*50%</f>
        <v>2562.025</v>
      </c>
      <c r="I907" s="120"/>
      <c r="J907" s="4">
        <f>(G907+H907)-I907</f>
        <v>2562.025</v>
      </c>
      <c r="K907" s="4">
        <f>J907+O906</f>
        <v>25584.17</v>
      </c>
      <c r="L907" s="3"/>
      <c r="M907" s="3"/>
      <c r="N907" s="33">
        <f>I907+M907</f>
        <v>0</v>
      </c>
      <c r="O907" s="28">
        <f>K907-M907</f>
        <v>25584.17</v>
      </c>
      <c r="P907" s="9" t="s">
        <v>12</v>
      </c>
      <c r="Q907" s="2">
        <v>45578</v>
      </c>
      <c r="R907" s="38"/>
      <c r="S907" s="52"/>
      <c r="T907" s="4">
        <f>R230*45%</f>
        <v>2753.775</v>
      </c>
      <c r="U907" s="5"/>
      <c r="V907" s="4">
        <f>(S907+T907)-U907</f>
        <v>2753.775</v>
      </c>
      <c r="W907" s="4">
        <f>V907+AA906</f>
        <v>11443.555</v>
      </c>
      <c r="X907" s="3"/>
      <c r="Y907" s="3"/>
      <c r="Z907" s="25">
        <f>U907+Y907</f>
        <v>0</v>
      </c>
      <c r="AA907" s="76">
        <f>W907-Y907</f>
        <v>11443.555</v>
      </c>
      <c r="AB907" s="9" t="s">
        <v>12</v>
      </c>
      <c r="AC907" s="19">
        <v>45578</v>
      </c>
      <c r="AD907" s="66"/>
      <c r="AE907" s="67"/>
      <c r="AF907" s="4">
        <f>AD230-H907-T907</f>
        <v>5927.75</v>
      </c>
      <c r="AG907" s="3" t="s">
        <v>260</v>
      </c>
      <c r="AH907" s="8">
        <v>1412.4</v>
      </c>
      <c r="AI907" s="4">
        <f>(AE907+AF907)-AH907</f>
        <v>4515.35</v>
      </c>
      <c r="AJ907" s="4">
        <f>AI907+BP906</f>
        <v>32120.9195</v>
      </c>
      <c r="AK907" s="8" t="s">
        <v>276</v>
      </c>
      <c r="AL907" s="8">
        <v>9896.08</v>
      </c>
      <c r="AM907" s="47"/>
      <c r="AN907" s="47"/>
      <c r="AO907" s="8"/>
      <c r="AP907" s="8"/>
      <c r="AQ907" s="47"/>
      <c r="AR907" s="47"/>
      <c r="AS907" s="8"/>
      <c r="AT907" s="8"/>
      <c r="AU907" s="47"/>
      <c r="AV907" s="47"/>
      <c r="AW907" s="8"/>
      <c r="AX907" s="8"/>
      <c r="AY907" s="47"/>
      <c r="AZ907" s="47"/>
      <c r="BA907" s="8"/>
      <c r="BB907" s="8"/>
      <c r="BC907" s="47"/>
      <c r="BD907" s="47"/>
      <c r="BE907" s="8"/>
      <c r="BF907" s="8"/>
      <c r="BG907" s="47"/>
      <c r="BH907" s="47">
        <v>1000</v>
      </c>
      <c r="BI907" s="8"/>
      <c r="BJ907" s="3"/>
      <c r="BK907" s="47"/>
      <c r="BL907" s="47"/>
      <c r="BM907" s="46"/>
      <c r="BN907" s="46"/>
      <c r="BO907" s="24">
        <f>AL907+AN907+AP907+AR907+AT907+AV907+AX907+AZ907+BB907+BD907+BF907+BH907+BJ907+BL907</f>
        <v>10896.08</v>
      </c>
      <c r="BP907" s="28">
        <f>AJ907-BO907</f>
        <v>21224.8395</v>
      </c>
      <c r="BQ907" s="2">
        <v>45578</v>
      </c>
    </row>
    <row r="908" spans="1:73" hidden="true">
      <c r="D908" s="9" t="s">
        <v>13</v>
      </c>
      <c r="E908" s="2">
        <v>45579</v>
      </c>
      <c r="F908" s="38"/>
      <c r="G908" s="51"/>
      <c r="H908" s="4">
        <f>F231*50%</f>
        <v>1681.3</v>
      </c>
      <c r="I908" s="120">
        <v>3304</v>
      </c>
      <c r="J908" s="4">
        <f>(G908+H908)-I908</f>
        <v>-1622.7</v>
      </c>
      <c r="K908" s="4">
        <f>J908+O907</f>
        <v>23961.47</v>
      </c>
      <c r="L908" s="3"/>
      <c r="M908" s="3"/>
      <c r="N908" s="33">
        <f>I908+M908</f>
        <v>3304</v>
      </c>
      <c r="O908" s="28">
        <f>K908-M908</f>
        <v>23961.47</v>
      </c>
      <c r="P908" s="9" t="s">
        <v>13</v>
      </c>
      <c r="Q908" s="2">
        <v>45579</v>
      </c>
      <c r="R908" s="38"/>
      <c r="S908" s="52"/>
      <c r="T908" s="4">
        <f>R231*45%</f>
        <v>1825.2</v>
      </c>
      <c r="U908" s="5"/>
      <c r="V908" s="4">
        <f>(S908+T908)-U908</f>
        <v>1825.2</v>
      </c>
      <c r="W908" s="4">
        <f>V908+AA907</f>
        <v>13268.755</v>
      </c>
      <c r="X908" s="3"/>
      <c r="Y908" s="3"/>
      <c r="Z908" s="25">
        <f>U908+Y908</f>
        <v>0</v>
      </c>
      <c r="AA908" s="76">
        <f>W908-Y908</f>
        <v>13268.755</v>
      </c>
      <c r="AB908" s="9" t="s">
        <v>13</v>
      </c>
      <c r="AC908" s="19">
        <v>45579</v>
      </c>
      <c r="AD908" s="66"/>
      <c r="AE908" s="67"/>
      <c r="AF908" s="4">
        <f>AD231-H908-T908</f>
        <v>3912.1</v>
      </c>
      <c r="AG908" s="3" t="s">
        <v>260</v>
      </c>
      <c r="AH908" s="8">
        <v>692.6</v>
      </c>
      <c r="AI908" s="4">
        <f>(AE908+AF908)-AH908</f>
        <v>3219.5</v>
      </c>
      <c r="AJ908" s="4">
        <f>AI908+BP907</f>
        <v>24444.3395</v>
      </c>
      <c r="AK908" s="8" t="s">
        <v>276</v>
      </c>
      <c r="AL908" s="8">
        <v>10281</v>
      </c>
      <c r="AM908" s="47"/>
      <c r="AN908" s="47"/>
      <c r="AO908" s="8"/>
      <c r="AP908" s="8"/>
      <c r="AQ908" s="47"/>
      <c r="AR908" s="47"/>
      <c r="AS908" s="8"/>
      <c r="AT908" s="8"/>
      <c r="AU908" s="47"/>
      <c r="AV908" s="47"/>
      <c r="AW908" s="8"/>
      <c r="AX908" s="8"/>
      <c r="AY908" s="47" t="s">
        <v>283</v>
      </c>
      <c r="AZ908" s="47">
        <v>237.4</v>
      </c>
      <c r="BA908" s="8" t="s">
        <v>284</v>
      </c>
      <c r="BB908" s="8">
        <v>2500</v>
      </c>
      <c r="BC908" s="47"/>
      <c r="BD908" s="47"/>
      <c r="BE908" s="8"/>
      <c r="BF908" s="8"/>
      <c r="BG908" s="47"/>
      <c r="BH908" s="47">
        <v>1000</v>
      </c>
      <c r="BI908" s="8"/>
      <c r="BJ908" s="3"/>
      <c r="BK908" s="47"/>
      <c r="BL908" s="47"/>
      <c r="BM908" s="46"/>
      <c r="BN908" s="46"/>
      <c r="BO908" s="24">
        <f>AL908+AN908+AP908+AR908+AT908+AV908+AX908+AZ908+BB908+BD908+BF908+BH908+BJ908+BL908</f>
        <v>14018.4</v>
      </c>
      <c r="BP908" s="28">
        <f>AJ908-BO908</f>
        <v>10425.9395</v>
      </c>
      <c r="BQ908" s="2">
        <v>45579</v>
      </c>
    </row>
    <row r="909" spans="1:73" hidden="true">
      <c r="D909" s="9" t="s">
        <v>14</v>
      </c>
      <c r="E909" s="2">
        <v>45580</v>
      </c>
      <c r="F909" s="38"/>
      <c r="G909" s="51"/>
      <c r="H909" s="4">
        <f>F232*50%</f>
        <v>2001.675</v>
      </c>
      <c r="I909" s="120">
        <v>2128</v>
      </c>
      <c r="J909" s="4">
        <f>(G909+H909)-I909</f>
        <v>-126.325</v>
      </c>
      <c r="K909" s="4">
        <f>J909+O908</f>
        <v>23835.145</v>
      </c>
      <c r="L909" s="3" t="s">
        <v>285</v>
      </c>
      <c r="M909" s="3">
        <v>4716</v>
      </c>
      <c r="N909" s="33">
        <f>I909+M909</f>
        <v>6844</v>
      </c>
      <c r="O909" s="28">
        <f>K909-M909</f>
        <v>19119.145</v>
      </c>
      <c r="P909" s="9" t="s">
        <v>14</v>
      </c>
      <c r="Q909" s="2">
        <v>45580</v>
      </c>
      <c r="R909" s="38"/>
      <c r="S909" s="52"/>
      <c r="T909" s="4">
        <f>R232*45%</f>
        <v>1626.93</v>
      </c>
      <c r="U909" s="5"/>
      <c r="V909" s="4">
        <f>(S909+T909)-U909</f>
        <v>1626.93</v>
      </c>
      <c r="W909" s="4">
        <f>V909+AA908</f>
        <v>14895.685</v>
      </c>
      <c r="X909" s="3"/>
      <c r="Y909" s="3"/>
      <c r="Z909" s="25">
        <f>U909+Y909</f>
        <v>0</v>
      </c>
      <c r="AA909" s="76">
        <f>W909-Y909</f>
        <v>14895.685</v>
      </c>
      <c r="AB909" s="9" t="s">
        <v>14</v>
      </c>
      <c r="AC909" s="19">
        <v>45580</v>
      </c>
      <c r="AD909" s="66" t="s">
        <v>286</v>
      </c>
      <c r="AE909" s="67">
        <v>17500</v>
      </c>
      <c r="AF909" s="4">
        <f>AD232-H909-T909</f>
        <v>3990.145</v>
      </c>
      <c r="AG909" s="3" t="s">
        <v>260</v>
      </c>
      <c r="AH909" s="8">
        <v>669.8</v>
      </c>
      <c r="AI909" s="4">
        <f>(AE909+AF909)-AH909</f>
        <v>20820.345</v>
      </c>
      <c r="AJ909" s="4">
        <f>AI909+BP908</f>
        <v>31246.2845</v>
      </c>
      <c r="AK909" s="8" t="s">
        <v>276</v>
      </c>
      <c r="AL909" s="8">
        <v>10324.85</v>
      </c>
      <c r="AM909" s="47" t="s">
        <v>274</v>
      </c>
      <c r="AN909" s="47">
        <v>15000</v>
      </c>
      <c r="AO909" s="81" t="s">
        <v>287</v>
      </c>
      <c r="AP909" s="8">
        <v>2</v>
      </c>
      <c r="AQ909" s="47"/>
      <c r="AR909" s="47"/>
      <c r="AS909" s="8"/>
      <c r="AT909" s="8"/>
      <c r="AU909" s="47"/>
      <c r="AV909" s="47"/>
      <c r="AW909" s="8"/>
      <c r="AX909" s="8"/>
      <c r="AY909" s="47"/>
      <c r="AZ909" s="47"/>
      <c r="BA909" s="8"/>
      <c r="BB909" s="8"/>
      <c r="BC909" s="47"/>
      <c r="BD909" s="47"/>
      <c r="BE909" s="8"/>
      <c r="BF909" s="8"/>
      <c r="BG909" s="47"/>
      <c r="BH909" s="47">
        <v>1000</v>
      </c>
      <c r="BI909" s="8"/>
      <c r="BJ909" s="3"/>
      <c r="BK909" s="47"/>
      <c r="BL909" s="47"/>
      <c r="BM909" s="46"/>
      <c r="BN909" s="46"/>
      <c r="BO909" s="24">
        <f>AL909+AN909+AP909+AR909+AT909+AV909+AX909+AZ909+BB909+BD909+BF909+BH909+BJ909+BL909</f>
        <v>26326.85</v>
      </c>
      <c r="BP909" s="28">
        <f>AJ909-BO909</f>
        <v>4919.4344999999</v>
      </c>
      <c r="BQ909" s="2">
        <v>45580</v>
      </c>
    </row>
    <row r="910" spans="1:73" hidden="true">
      <c r="D910" s="9" t="s">
        <v>15</v>
      </c>
      <c r="E910" s="2">
        <v>45581</v>
      </c>
      <c r="F910" s="38"/>
      <c r="G910" s="51"/>
      <c r="H910" s="4">
        <f>F233*50%</f>
        <v>1482.175</v>
      </c>
      <c r="I910" s="120">
        <v>2649</v>
      </c>
      <c r="J910" s="4">
        <f>(G910+H910)-I910</f>
        <v>-1166.825</v>
      </c>
      <c r="K910" s="4">
        <f>J910+O909</f>
        <v>17952.32</v>
      </c>
      <c r="L910" s="3"/>
      <c r="M910" s="3"/>
      <c r="N910" s="33">
        <f>I910+M910</f>
        <v>2649</v>
      </c>
      <c r="O910" s="28">
        <f>K910-M910</f>
        <v>17952.32</v>
      </c>
      <c r="P910" s="9" t="s">
        <v>15</v>
      </c>
      <c r="Q910" s="2">
        <v>45581</v>
      </c>
      <c r="R910" s="38"/>
      <c r="S910" s="52"/>
      <c r="T910" s="4">
        <f>R233*45%</f>
        <v>2362.725</v>
      </c>
      <c r="U910" s="5"/>
      <c r="V910" s="4">
        <f>(S910+T910)-U910</f>
        <v>2362.725</v>
      </c>
      <c r="W910" s="4">
        <f>V910+AA909</f>
        <v>17258.41</v>
      </c>
      <c r="X910" s="3"/>
      <c r="Y910" s="3"/>
      <c r="Z910" s="25">
        <f>U910+Y910</f>
        <v>0</v>
      </c>
      <c r="AA910" s="76">
        <f>W910-Y910</f>
        <v>17258.41</v>
      </c>
      <c r="AB910" s="9" t="s">
        <v>15</v>
      </c>
      <c r="AC910" s="19">
        <v>45581</v>
      </c>
      <c r="AD910" s="66"/>
      <c r="AE910" s="67"/>
      <c r="AF910" s="4">
        <f>AD233-H910-T910</f>
        <v>4369.95</v>
      </c>
      <c r="AG910" s="3" t="s">
        <v>260</v>
      </c>
      <c r="AH910" s="8">
        <v>388</v>
      </c>
      <c r="AI910" s="4">
        <f>(AE910+AF910)-AH910</f>
        <v>3981.95</v>
      </c>
      <c r="AJ910" s="4">
        <f>AI910+BP909</f>
        <v>8901.3844999999</v>
      </c>
      <c r="AK910" s="8" t="s">
        <v>276</v>
      </c>
      <c r="AL910" s="8">
        <v>4991.08</v>
      </c>
      <c r="AM910" s="47"/>
      <c r="AN910" s="47"/>
      <c r="AO910" s="81" t="s">
        <v>287</v>
      </c>
      <c r="AP910" s="8">
        <v>0.5</v>
      </c>
      <c r="AQ910" s="47" t="s">
        <v>288</v>
      </c>
      <c r="AR910" s="47">
        <v>720</v>
      </c>
      <c r="AS910" s="8"/>
      <c r="AT910" s="8"/>
      <c r="AU910" s="47"/>
      <c r="AV910" s="47"/>
      <c r="AW910" s="8"/>
      <c r="AX910" s="8"/>
      <c r="AY910" s="47"/>
      <c r="AZ910" s="47"/>
      <c r="BA910" s="8" t="s">
        <v>289</v>
      </c>
      <c r="BB910" s="8">
        <v>10500</v>
      </c>
      <c r="BC910" s="47"/>
      <c r="BD910" s="47"/>
      <c r="BE910" s="8"/>
      <c r="BF910" s="8"/>
      <c r="BG910" s="47"/>
      <c r="BH910" s="47">
        <v>1000</v>
      </c>
      <c r="BI910" s="8"/>
      <c r="BJ910" s="3"/>
      <c r="BK910" s="47"/>
      <c r="BL910" s="47"/>
      <c r="BM910" s="46"/>
      <c r="BN910" s="46"/>
      <c r="BO910" s="24">
        <f>AL910+AN910+AP910+AR910+AT910+AV910+AX910+AZ910+BB910+BD910+BF910+BH910+BJ910+BL910</f>
        <v>17211.58</v>
      </c>
      <c r="BP910" s="28">
        <f>AJ910-BO910</f>
        <v>-8310.1955000001</v>
      </c>
      <c r="BQ910" s="2">
        <v>45581</v>
      </c>
    </row>
    <row r="911" spans="1:73" hidden="true">
      <c r="D911" s="9" t="s">
        <v>16</v>
      </c>
      <c r="E911" s="2">
        <v>45582</v>
      </c>
      <c r="F911" s="38"/>
      <c r="G911" s="51"/>
      <c r="H911" s="4">
        <f>F234*50%</f>
        <v>2301.3</v>
      </c>
      <c r="I911" s="120">
        <v>1937</v>
      </c>
      <c r="J911" s="4">
        <f>(G911+H911)-I911</f>
        <v>364.3</v>
      </c>
      <c r="K911" s="4">
        <f>J911+O910</f>
        <v>18316.62</v>
      </c>
      <c r="L911" s="3" t="s">
        <v>290</v>
      </c>
      <c r="M911" s="3">
        <v>13195.56</v>
      </c>
      <c r="N911" s="33">
        <f>I911+M911</f>
        <v>15132.56</v>
      </c>
      <c r="O911" s="28">
        <f>K911-M911</f>
        <v>5121.06</v>
      </c>
      <c r="P911" s="9" t="s">
        <v>16</v>
      </c>
      <c r="Q911" s="2">
        <v>45582</v>
      </c>
      <c r="R911" s="38"/>
      <c r="S911" s="52"/>
      <c r="T911" s="4">
        <f>R234*45%</f>
        <v>3119.175</v>
      </c>
      <c r="U911" s="5"/>
      <c r="V911" s="4">
        <f>(S911+T911)-U911</f>
        <v>3119.175</v>
      </c>
      <c r="W911" s="4">
        <f>V911+AA910</f>
        <v>20377.585</v>
      </c>
      <c r="X911" s="3"/>
      <c r="Y911" s="3"/>
      <c r="Z911" s="25">
        <f>U911+Y911</f>
        <v>0</v>
      </c>
      <c r="AA911" s="76">
        <f>W911-Y911</f>
        <v>20377.585</v>
      </c>
      <c r="AB911" s="9" t="s">
        <v>16</v>
      </c>
      <c r="AC911" s="19">
        <v>45582</v>
      </c>
      <c r="AD911" s="66" t="s">
        <v>291</v>
      </c>
      <c r="AE911" s="67">
        <v>4213.12</v>
      </c>
      <c r="AF911" s="4">
        <f>AD234-H911-T911</f>
        <v>6113.625</v>
      </c>
      <c r="AG911" s="3" t="s">
        <v>260</v>
      </c>
      <c r="AH911" s="8">
        <v>1211.6</v>
      </c>
      <c r="AI911" s="4">
        <f>(AE911+AF911)-AH911</f>
        <v>9115.145</v>
      </c>
      <c r="AJ911" s="4">
        <f>AI911+BP910</f>
        <v>804.94949999992</v>
      </c>
      <c r="AK911" s="8" t="s">
        <v>276</v>
      </c>
      <c r="AL911" s="8">
        <v>200</v>
      </c>
      <c r="AM911" s="47"/>
      <c r="AN911" s="47"/>
      <c r="AO911" s="8"/>
      <c r="AP911" s="8"/>
      <c r="AQ911" s="47"/>
      <c r="AR911" s="47"/>
      <c r="AS911" s="8"/>
      <c r="AT911" s="8"/>
      <c r="AU911" s="47"/>
      <c r="AV911" s="47"/>
      <c r="AW911" s="8"/>
      <c r="AX911" s="8"/>
      <c r="AY911" s="47"/>
      <c r="AZ911" s="47"/>
      <c r="BA911" s="8"/>
      <c r="BB911" s="8"/>
      <c r="BC911" s="47"/>
      <c r="BD911" s="47"/>
      <c r="BE911" s="8"/>
      <c r="BF911" s="8"/>
      <c r="BG911" s="47"/>
      <c r="BH911" s="47">
        <v>1000</v>
      </c>
      <c r="BI911" s="8" t="s">
        <v>292</v>
      </c>
      <c r="BJ911" s="3">
        <v>5000</v>
      </c>
      <c r="BK911" s="47"/>
      <c r="BL911" s="47"/>
      <c r="BM911" s="46"/>
      <c r="BN911" s="46"/>
      <c r="BO911" s="24">
        <f>AL911+AN911+AP911+AR911+AT911+AV911+AX911+AZ911+BB911+BD911+BF911+BH911+BJ911+BL911</f>
        <v>6200</v>
      </c>
      <c r="BP911" s="28">
        <f>AJ911-BO911</f>
        <v>-5395.0505000001</v>
      </c>
      <c r="BQ911" s="2">
        <v>45582</v>
      </c>
    </row>
    <row r="912" spans="1:73" hidden="true">
      <c r="D912" s="9" t="s">
        <v>10</v>
      </c>
      <c r="E912" s="2">
        <v>45583</v>
      </c>
      <c r="F912" s="38"/>
      <c r="G912" s="51"/>
      <c r="H912" s="4">
        <f>F235*50%</f>
        <v>2130.2</v>
      </c>
      <c r="I912" s="120"/>
      <c r="J912" s="4">
        <f>(G912+H912)-I912</f>
        <v>2130.2</v>
      </c>
      <c r="K912" s="4">
        <f>J912+O911</f>
        <v>7251.26</v>
      </c>
      <c r="L912" s="3"/>
      <c r="M912" s="3"/>
      <c r="N912" s="33">
        <f>I912+M912</f>
        <v>0</v>
      </c>
      <c r="O912" s="28">
        <f>K912-M912</f>
        <v>7251.26</v>
      </c>
      <c r="P912" s="9" t="s">
        <v>10</v>
      </c>
      <c r="Q912" s="2">
        <v>45583</v>
      </c>
      <c r="R912" s="38"/>
      <c r="S912" s="52"/>
      <c r="T912" s="4">
        <f>R235*45%</f>
        <v>2099.7</v>
      </c>
      <c r="U912" s="5"/>
      <c r="V912" s="4">
        <f>(S912+T912)-U912</f>
        <v>2099.7</v>
      </c>
      <c r="W912" s="4">
        <f>V912+AA911</f>
        <v>22477.285</v>
      </c>
      <c r="X912" s="3"/>
      <c r="Y912" s="3"/>
      <c r="Z912" s="25">
        <f>U912+Y912</f>
        <v>0</v>
      </c>
      <c r="AA912" s="76">
        <f>W912-Y912</f>
        <v>22477.285</v>
      </c>
      <c r="AB912" s="9" t="s">
        <v>10</v>
      </c>
      <c r="AC912" s="19">
        <v>45583</v>
      </c>
      <c r="AD912" s="66" t="s">
        <v>259</v>
      </c>
      <c r="AE912" s="67">
        <v>14000</v>
      </c>
      <c r="AF912" s="4">
        <f>AD235-H912-T912</f>
        <v>4696.5</v>
      </c>
      <c r="AG912" s="3" t="s">
        <v>260</v>
      </c>
      <c r="AH912" s="8">
        <v>609</v>
      </c>
      <c r="AI912" s="4">
        <f>(AE912+AF912)-AH912</f>
        <v>18087.5</v>
      </c>
      <c r="AJ912" s="4">
        <f>AI912+BP911</f>
        <v>12692.4495</v>
      </c>
      <c r="AK912" s="8" t="s">
        <v>276</v>
      </c>
      <c r="AL912" s="8">
        <v>300</v>
      </c>
      <c r="AM912" s="47" t="s">
        <v>93</v>
      </c>
      <c r="AN912" s="47">
        <v>1800</v>
      </c>
      <c r="AO912" s="82" t="s">
        <v>293</v>
      </c>
      <c r="AP912" s="8">
        <v>7.5</v>
      </c>
      <c r="AQ912" s="47"/>
      <c r="AR912" s="47"/>
      <c r="AS912" s="8"/>
      <c r="AT912" s="8"/>
      <c r="AU912" s="47"/>
      <c r="AV912" s="47"/>
      <c r="AW912" s="8"/>
      <c r="AX912" s="8"/>
      <c r="AY912" s="47"/>
      <c r="AZ912" s="47"/>
      <c r="BA912" s="8"/>
      <c r="BB912" s="8"/>
      <c r="BC912" s="47"/>
      <c r="BD912" s="47"/>
      <c r="BE912" s="8"/>
      <c r="BF912" s="8"/>
      <c r="BG912" s="47"/>
      <c r="BH912" s="47">
        <v>1000</v>
      </c>
      <c r="BI912" s="8" t="s">
        <v>292</v>
      </c>
      <c r="BJ912" s="3">
        <v>5000</v>
      </c>
      <c r="BK912" s="47"/>
      <c r="BL912" s="47"/>
      <c r="BM912" s="46"/>
      <c r="BN912" s="46"/>
      <c r="BO912" s="24">
        <f>AL912+AN912+AP912+AR912+AT912+AV912+AX912+AZ912+BB912+BD912+BF912+BH912+BJ912+BL912</f>
        <v>8107.5</v>
      </c>
      <c r="BP912" s="28">
        <f>AJ912-BO912</f>
        <v>4584.9494999999</v>
      </c>
      <c r="BQ912" s="2">
        <v>45583</v>
      </c>
    </row>
    <row r="913" spans="1:73" hidden="true">
      <c r="D913" s="9" t="s">
        <v>11</v>
      </c>
      <c r="E913" s="2">
        <v>45584</v>
      </c>
      <c r="F913" s="38"/>
      <c r="G913" s="51"/>
      <c r="H913" s="4">
        <f>F236*50%</f>
        <v>2134.25</v>
      </c>
      <c r="I913" s="120"/>
      <c r="J913" s="4">
        <f>(G913+H913)-I913</f>
        <v>2134.25</v>
      </c>
      <c r="K913" s="4">
        <f>J913+O912</f>
        <v>9385.51</v>
      </c>
      <c r="L913" s="3"/>
      <c r="M913" s="3"/>
      <c r="N913" s="33">
        <f>I913+M913</f>
        <v>0</v>
      </c>
      <c r="O913" s="28">
        <f>K913-M913</f>
        <v>9385.51</v>
      </c>
      <c r="P913" s="9" t="s">
        <v>11</v>
      </c>
      <c r="Q913" s="2">
        <v>45584</v>
      </c>
      <c r="R913" s="38"/>
      <c r="S913" s="52"/>
      <c r="T913" s="4">
        <f>R236*45%</f>
        <v>4086.45</v>
      </c>
      <c r="U913" s="5"/>
      <c r="V913" s="4">
        <f>(S913+T913)-U913</f>
        <v>4086.45</v>
      </c>
      <c r="W913" s="4">
        <f>V913+AA912</f>
        <v>26563.735</v>
      </c>
      <c r="X913" s="3" t="s">
        <v>269</v>
      </c>
      <c r="Y913" s="3">
        <v>11820</v>
      </c>
      <c r="Z913" s="25">
        <f>U913+Y913</f>
        <v>11820</v>
      </c>
      <c r="AA913" s="76">
        <f>W913-Y913</f>
        <v>14743.735</v>
      </c>
      <c r="AB913" s="9" t="s">
        <v>11</v>
      </c>
      <c r="AC913" s="19">
        <v>45584</v>
      </c>
      <c r="AD913" s="66"/>
      <c r="AE913" s="67"/>
      <c r="AF913" s="4">
        <f>AD236-H913-T913</f>
        <v>7128.8</v>
      </c>
      <c r="AG913" s="3" t="s">
        <v>260</v>
      </c>
      <c r="AH913" s="8">
        <v>798.7</v>
      </c>
      <c r="AI913" s="4">
        <f>(AE913+AF913)-AH913</f>
        <v>6330.1</v>
      </c>
      <c r="AJ913" s="4">
        <f>AI913+BP912</f>
        <v>10915.0495</v>
      </c>
      <c r="AK913" s="8"/>
      <c r="AL913" s="8"/>
      <c r="AM913" s="47"/>
      <c r="AN913" s="47"/>
      <c r="AO913" s="8"/>
      <c r="AP913" s="8"/>
      <c r="AQ913" s="47"/>
      <c r="AR913" s="47"/>
      <c r="AS913" s="8"/>
      <c r="AT913" s="8"/>
      <c r="AU913" s="47"/>
      <c r="AV913" s="47"/>
      <c r="AW913" s="8"/>
      <c r="AX913" s="8"/>
      <c r="AY913" s="47"/>
      <c r="AZ913" s="47"/>
      <c r="BA913" s="8"/>
      <c r="BB913" s="8"/>
      <c r="BC913" s="47"/>
      <c r="BD913" s="47"/>
      <c r="BE913" s="8"/>
      <c r="BF913" s="8"/>
      <c r="BG913" s="47"/>
      <c r="BH913" s="47">
        <v>1000</v>
      </c>
      <c r="BI913" s="8"/>
      <c r="BJ913" s="3"/>
      <c r="BK913" s="47"/>
      <c r="BL913" s="47"/>
      <c r="BM913" s="46"/>
      <c r="BN913" s="46"/>
      <c r="BO913" s="24">
        <f>AL913+AN913+AP913+AR913+AT913+AV913+AX913+AZ913+BB913+BD913+BF913+BH913+BJ913+BL913</f>
        <v>1000</v>
      </c>
      <c r="BP913" s="28">
        <f>AJ913-BO913</f>
        <v>9915.0494999999</v>
      </c>
      <c r="BQ913" s="2">
        <v>45584</v>
      </c>
    </row>
    <row r="914" spans="1:73" hidden="true">
      <c r="D914" s="9" t="s">
        <v>12</v>
      </c>
      <c r="E914" s="2">
        <v>45585</v>
      </c>
      <c r="F914" s="38"/>
      <c r="G914" s="51"/>
      <c r="H914" s="4">
        <f>F237*50%</f>
        <v>3370.7</v>
      </c>
      <c r="I914" s="120"/>
      <c r="J914" s="4">
        <f>(G914+H914)-I914</f>
        <v>3370.7</v>
      </c>
      <c r="K914" s="4">
        <f>J914+O913</f>
        <v>12756.21</v>
      </c>
      <c r="L914" s="3"/>
      <c r="M914" s="3"/>
      <c r="N914" s="33">
        <f>I914+M914</f>
        <v>0</v>
      </c>
      <c r="O914" s="28">
        <f>K914-M914</f>
        <v>12756.21</v>
      </c>
      <c r="P914" s="9" t="s">
        <v>12</v>
      </c>
      <c r="Q914" s="2">
        <v>45585</v>
      </c>
      <c r="R914" s="38"/>
      <c r="S914" s="52"/>
      <c r="T914" s="4">
        <f>R237*45%</f>
        <v>3216.105</v>
      </c>
      <c r="U914" s="5"/>
      <c r="V914" s="4">
        <f>(S914+T914)-U914</f>
        <v>3216.105</v>
      </c>
      <c r="W914" s="4">
        <f>V914+AA913</f>
        <v>17959.84</v>
      </c>
      <c r="X914" s="3"/>
      <c r="Y914" s="3"/>
      <c r="Z914" s="25">
        <f>U914+Y914</f>
        <v>0</v>
      </c>
      <c r="AA914" s="76">
        <f>W914-Y914</f>
        <v>17959.84</v>
      </c>
      <c r="AB914" s="9" t="s">
        <v>12</v>
      </c>
      <c r="AC914" s="19">
        <v>45585</v>
      </c>
      <c r="AD914" s="66"/>
      <c r="AE914" s="67"/>
      <c r="AF914" s="4">
        <f>AD237-H914-T914</f>
        <v>7301.495</v>
      </c>
      <c r="AG914" s="3" t="s">
        <v>260</v>
      </c>
      <c r="AH914" s="8">
        <v>1377</v>
      </c>
      <c r="AI914" s="4">
        <f>(AE914+AF914)-AH914</f>
        <v>5924.495</v>
      </c>
      <c r="AJ914" s="4">
        <f>AI914+BP913</f>
        <v>15839.5445</v>
      </c>
      <c r="AK914" s="8"/>
      <c r="AL914" s="8"/>
      <c r="AM914" s="47"/>
      <c r="AN914" s="47"/>
      <c r="AO914" s="8"/>
      <c r="AP914" s="8"/>
      <c r="AQ914" s="47"/>
      <c r="AR914" s="47"/>
      <c r="AS914" s="8"/>
      <c r="AT914" s="8"/>
      <c r="AU914" s="47"/>
      <c r="AV914" s="47"/>
      <c r="AW914" s="8"/>
      <c r="AX914" s="8"/>
      <c r="AY914" s="47"/>
      <c r="AZ914" s="47"/>
      <c r="BA914" s="8"/>
      <c r="BB914" s="8"/>
      <c r="BC914" s="47"/>
      <c r="BD914" s="47"/>
      <c r="BE914" s="8"/>
      <c r="BF914" s="8"/>
      <c r="BG914" s="47"/>
      <c r="BH914" s="47">
        <v>1000</v>
      </c>
      <c r="BI914" s="8"/>
      <c r="BJ914" s="3"/>
      <c r="BK914" s="47"/>
      <c r="BL914" s="47"/>
      <c r="BM914" s="46"/>
      <c r="BN914" s="46"/>
      <c r="BO914" s="24">
        <f>AL914+AN914+AP914+AR914+AT914+AV914+AX914+AZ914+BB914+BD914+BF914+BH914+BJ914+BL914</f>
        <v>1000</v>
      </c>
      <c r="BP914" s="28">
        <f>AJ914-BO914</f>
        <v>14839.5445</v>
      </c>
      <c r="BQ914" s="2">
        <v>45585</v>
      </c>
    </row>
    <row r="915" spans="1:73" hidden="true">
      <c r="D915" s="9" t="s">
        <v>13</v>
      </c>
      <c r="E915" s="2">
        <v>45586</v>
      </c>
      <c r="F915" s="38"/>
      <c r="G915" s="51"/>
      <c r="H915" s="4">
        <f>F238*50%</f>
        <v>1802.05</v>
      </c>
      <c r="I915" s="120"/>
      <c r="J915" s="4">
        <f>(G915+H915)-I915</f>
        <v>1802.05</v>
      </c>
      <c r="K915" s="4">
        <f>J915+O914</f>
        <v>14558.26</v>
      </c>
      <c r="L915" s="3"/>
      <c r="M915" s="3"/>
      <c r="N915" s="33">
        <f>I915+M915</f>
        <v>0</v>
      </c>
      <c r="O915" s="28">
        <f>K915-M915</f>
        <v>14558.26</v>
      </c>
      <c r="P915" s="9" t="s">
        <v>13</v>
      </c>
      <c r="Q915" s="2">
        <v>45586</v>
      </c>
      <c r="R915" s="38"/>
      <c r="S915" s="52"/>
      <c r="T915" s="4">
        <f>R238*45%</f>
        <v>863.55</v>
      </c>
      <c r="U915" s="5"/>
      <c r="V915" s="4">
        <f>(S915+T915)-U915</f>
        <v>863.55</v>
      </c>
      <c r="W915" s="4">
        <f>V915+AA914</f>
        <v>18823.39</v>
      </c>
      <c r="X915" s="3" t="s">
        <v>294</v>
      </c>
      <c r="Y915" s="3">
        <v>37972</v>
      </c>
      <c r="Z915" s="25">
        <f>U915+Y915</f>
        <v>37972</v>
      </c>
      <c r="AA915" s="76">
        <f>W915-Y915</f>
        <v>-19148.61</v>
      </c>
      <c r="AB915" s="9" t="s">
        <v>13</v>
      </c>
      <c r="AC915" s="19">
        <v>45586</v>
      </c>
      <c r="AD915" s="66" t="s">
        <v>291</v>
      </c>
      <c r="AE915" s="67">
        <v>518</v>
      </c>
      <c r="AF915" s="4">
        <f>AD238-H915-T915</f>
        <v>2857.5</v>
      </c>
      <c r="AG915" s="3" t="s">
        <v>260</v>
      </c>
      <c r="AH915" s="8">
        <v>354</v>
      </c>
      <c r="AI915" s="4">
        <f>(AE915+AF915)-AH915</f>
        <v>3021.5</v>
      </c>
      <c r="AJ915" s="4">
        <f>AI915+BP914</f>
        <v>17861.0445</v>
      </c>
      <c r="AK915" s="8" t="s">
        <v>276</v>
      </c>
      <c r="AL915" s="8">
        <v>300</v>
      </c>
      <c r="AM915" s="47"/>
      <c r="AN915" s="47"/>
      <c r="AO915" s="8"/>
      <c r="AP915" s="8"/>
      <c r="AQ915" s="47"/>
      <c r="AR915" s="47"/>
      <c r="AS915" s="8"/>
      <c r="AT915" s="8"/>
      <c r="AU915" s="47"/>
      <c r="AV915" s="47"/>
      <c r="AW915" s="8"/>
      <c r="AX915" s="8"/>
      <c r="AY915" s="47"/>
      <c r="AZ915" s="47"/>
      <c r="BA915" s="8"/>
      <c r="BB915" s="8"/>
      <c r="BC915" s="47"/>
      <c r="BD915" s="47"/>
      <c r="BE915" s="8"/>
      <c r="BF915" s="8"/>
      <c r="BG915" s="47"/>
      <c r="BH915" s="47">
        <v>1000</v>
      </c>
      <c r="BI915" s="8"/>
      <c r="BJ915" s="3"/>
      <c r="BK915" s="47"/>
      <c r="BL915" s="47"/>
      <c r="BM915" s="46"/>
      <c r="BN915" s="46"/>
      <c r="BO915" s="24">
        <f>AL915+AN915+AP915+AR915+AT915+AV915+AX915+AZ915+BB915+BD915+BF915+BH915+BJ915+BL915</f>
        <v>1300</v>
      </c>
      <c r="BP915" s="28">
        <f>AJ915-BO915</f>
        <v>16561.0445</v>
      </c>
      <c r="BQ915" s="2">
        <v>45586</v>
      </c>
    </row>
    <row r="916" spans="1:73" hidden="true">
      <c r="D916" s="9" t="s">
        <v>14</v>
      </c>
      <c r="E916" s="2">
        <v>45587</v>
      </c>
      <c r="F916" s="38"/>
      <c r="G916" s="51"/>
      <c r="H916" s="4">
        <f>F239*50%</f>
        <v>1444.325</v>
      </c>
      <c r="I916" s="120"/>
      <c r="J916" s="4">
        <f>(G916+H916)-I916</f>
        <v>1444.325</v>
      </c>
      <c r="K916" s="4">
        <f>J916+O915</f>
        <v>16002.585</v>
      </c>
      <c r="L916" s="3"/>
      <c r="M916" s="3"/>
      <c r="N916" s="33">
        <f>I916+M916</f>
        <v>0</v>
      </c>
      <c r="O916" s="28">
        <f>K916-M916</f>
        <v>16002.585</v>
      </c>
      <c r="P916" s="9" t="s">
        <v>14</v>
      </c>
      <c r="Q916" s="2">
        <v>45587</v>
      </c>
      <c r="R916" s="38"/>
      <c r="S916" s="52"/>
      <c r="T916" s="4">
        <f>R239*45%</f>
        <v>1959.3</v>
      </c>
      <c r="U916" s="5"/>
      <c r="V916" s="4">
        <f>(S916+T916)-U916</f>
        <v>1959.3</v>
      </c>
      <c r="W916" s="4">
        <f>V916+AA915</f>
        <v>-17189.31</v>
      </c>
      <c r="X916" s="3"/>
      <c r="Y916" s="3"/>
      <c r="Z916" s="25">
        <f>U916+Y916</f>
        <v>0</v>
      </c>
      <c r="AA916" s="76">
        <f>W916-Y916</f>
        <v>-17189.31</v>
      </c>
      <c r="AB916" s="9" t="s">
        <v>14</v>
      </c>
      <c r="AC916" s="19">
        <v>45587</v>
      </c>
      <c r="AD916" s="66" t="s">
        <v>291</v>
      </c>
      <c r="AE916" s="67">
        <v>344.07</v>
      </c>
      <c r="AF916" s="4">
        <f>AD239-H916-T916</f>
        <v>3839.025</v>
      </c>
      <c r="AG916" s="3" t="s">
        <v>260</v>
      </c>
      <c r="AH916" s="8">
        <v>644</v>
      </c>
      <c r="AI916" s="4">
        <f>(AE916+AF916)-AH916</f>
        <v>3539.095</v>
      </c>
      <c r="AJ916" s="4">
        <f>AI916+BP915</f>
        <v>20100.1395</v>
      </c>
      <c r="AK916" s="8" t="s">
        <v>276</v>
      </c>
      <c r="AL916" s="8">
        <v>5000</v>
      </c>
      <c r="AM916" s="47"/>
      <c r="AN916" s="47"/>
      <c r="AO916" s="81" t="s">
        <v>287</v>
      </c>
      <c r="AP916" s="8">
        <v>1.5</v>
      </c>
      <c r="AQ916" s="47"/>
      <c r="AR916" s="47"/>
      <c r="AS916" s="8"/>
      <c r="AT916" s="8"/>
      <c r="AU916" s="47"/>
      <c r="AV916" s="47"/>
      <c r="AW916" s="8"/>
      <c r="AX916" s="8"/>
      <c r="AY916" s="47"/>
      <c r="AZ916" s="47"/>
      <c r="BA916" s="8"/>
      <c r="BB916" s="8"/>
      <c r="BC916" s="47"/>
      <c r="BD916" s="47"/>
      <c r="BE916" s="8"/>
      <c r="BF916" s="8"/>
      <c r="BG916" s="47"/>
      <c r="BH916" s="47">
        <v>1000</v>
      </c>
      <c r="BI916" s="8"/>
      <c r="BJ916" s="3"/>
      <c r="BK916" s="47"/>
      <c r="BL916" s="47"/>
      <c r="BM916" s="46"/>
      <c r="BN916" s="46"/>
      <c r="BO916" s="24">
        <f>AL916+AN916+AP916+AR916+AT916+AV916+AX916+AZ916+BB916+BD916+BF916+BH916+BJ916+BL916</f>
        <v>6001.5</v>
      </c>
      <c r="BP916" s="28">
        <f>AJ916-BO916</f>
        <v>14098.6395</v>
      </c>
      <c r="BQ916" s="2">
        <v>45587</v>
      </c>
    </row>
    <row r="917" spans="1:73" hidden="true">
      <c r="D917" s="9" t="s">
        <v>15</v>
      </c>
      <c r="E917" s="2">
        <v>45588</v>
      </c>
      <c r="F917" s="38"/>
      <c r="G917" s="51"/>
      <c r="H917" s="4">
        <f>F240*50%</f>
        <v>1690</v>
      </c>
      <c r="I917" s="120"/>
      <c r="J917" s="4">
        <f>(G917+H917)-I917</f>
        <v>1690</v>
      </c>
      <c r="K917" s="4">
        <f>J917+O916</f>
        <v>17692.585</v>
      </c>
      <c r="L917" s="3"/>
      <c r="M917" s="3"/>
      <c r="N917" s="33">
        <f>I917+M917</f>
        <v>0</v>
      </c>
      <c r="O917" s="28">
        <f>K917-M917</f>
        <v>17692.585</v>
      </c>
      <c r="P917" s="9" t="s">
        <v>15</v>
      </c>
      <c r="Q917" s="2">
        <v>45588</v>
      </c>
      <c r="R917" s="38"/>
      <c r="S917" s="52"/>
      <c r="T917" s="4">
        <f>R240*45%</f>
        <v>1188.9</v>
      </c>
      <c r="U917" s="5"/>
      <c r="V917" s="4">
        <f>(S917+T917)-U917</f>
        <v>1188.9</v>
      </c>
      <c r="W917" s="4">
        <f>V917+AA916</f>
        <v>-16000.41</v>
      </c>
      <c r="X917" s="3"/>
      <c r="Y917" s="3"/>
      <c r="Z917" s="25">
        <f>U917+Y917</f>
        <v>0</v>
      </c>
      <c r="AA917" s="76">
        <f>W917-Y917</f>
        <v>-16000.41</v>
      </c>
      <c r="AB917" s="9" t="s">
        <v>15</v>
      </c>
      <c r="AC917" s="19">
        <v>45588</v>
      </c>
      <c r="AD917" s="66" t="s">
        <v>286</v>
      </c>
      <c r="AE917" s="67">
        <v>5500</v>
      </c>
      <c r="AF917" s="4">
        <f>AD240-H917-T917</f>
        <v>3143.1</v>
      </c>
      <c r="AG917" s="3" t="s">
        <v>260</v>
      </c>
      <c r="AH917" s="8">
        <v>305</v>
      </c>
      <c r="AI917" s="4">
        <f>(AE917+AF917)-AH917</f>
        <v>8338.1</v>
      </c>
      <c r="AJ917" s="4">
        <f>AI917+BP916</f>
        <v>22436.7395</v>
      </c>
      <c r="AK917" s="8" t="s">
        <v>276</v>
      </c>
      <c r="AL917" s="8">
        <v>100</v>
      </c>
      <c r="AM917" s="47"/>
      <c r="AN917" s="47"/>
      <c r="AO917" s="8"/>
      <c r="AP917" s="8"/>
      <c r="AQ917" s="47"/>
      <c r="AR917" s="47"/>
      <c r="AS917" s="8" t="s">
        <v>295</v>
      </c>
      <c r="AT917" s="8">
        <v>180</v>
      </c>
      <c r="AU917" s="47"/>
      <c r="AV917" s="47"/>
      <c r="AW917" s="8"/>
      <c r="AX917" s="8"/>
      <c r="AY917" s="47"/>
      <c r="AZ917" s="47"/>
      <c r="BA917" s="8"/>
      <c r="BB917" s="8"/>
      <c r="BC917" s="47"/>
      <c r="BD917" s="47"/>
      <c r="BE917" s="8"/>
      <c r="BF917" s="8"/>
      <c r="BG917" s="47"/>
      <c r="BH917" s="47">
        <v>1000</v>
      </c>
      <c r="BI917" s="8" t="s">
        <v>296</v>
      </c>
      <c r="BJ917" s="3">
        <v>2000</v>
      </c>
      <c r="BK917" s="47"/>
      <c r="BL917" s="47"/>
      <c r="BM917" s="46"/>
      <c r="BN917" s="46"/>
      <c r="BO917" s="24">
        <f>AL917+AN917+AP917+AR917+AT917+AV917+AX917+AZ917+BB917+BD917+BF917+BH917+BJ917+BL917</f>
        <v>3280</v>
      </c>
      <c r="BP917" s="28">
        <f>AJ917-BO917</f>
        <v>19156.7395</v>
      </c>
      <c r="BQ917" s="2">
        <v>45588</v>
      </c>
    </row>
    <row r="918" spans="1:73" hidden="true">
      <c r="D918" s="9" t="s">
        <v>16</v>
      </c>
      <c r="E918" s="2">
        <v>45589</v>
      </c>
      <c r="F918" s="38"/>
      <c r="G918" s="51"/>
      <c r="H918" s="4">
        <f>F241*50%</f>
        <v>1642.975</v>
      </c>
      <c r="I918" s="120"/>
      <c r="J918" s="4">
        <f>(G918+H918)-I918</f>
        <v>1642.975</v>
      </c>
      <c r="K918" s="4">
        <f>J918+O917</f>
        <v>19335.56</v>
      </c>
      <c r="L918" s="3"/>
      <c r="M918" s="3"/>
      <c r="N918" s="33">
        <f>I918+M918</f>
        <v>0</v>
      </c>
      <c r="O918" s="28">
        <f>K918-M918</f>
        <v>19335.56</v>
      </c>
      <c r="P918" s="9" t="s">
        <v>16</v>
      </c>
      <c r="Q918" s="2">
        <v>45589</v>
      </c>
      <c r="R918" s="38"/>
      <c r="S918" s="52"/>
      <c r="T918" s="4">
        <f>R241*45%</f>
        <v>1555.11</v>
      </c>
      <c r="U918" s="5"/>
      <c r="V918" s="4">
        <f>(S918+T918)-U918</f>
        <v>1555.11</v>
      </c>
      <c r="W918" s="4">
        <f>V918+AA917</f>
        <v>-14445.3</v>
      </c>
      <c r="X918" s="3"/>
      <c r="Y918" s="3"/>
      <c r="Z918" s="25">
        <f>U918+Y918</f>
        <v>0</v>
      </c>
      <c r="AA918" s="76">
        <f>W918-Y918</f>
        <v>-14445.3</v>
      </c>
      <c r="AB918" s="9" t="s">
        <v>16</v>
      </c>
      <c r="AC918" s="19">
        <v>45589</v>
      </c>
      <c r="AD918" s="66" t="s">
        <v>259</v>
      </c>
      <c r="AE918" s="67">
        <v>6000</v>
      </c>
      <c r="AF918" s="4">
        <f>AD241-H918-T918</f>
        <v>3543.665</v>
      </c>
      <c r="AG918" s="3" t="s">
        <v>260</v>
      </c>
      <c r="AH918" s="8">
        <v>565.2</v>
      </c>
      <c r="AI918" s="4">
        <f>(AE918+AF918)-AH918</f>
        <v>8978.465</v>
      </c>
      <c r="AJ918" s="4">
        <f>AI918+BP917</f>
        <v>28135.2045</v>
      </c>
      <c r="AK918" s="8"/>
      <c r="AL918" s="8"/>
      <c r="AM918" s="48"/>
      <c r="AN918" s="47"/>
      <c r="AO918" s="8"/>
      <c r="AP918" s="8"/>
      <c r="AQ918" s="47"/>
      <c r="AR918" s="47"/>
      <c r="AS918" s="8"/>
      <c r="AT918" s="8"/>
      <c r="AU918" s="47"/>
      <c r="AV918" s="47"/>
      <c r="AW918" s="8"/>
      <c r="AX918" s="8"/>
      <c r="AY918" s="47"/>
      <c r="AZ918" s="47"/>
      <c r="BA918" s="8"/>
      <c r="BB918" s="8"/>
      <c r="BC918" s="47"/>
      <c r="BD918" s="47"/>
      <c r="BE918" s="8"/>
      <c r="BF918" s="8"/>
      <c r="BG918" s="47"/>
      <c r="BH918" s="47">
        <v>1000</v>
      </c>
      <c r="BI918" s="8"/>
      <c r="BJ918" s="3"/>
      <c r="BK918" s="47"/>
      <c r="BL918" s="47"/>
      <c r="BM918" s="46"/>
      <c r="BN918" s="46"/>
      <c r="BO918" s="24">
        <f>AL918+AN918+AP918+AR918+AT918+AV918+AX918+AZ918+BB918+BD918+BF918+BH918+BJ918+BL918</f>
        <v>1000</v>
      </c>
      <c r="BP918" s="28">
        <f>AJ918-BO918</f>
        <v>27135.2045</v>
      </c>
      <c r="BQ918" s="2">
        <v>45589</v>
      </c>
    </row>
    <row r="919" spans="1:73" hidden="true">
      <c r="D919" s="9" t="s">
        <v>10</v>
      </c>
      <c r="E919" s="2">
        <v>45590</v>
      </c>
      <c r="F919" s="38"/>
      <c r="G919" s="51"/>
      <c r="H919" s="4">
        <f>F242*50%</f>
        <v>2298.275</v>
      </c>
      <c r="I919" s="120"/>
      <c r="J919" s="4">
        <f>(G919+H919)-I919</f>
        <v>2298.275</v>
      </c>
      <c r="K919" s="4">
        <f>J919+O918</f>
        <v>21633.835</v>
      </c>
      <c r="L919" s="3" t="s">
        <v>297</v>
      </c>
      <c r="M919" s="3">
        <v>3800</v>
      </c>
      <c r="N919" s="33">
        <f>I919+M919</f>
        <v>3800</v>
      </c>
      <c r="O919" s="28">
        <f>K919-M919</f>
        <v>17833.835</v>
      </c>
      <c r="P919" s="9" t="s">
        <v>10</v>
      </c>
      <c r="Q919" s="2">
        <v>45590</v>
      </c>
      <c r="R919" s="38"/>
      <c r="S919" s="52"/>
      <c r="T919" s="4">
        <f>R242*45%</f>
        <v>2632.905</v>
      </c>
      <c r="U919" s="5"/>
      <c r="V919" s="4">
        <f>(S919+T919)-U919</f>
        <v>2632.905</v>
      </c>
      <c r="W919" s="4">
        <f>V919+AA918</f>
        <v>-11812.395</v>
      </c>
      <c r="X919" s="3" t="s">
        <v>298</v>
      </c>
      <c r="Y919" s="3">
        <v>5000</v>
      </c>
      <c r="Z919" s="25">
        <f>U919+Y919</f>
        <v>5000</v>
      </c>
      <c r="AA919" s="76">
        <f>W919-Y919</f>
        <v>-16812.395</v>
      </c>
      <c r="AB919" s="9" t="s">
        <v>10</v>
      </c>
      <c r="AC919" s="19">
        <v>45590</v>
      </c>
      <c r="AD919" s="66" t="s">
        <v>291</v>
      </c>
      <c r="AE919" s="67">
        <v>659.24</v>
      </c>
      <c r="AF919" s="4">
        <f>AD242-H919-T919</f>
        <v>5516.27</v>
      </c>
      <c r="AG919" s="3" t="s">
        <v>260</v>
      </c>
      <c r="AH919" s="8">
        <v>492</v>
      </c>
      <c r="AI919" s="4">
        <f>(AE919+AF919)-AH919</f>
        <v>5683.51</v>
      </c>
      <c r="AJ919" s="4">
        <f>AI919+BP918</f>
        <v>32818.7145</v>
      </c>
      <c r="AK919" s="8"/>
      <c r="AL919" s="8"/>
      <c r="AM919" s="47"/>
      <c r="AN919" s="47"/>
      <c r="AO919" s="8"/>
      <c r="AP919" s="8"/>
      <c r="AQ919" s="47"/>
      <c r="AR919" s="47"/>
      <c r="AS919" s="8"/>
      <c r="AT919" s="8"/>
      <c r="AU919" s="47"/>
      <c r="AV919" s="47"/>
      <c r="AW919" s="8"/>
      <c r="AX919" s="8"/>
      <c r="AY919" s="47"/>
      <c r="AZ919" s="47"/>
      <c r="BA919" s="8"/>
      <c r="BB919" s="8"/>
      <c r="BC919" s="47"/>
      <c r="BD919" s="47"/>
      <c r="BE919" s="8"/>
      <c r="BF919" s="8"/>
      <c r="BG919" s="47"/>
      <c r="BH919" s="47">
        <v>1000</v>
      </c>
      <c r="BI919" s="8"/>
      <c r="BJ919" s="3"/>
      <c r="BK919" s="47"/>
      <c r="BL919" s="47"/>
      <c r="BM919" s="46"/>
      <c r="BN919" s="46"/>
      <c r="BO919" s="24">
        <f>AL919+AN919+AP919+AR919+AT919+AV919+AX919+AZ919+BB919+BD919+BF919+BH919+BJ919+BL919</f>
        <v>1000</v>
      </c>
      <c r="BP919" s="28">
        <f>AJ919-BO919</f>
        <v>31818.7145</v>
      </c>
      <c r="BQ919" s="2">
        <v>45590</v>
      </c>
    </row>
    <row r="920" spans="1:73" hidden="true">
      <c r="D920" s="9" t="s">
        <v>11</v>
      </c>
      <c r="E920" s="2">
        <v>45591</v>
      </c>
      <c r="F920" s="38"/>
      <c r="G920" s="51"/>
      <c r="H920" s="4">
        <f>F243*50%</f>
        <v>2206.025</v>
      </c>
      <c r="I920" s="120"/>
      <c r="J920" s="4">
        <f>(G920+H920)-I920</f>
        <v>2206.025</v>
      </c>
      <c r="K920" s="4">
        <f>J920+O919</f>
        <v>20039.86</v>
      </c>
      <c r="L920" s="3" t="s">
        <v>299</v>
      </c>
      <c r="M920" s="3">
        <v>3522</v>
      </c>
      <c r="N920" s="33">
        <f>I920+M920</f>
        <v>3522</v>
      </c>
      <c r="O920" s="28">
        <f>K920-M920</f>
        <v>16517.86</v>
      </c>
      <c r="P920" s="9" t="s">
        <v>11</v>
      </c>
      <c r="Q920" s="2">
        <v>45591</v>
      </c>
      <c r="R920" s="38"/>
      <c r="S920" s="52"/>
      <c r="T920" s="4">
        <f>R243*45%</f>
        <v>3903.165</v>
      </c>
      <c r="U920" s="5"/>
      <c r="V920" s="4">
        <f>(S920+T920)-U920</f>
        <v>3903.165</v>
      </c>
      <c r="W920" s="4">
        <f>V920+AA919</f>
        <v>-12909.23</v>
      </c>
      <c r="X920" s="3" t="s">
        <v>269</v>
      </c>
      <c r="Y920" s="3">
        <v>14717</v>
      </c>
      <c r="Z920" s="25">
        <f>U920+Y920</f>
        <v>14717</v>
      </c>
      <c r="AA920" s="76">
        <f>W920-Y920</f>
        <v>-27626.23</v>
      </c>
      <c r="AB920" s="9" t="s">
        <v>11</v>
      </c>
      <c r="AC920" s="19">
        <v>45591</v>
      </c>
      <c r="AD920" s="66"/>
      <c r="AE920" s="67"/>
      <c r="AF920" s="4">
        <f>AD243-H920-T920</f>
        <v>6976.56</v>
      </c>
      <c r="AG920" s="3" t="s">
        <v>260</v>
      </c>
      <c r="AH920" s="8">
        <v>699.4</v>
      </c>
      <c r="AI920" s="4">
        <f>(AE920+AF920)-AH920</f>
        <v>6277.16</v>
      </c>
      <c r="AJ920" s="4">
        <f>AI920+BP919</f>
        <v>38095.8745</v>
      </c>
      <c r="AK920" s="8"/>
      <c r="AL920" s="8"/>
      <c r="AM920" s="47"/>
      <c r="AN920" s="47"/>
      <c r="AO920" s="81" t="s">
        <v>287</v>
      </c>
      <c r="AP920" s="8">
        <v>0.5</v>
      </c>
      <c r="AQ920" s="47"/>
      <c r="AR920" s="47"/>
      <c r="AS920" s="8"/>
      <c r="AT920" s="8"/>
      <c r="AU920" s="47"/>
      <c r="AV920" s="47"/>
      <c r="AW920" s="8"/>
      <c r="AX920" s="8"/>
      <c r="AY920" s="47"/>
      <c r="AZ920" s="47"/>
      <c r="BA920" s="8"/>
      <c r="BB920" s="8"/>
      <c r="BC920" s="47"/>
      <c r="BD920" s="47"/>
      <c r="BE920" s="8"/>
      <c r="BF920" s="8"/>
      <c r="BG920" s="47"/>
      <c r="BH920" s="47">
        <v>1000</v>
      </c>
      <c r="BI920" s="8"/>
      <c r="BJ920" s="3"/>
      <c r="BK920" s="47"/>
      <c r="BL920" s="47"/>
      <c r="BM920" s="46"/>
      <c r="BN920" s="46"/>
      <c r="BO920" s="24">
        <f>AL920+AN920+AP920+AR920+AT920+AV920+AX920+AZ920+BB920+BD920+BF920+BH920+BJ920+BL920</f>
        <v>1000.5</v>
      </c>
      <c r="BP920" s="28">
        <f>AJ920-BO920</f>
        <v>37095.3745</v>
      </c>
      <c r="BQ920" s="2">
        <v>45591</v>
      </c>
    </row>
    <row r="921" spans="1:73" hidden="true">
      <c r="D921" s="9" t="s">
        <v>12</v>
      </c>
      <c r="E921" s="2">
        <v>45592</v>
      </c>
      <c r="F921" s="38"/>
      <c r="G921" s="51"/>
      <c r="H921" s="4">
        <f>F244*50%</f>
        <v>2471.725</v>
      </c>
      <c r="I921" s="120"/>
      <c r="J921" s="4">
        <f>(G921+H921)-I921</f>
        <v>2471.725</v>
      </c>
      <c r="K921" s="4">
        <f>J921+O920</f>
        <v>18989.585</v>
      </c>
      <c r="L921" s="3" t="s">
        <v>300</v>
      </c>
      <c r="M921" s="3">
        <v>3107</v>
      </c>
      <c r="N921" s="33">
        <f>I921+M921</f>
        <v>3107</v>
      </c>
      <c r="O921" s="28">
        <f>K921-M921</f>
        <v>15882.585</v>
      </c>
      <c r="P921" s="9" t="s">
        <v>12</v>
      </c>
      <c r="Q921" s="2">
        <v>45592</v>
      </c>
      <c r="R921" s="38"/>
      <c r="S921" s="52"/>
      <c r="T921" s="4">
        <f>R244*45%</f>
        <v>3668.49</v>
      </c>
      <c r="U921" s="5"/>
      <c r="V921" s="4">
        <f>(S921+T921)-U921</f>
        <v>3668.49</v>
      </c>
      <c r="W921" s="4">
        <f>V921+AA920</f>
        <v>-23957.74</v>
      </c>
      <c r="X921" s="3" t="s">
        <v>301</v>
      </c>
      <c r="Y921" s="3">
        <v>1500</v>
      </c>
      <c r="Z921" s="25">
        <f>U921+Y921</f>
        <v>1500</v>
      </c>
      <c r="AA921" s="76">
        <f>W921-Y921</f>
        <v>-25457.74</v>
      </c>
      <c r="AB921" s="9" t="s">
        <v>12</v>
      </c>
      <c r="AC921" s="19">
        <v>45592</v>
      </c>
      <c r="AD921" s="66"/>
      <c r="AE921" s="67"/>
      <c r="AF921" s="4">
        <f>AD244-H921-T921</f>
        <v>6955.435</v>
      </c>
      <c r="AG921" s="3" t="s">
        <v>260</v>
      </c>
      <c r="AH921" s="8">
        <v>706</v>
      </c>
      <c r="AI921" s="4">
        <f>(AE921+AF921)-AH921</f>
        <v>6249.435</v>
      </c>
      <c r="AJ921" s="4">
        <f>AI921+BP920</f>
        <v>43344.8095</v>
      </c>
      <c r="AK921" s="8"/>
      <c r="AL921" s="8"/>
      <c r="AM921" s="47"/>
      <c r="AN921" s="47"/>
      <c r="AO921" s="8"/>
      <c r="AP921" s="8"/>
      <c r="AQ921" s="47"/>
      <c r="AR921" s="47"/>
      <c r="AS921" s="8"/>
      <c r="AT921" s="8"/>
      <c r="AU921" s="47"/>
      <c r="AV921" s="47"/>
      <c r="AW921" s="8"/>
      <c r="AX921" s="8"/>
      <c r="AY921" s="47"/>
      <c r="AZ921" s="47"/>
      <c r="BA921" s="8"/>
      <c r="BB921" s="8"/>
      <c r="BC921" s="47"/>
      <c r="BD921" s="47"/>
      <c r="BE921" s="8"/>
      <c r="BF921" s="8"/>
      <c r="BG921" s="47"/>
      <c r="BH921" s="47">
        <v>1000</v>
      </c>
      <c r="BI921" s="8"/>
      <c r="BJ921" s="3"/>
      <c r="BK921" s="47"/>
      <c r="BL921" s="47"/>
      <c r="BM921" s="46"/>
      <c r="BN921" s="46"/>
      <c r="BO921" s="24">
        <f>AL921+AN921+AP921+AR921+AT921+AV921+AX921+AZ921+BB921+BD921+BF921+BH921+BJ921+BL921</f>
        <v>1000</v>
      </c>
      <c r="BP921" s="28">
        <f>AJ921-BO921</f>
        <v>42344.8095</v>
      </c>
      <c r="BQ921" s="2">
        <v>45592</v>
      </c>
    </row>
    <row r="922" spans="1:73" hidden="true">
      <c r="D922" s="9" t="s">
        <v>13</v>
      </c>
      <c r="E922" s="2">
        <v>45593</v>
      </c>
      <c r="F922" s="38"/>
      <c r="G922" s="51"/>
      <c r="H922" s="4">
        <f>F245*50%</f>
        <v>1484.1</v>
      </c>
      <c r="I922" s="120">
        <v>1772.4</v>
      </c>
      <c r="J922" s="4">
        <f>(G922+H922)-I922</f>
        <v>-288.3</v>
      </c>
      <c r="K922" s="4">
        <f>J922+O921</f>
        <v>15594.285</v>
      </c>
      <c r="L922" s="3"/>
      <c r="M922" s="3"/>
      <c r="N922" s="33">
        <f>I922+M922</f>
        <v>1772.4</v>
      </c>
      <c r="O922" s="28">
        <f>K922-M922</f>
        <v>15594.285</v>
      </c>
      <c r="P922" s="9" t="s">
        <v>13</v>
      </c>
      <c r="Q922" s="2">
        <v>45593</v>
      </c>
      <c r="R922" s="38"/>
      <c r="S922" s="52"/>
      <c r="T922" s="4">
        <f>R245*45%</f>
        <v>2703.915</v>
      </c>
      <c r="U922" s="5"/>
      <c r="V922" s="4">
        <f>(S922+T922)-U922</f>
        <v>2703.915</v>
      </c>
      <c r="W922" s="4">
        <f>V922+AA921</f>
        <v>-22753.825</v>
      </c>
      <c r="X922" s="3"/>
      <c r="Y922" s="3"/>
      <c r="Z922" s="25">
        <f>U922+Y922</f>
        <v>0</v>
      </c>
      <c r="AA922" s="76">
        <f>W922-Y922</f>
        <v>-22753.825</v>
      </c>
      <c r="AB922" s="9" t="s">
        <v>13</v>
      </c>
      <c r="AC922" s="19">
        <v>45593</v>
      </c>
      <c r="AD922" s="66" t="s">
        <v>291</v>
      </c>
      <c r="AE922" s="67">
        <v>2803.56</v>
      </c>
      <c r="AF922" s="4">
        <f>AD245-H922-T922</f>
        <v>4788.885</v>
      </c>
      <c r="AG922" s="3" t="s">
        <v>260</v>
      </c>
      <c r="AH922" s="8">
        <v>548.2</v>
      </c>
      <c r="AI922" s="4">
        <f>(AE922+AF922)-AH922</f>
        <v>7044.245</v>
      </c>
      <c r="AJ922" s="4">
        <f>AI922+BP921</f>
        <v>49389.0545</v>
      </c>
      <c r="AK922" s="8" t="s">
        <v>276</v>
      </c>
      <c r="AL922" s="8">
        <v>4762.68</v>
      </c>
      <c r="AM922" s="47"/>
      <c r="AN922" s="47"/>
      <c r="AO922" s="8"/>
      <c r="AP922" s="8"/>
      <c r="AQ922" s="47"/>
      <c r="AR922" s="47"/>
      <c r="AS922" s="8"/>
      <c r="AT922" s="8"/>
      <c r="AU922" s="47" t="s">
        <v>302</v>
      </c>
      <c r="AV922" s="47">
        <v>5100</v>
      </c>
      <c r="AW922" s="8"/>
      <c r="AX922" s="8"/>
      <c r="AY922" s="47"/>
      <c r="AZ922" s="47"/>
      <c r="BA922" s="8"/>
      <c r="BB922" s="8"/>
      <c r="BC922" s="47"/>
      <c r="BD922" s="47"/>
      <c r="BE922" s="8"/>
      <c r="BF922" s="8"/>
      <c r="BG922" s="47"/>
      <c r="BH922" s="47">
        <v>1000</v>
      </c>
      <c r="BI922" s="8"/>
      <c r="BJ922" s="3"/>
      <c r="BK922" s="47"/>
      <c r="BL922" s="47"/>
      <c r="BM922" s="46"/>
      <c r="BN922" s="46"/>
      <c r="BO922" s="24">
        <f>AL922+AN922+AP922+AR922+AT922+AV922+AX922+AZ922+BB922+BD922+BF922+BH922+BJ922+BL922</f>
        <v>10862.68</v>
      </c>
      <c r="BP922" s="28">
        <f>AJ922-BO922</f>
        <v>38526.3745</v>
      </c>
      <c r="BQ922" s="2">
        <v>45593</v>
      </c>
    </row>
    <row r="923" spans="1:73" hidden="true">
      <c r="D923" s="9" t="s">
        <v>14</v>
      </c>
      <c r="E923" s="2">
        <v>45594</v>
      </c>
      <c r="F923" s="38"/>
      <c r="G923" s="51"/>
      <c r="H923" s="4">
        <f>F246*50%</f>
        <v>1341.6</v>
      </c>
      <c r="I923" s="120">
        <v>1909</v>
      </c>
      <c r="J923" s="4">
        <f>(G923+H923)-I923</f>
        <v>-567.4</v>
      </c>
      <c r="K923" s="4">
        <f>J923+O922</f>
        <v>15026.885</v>
      </c>
      <c r="L923" s="3" t="s">
        <v>303</v>
      </c>
      <c r="M923" s="3">
        <v>2256</v>
      </c>
      <c r="N923" s="33">
        <f>I923+M923</f>
        <v>4165</v>
      </c>
      <c r="O923" s="28">
        <f>K923-M923</f>
        <v>12770.885</v>
      </c>
      <c r="P923" s="9" t="s">
        <v>14</v>
      </c>
      <c r="Q923" s="2">
        <v>45594</v>
      </c>
      <c r="R923" s="38"/>
      <c r="S923" s="52"/>
      <c r="T923" s="4">
        <f>R246*45%</f>
        <v>2787.3</v>
      </c>
      <c r="U923" s="5"/>
      <c r="V923" s="4">
        <f>(S923+T923)-U923</f>
        <v>2787.3</v>
      </c>
      <c r="W923" s="4">
        <f>V923+AA922</f>
        <v>-19966.525</v>
      </c>
      <c r="X923" s="3"/>
      <c r="Y923" s="3"/>
      <c r="Z923" s="25">
        <f>U923+Y923</f>
        <v>0</v>
      </c>
      <c r="AA923" s="76">
        <f>W923-Y923</f>
        <v>-19966.525</v>
      </c>
      <c r="AB923" s="9" t="s">
        <v>14</v>
      </c>
      <c r="AC923" s="19">
        <v>45594</v>
      </c>
      <c r="AD923" s="66"/>
      <c r="AE923" s="67"/>
      <c r="AF923" s="4">
        <f>AD246-H923-T923</f>
        <v>4748.3</v>
      </c>
      <c r="AG923" s="3" t="s">
        <v>260</v>
      </c>
      <c r="AH923" s="8">
        <v>353.2</v>
      </c>
      <c r="AI923" s="4">
        <f>(AE923+AF923)-AH923</f>
        <v>4395.1</v>
      </c>
      <c r="AJ923" s="4">
        <f>AI923+BP922</f>
        <v>42921.4745</v>
      </c>
      <c r="AK923" s="8" t="s">
        <v>272</v>
      </c>
      <c r="AL923" s="8">
        <v>2800</v>
      </c>
      <c r="AM923" s="47"/>
      <c r="AN923" s="47"/>
      <c r="AO923" s="81" t="s">
        <v>287</v>
      </c>
      <c r="AP923" s="8">
        <v>1.5</v>
      </c>
      <c r="AQ923" s="47"/>
      <c r="AR923" s="47"/>
      <c r="AS923" s="8"/>
      <c r="AT923" s="8"/>
      <c r="AU923" s="47"/>
      <c r="AV923" s="47"/>
      <c r="AW923" s="8"/>
      <c r="AX923" s="8"/>
      <c r="AY923" s="47"/>
      <c r="AZ923" s="47"/>
      <c r="BA923" s="8"/>
      <c r="BB923" s="8"/>
      <c r="BC923" s="47"/>
      <c r="BD923" s="47"/>
      <c r="BE923" s="8"/>
      <c r="BF923" s="8"/>
      <c r="BG923" s="47"/>
      <c r="BH923" s="47">
        <v>7000</v>
      </c>
      <c r="BI923" s="8"/>
      <c r="BJ923" s="3"/>
      <c r="BK923" s="47"/>
      <c r="BL923" s="47"/>
      <c r="BM923" s="46"/>
      <c r="BN923" s="46"/>
      <c r="BO923" s="24">
        <f>AL923+AN923+AP923+AR923+AT923+AV923+AX923+AZ923+BB923+BD923+BF923+BH923+BJ923+BL923</f>
        <v>9801.5</v>
      </c>
      <c r="BP923" s="28">
        <f>AJ923-BO923</f>
        <v>33119.9745</v>
      </c>
      <c r="BQ923" s="2">
        <v>45594</v>
      </c>
    </row>
    <row r="924" spans="1:73" hidden="true">
      <c r="D924" s="9" t="s">
        <v>15</v>
      </c>
      <c r="E924" s="2">
        <v>45595</v>
      </c>
      <c r="F924" s="38"/>
      <c r="G924" s="51"/>
      <c r="H924" s="4">
        <f>F247*50%</f>
        <v>1644.05</v>
      </c>
      <c r="I924" s="120">
        <v>1854</v>
      </c>
      <c r="J924" s="4">
        <f>(G924+H924)-I924</f>
        <v>-209.95</v>
      </c>
      <c r="K924" s="4">
        <f>J924+O923</f>
        <v>12560.935</v>
      </c>
      <c r="L924" s="3"/>
      <c r="M924" s="3"/>
      <c r="N924" s="33">
        <f>I924+M924</f>
        <v>1854</v>
      </c>
      <c r="O924" s="28">
        <f>K924-M924</f>
        <v>12560.935</v>
      </c>
      <c r="P924" s="9" t="s">
        <v>15</v>
      </c>
      <c r="Q924" s="2">
        <v>45595</v>
      </c>
      <c r="R924" s="38"/>
      <c r="S924" s="52"/>
      <c r="T924" s="4">
        <f>R247*45%</f>
        <v>2925</v>
      </c>
      <c r="U924" s="5"/>
      <c r="V924" s="4">
        <f>(S924+T924)-U924</f>
        <v>2925</v>
      </c>
      <c r="W924" s="4">
        <f>V924+AA923</f>
        <v>-17041.525</v>
      </c>
      <c r="X924" s="3"/>
      <c r="Y924" s="3"/>
      <c r="Z924" s="25">
        <f>U924+Y924</f>
        <v>0</v>
      </c>
      <c r="AA924" s="76">
        <f>W924-Y924</f>
        <v>-17041.525</v>
      </c>
      <c r="AB924" s="9" t="s">
        <v>15</v>
      </c>
      <c r="AC924" s="19">
        <v>45595</v>
      </c>
      <c r="AD924" s="66"/>
      <c r="AE924" s="67"/>
      <c r="AF924" s="4">
        <f>AD247-H924-T924</f>
        <v>5219.05</v>
      </c>
      <c r="AG924" s="3" t="s">
        <v>260</v>
      </c>
      <c r="AH924" s="8">
        <v>1013</v>
      </c>
      <c r="AI924" s="4">
        <f>(AE924+AF924)-AH924</f>
        <v>4206.05</v>
      </c>
      <c r="AJ924" s="4">
        <f>AI924+BP923</f>
        <v>37326.0245</v>
      </c>
      <c r="AK924" s="8"/>
      <c r="AL924" s="8"/>
      <c r="AM924" s="47"/>
      <c r="AN924" s="47"/>
      <c r="AO924" s="81" t="s">
        <v>287</v>
      </c>
      <c r="AP924" s="8">
        <v>0.5</v>
      </c>
      <c r="AQ924" s="47"/>
      <c r="AR924" s="47"/>
      <c r="AS924" s="8"/>
      <c r="AT924" s="8"/>
      <c r="AU924" s="47"/>
      <c r="AV924" s="47"/>
      <c r="AW924" s="8"/>
      <c r="AX924" s="8"/>
      <c r="AY924" s="47"/>
      <c r="AZ924" s="47"/>
      <c r="BA924" s="8"/>
      <c r="BB924" s="8"/>
      <c r="BC924" s="47"/>
      <c r="BD924" s="47"/>
      <c r="BE924" s="8"/>
      <c r="BF924" s="8"/>
      <c r="BG924" s="47"/>
      <c r="BH924" s="47"/>
      <c r="BI924" s="8"/>
      <c r="BJ924" s="3"/>
      <c r="BK924" s="47"/>
      <c r="BL924" s="47"/>
      <c r="BM924" s="46"/>
      <c r="BN924" s="46"/>
      <c r="BO924" s="24">
        <f>AL924+AN924+AP924+AR924+AT924+AV924+AX924+AZ924+BB924+BD924+BF924+BH924+BJ924+BL924</f>
        <v>0.5</v>
      </c>
      <c r="BP924" s="28">
        <f>AJ924-BO924</f>
        <v>37325.5245</v>
      </c>
      <c r="BQ924" s="2">
        <v>45595</v>
      </c>
    </row>
    <row r="925" spans="1:73" hidden="true" s="13" customFormat="1">
      <c r="D925" s="13" t="s">
        <v>16</v>
      </c>
      <c r="E925" s="10">
        <v>45596</v>
      </c>
      <c r="F925" s="10"/>
      <c r="G925" s="54"/>
      <c r="H925" s="11">
        <f>F248*50%</f>
        <v>2294.35</v>
      </c>
      <c r="I925" s="121">
        <v>2148</v>
      </c>
      <c r="J925" s="11">
        <f>(G925+H925)-I925</f>
        <v>146.35</v>
      </c>
      <c r="K925" s="11">
        <f>J925+O924</f>
        <v>12707.285</v>
      </c>
      <c r="L925" s="11" t="s">
        <v>304</v>
      </c>
      <c r="M925" s="11">
        <v>2069.29</v>
      </c>
      <c r="N925" s="26">
        <f>I925+M925</f>
        <v>4217.29</v>
      </c>
      <c r="O925" s="11">
        <f>K925-M925</f>
        <v>10637.995</v>
      </c>
      <c r="P925" s="13" t="s">
        <v>16</v>
      </c>
      <c r="Q925" s="10">
        <v>45596</v>
      </c>
      <c r="R925" s="10"/>
      <c r="S925" s="53"/>
      <c r="T925" s="11">
        <f>R248*45%</f>
        <v>2925</v>
      </c>
      <c r="U925" s="12"/>
      <c r="V925" s="11">
        <f>(S925+T925)-U925</f>
        <v>2925</v>
      </c>
      <c r="W925" s="11">
        <f>V925+AA924</f>
        <v>-14116.525</v>
      </c>
      <c r="X925" s="11"/>
      <c r="Y925" s="11"/>
      <c r="Z925" s="26">
        <f>U925+Y925</f>
        <v>0</v>
      </c>
      <c r="AA925" s="53">
        <f>W925-Y925</f>
        <v>-14116.525</v>
      </c>
      <c r="AB925" s="13" t="s">
        <v>16</v>
      </c>
      <c r="AC925" s="20">
        <v>45596</v>
      </c>
      <c r="AD925" s="64"/>
      <c r="AE925" s="65"/>
      <c r="AF925" s="11">
        <f>AD248-H925-T925</f>
        <v>5869.35</v>
      </c>
      <c r="AG925" s="3" t="s">
        <v>260</v>
      </c>
      <c r="AH925" s="15">
        <v>836</v>
      </c>
      <c r="AI925" s="11">
        <f>(AE925+AF925)-AH925</f>
        <v>5033.35</v>
      </c>
      <c r="AJ925" s="11">
        <f>AI925+BP924</f>
        <v>42358.8745</v>
      </c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47"/>
      <c r="BI925" s="15"/>
      <c r="BJ925" s="11"/>
      <c r="BK925" s="15"/>
      <c r="BL925" s="15"/>
      <c r="BM925" s="23"/>
      <c r="BN925" s="23"/>
      <c r="BO925" s="23">
        <f>AL925+AN925+AP925+AR925+AT925+AV925+AX925+AZ925+BB925+BD925+BF925+BH925+BJ925+BL925</f>
        <v>0</v>
      </c>
      <c r="BP925" s="11">
        <f>AJ925-BO925</f>
        <v>42358.8745</v>
      </c>
      <c r="BQ925" s="10">
        <v>45596</v>
      </c>
    </row>
    <row r="926" spans="1:73" hidden="true">
      <c r="D926" s="9" t="s">
        <v>10</v>
      </c>
      <c r="E926" s="2">
        <v>45597</v>
      </c>
      <c r="F926" s="38"/>
      <c r="G926" s="51"/>
      <c r="H926" s="4">
        <f>F249*50%</f>
        <v>1265.8</v>
      </c>
      <c r="I926" s="120">
        <v>1904</v>
      </c>
      <c r="J926" s="4">
        <f>(G926+H926)-I926</f>
        <v>-638.2</v>
      </c>
      <c r="K926" s="4">
        <f>J926+O925</f>
        <v>9999.795</v>
      </c>
      <c r="L926" s="3"/>
      <c r="M926" s="3"/>
      <c r="N926" s="33">
        <f>I926+M926</f>
        <v>1904</v>
      </c>
      <c r="O926" s="28">
        <f>K926-M926</f>
        <v>9999.795</v>
      </c>
      <c r="P926" s="9" t="s">
        <v>10</v>
      </c>
      <c r="Q926" s="2">
        <v>45597</v>
      </c>
      <c r="R926" s="38"/>
      <c r="S926" s="52"/>
      <c r="T926" s="4">
        <f>R249*45%</f>
        <v>1012.455</v>
      </c>
      <c r="U926" s="5">
        <v>191.5</v>
      </c>
      <c r="V926" s="4">
        <f>(S926+T926)-U926</f>
        <v>820.955</v>
      </c>
      <c r="W926" s="4">
        <f>V926+AA925</f>
        <v>-13295.57</v>
      </c>
      <c r="X926" s="3" t="s">
        <v>269</v>
      </c>
      <c r="Y926" s="3">
        <v>11723</v>
      </c>
      <c r="Z926" s="25">
        <f>U926+Y926</f>
        <v>11914.5</v>
      </c>
      <c r="AA926" s="76">
        <f>W926-Y926</f>
        <v>-25018.57</v>
      </c>
      <c r="AB926" s="9" t="s">
        <v>10</v>
      </c>
      <c r="AC926" s="19">
        <v>45597</v>
      </c>
      <c r="AD926" s="66"/>
      <c r="AE926" s="67"/>
      <c r="AF926" s="4">
        <f>AD249-H926-T926</f>
        <v>2503.245</v>
      </c>
      <c r="AG926" s="3" t="s">
        <v>260</v>
      </c>
      <c r="AH926" s="8">
        <v>385</v>
      </c>
      <c r="AI926" s="4">
        <f>(AE926+AF926)-AH926</f>
        <v>2118.245</v>
      </c>
      <c r="AJ926" s="4">
        <f>AI926+BP925</f>
        <v>44477.1195</v>
      </c>
      <c r="AK926" s="8"/>
      <c r="AL926" s="8"/>
      <c r="AM926" s="47"/>
      <c r="AN926" s="47"/>
      <c r="AO926" s="8"/>
      <c r="AP926" s="8"/>
      <c r="AQ926" s="47"/>
      <c r="AR926" s="47"/>
      <c r="AS926" s="8"/>
      <c r="AT926" s="8"/>
      <c r="AU926" s="47"/>
      <c r="AV926" s="47"/>
      <c r="AW926" s="8"/>
      <c r="AX926" s="8"/>
      <c r="AY926" s="47"/>
      <c r="AZ926" s="47"/>
      <c r="BA926" s="8"/>
      <c r="BB926" s="8"/>
      <c r="BC926" s="47"/>
      <c r="BD926" s="47"/>
      <c r="BE926" s="8"/>
      <c r="BF926" s="8"/>
      <c r="BG926" s="47"/>
      <c r="BH926" s="47"/>
      <c r="BI926" s="8"/>
      <c r="BJ926" s="3"/>
      <c r="BK926" s="47"/>
      <c r="BL926" s="47"/>
      <c r="BM926" s="46"/>
      <c r="BN926" s="46"/>
      <c r="BO926" s="24">
        <f>AL926+AN926+AP926+AR926+AT926+AV926+AX926+AZ926+BB926+BD926+BF926+BH926+BJ926+BL926</f>
        <v>0</v>
      </c>
      <c r="BP926" s="28">
        <f>AJ926-BO926</f>
        <v>44477.1195</v>
      </c>
      <c r="BQ926" s="2">
        <v>45597</v>
      </c>
    </row>
    <row r="927" spans="1:73" hidden="true">
      <c r="D927" s="9" t="s">
        <v>11</v>
      </c>
      <c r="E927" s="2">
        <v>45598</v>
      </c>
      <c r="F927" s="38"/>
      <c r="G927" s="51"/>
      <c r="H927" s="4">
        <f>F250*50%</f>
        <v>2186.925</v>
      </c>
      <c r="I927" s="120"/>
      <c r="J927" s="4">
        <f>(G927+H927)-I927</f>
        <v>2186.925</v>
      </c>
      <c r="K927" s="4">
        <f>J927+O926</f>
        <v>12186.72</v>
      </c>
      <c r="L927" s="3"/>
      <c r="M927" s="3"/>
      <c r="N927" s="33">
        <f>I927+M927</f>
        <v>0</v>
      </c>
      <c r="O927" s="28">
        <f>K927-M927</f>
        <v>12186.72</v>
      </c>
      <c r="P927" s="9" t="s">
        <v>11</v>
      </c>
      <c r="Q927" s="2">
        <v>45598</v>
      </c>
      <c r="R927" s="38"/>
      <c r="S927" s="52"/>
      <c r="T927" s="4">
        <f>R250*45%</f>
        <v>5000.4</v>
      </c>
      <c r="U927" s="5"/>
      <c r="V927" s="4">
        <f>(S927+T927)-U927</f>
        <v>5000.4</v>
      </c>
      <c r="W927" s="4">
        <f>V927+AA926</f>
        <v>-20018.17</v>
      </c>
      <c r="X927" s="3"/>
      <c r="Y927" s="3"/>
      <c r="Z927" s="25">
        <f>U927+Y927</f>
        <v>0</v>
      </c>
      <c r="AA927" s="76">
        <f>W927-Y927</f>
        <v>-20018.17</v>
      </c>
      <c r="AB927" s="9" t="s">
        <v>11</v>
      </c>
      <c r="AC927" s="19">
        <v>45598</v>
      </c>
      <c r="AD927" s="66"/>
      <c r="AE927" s="67"/>
      <c r="AF927" s="4">
        <f>AD250-H927-T927</f>
        <v>8298.525</v>
      </c>
      <c r="AG927" s="3" t="s">
        <v>260</v>
      </c>
      <c r="AH927" s="8">
        <v>901.8</v>
      </c>
      <c r="AI927" s="4">
        <f>(AE927+AF927)-AH927</f>
        <v>7396.725</v>
      </c>
      <c r="AJ927" s="4">
        <f>AI927+BP926</f>
        <v>51873.8445</v>
      </c>
      <c r="AK927" s="8"/>
      <c r="AL927" s="8"/>
      <c r="AM927" s="47" t="s">
        <v>305</v>
      </c>
      <c r="AN927" s="47">
        <v>4500</v>
      </c>
      <c r="AO927" s="8"/>
      <c r="AP927" s="8"/>
      <c r="AQ927" s="47"/>
      <c r="AR927" s="47"/>
      <c r="AS927" s="8" t="s">
        <v>306</v>
      </c>
      <c r="AT927" s="8">
        <v>1000</v>
      </c>
      <c r="AU927" s="47"/>
      <c r="AV927" s="47"/>
      <c r="AW927" s="8"/>
      <c r="AX927" s="8"/>
      <c r="AY927" s="47"/>
      <c r="AZ927" s="47"/>
      <c r="BA927" s="8"/>
      <c r="BB927" s="8"/>
      <c r="BC927" s="47"/>
      <c r="BD927" s="47"/>
      <c r="BE927" s="8"/>
      <c r="BF927" s="8"/>
      <c r="BG927" s="47"/>
      <c r="BH927" s="47"/>
      <c r="BI927" s="8"/>
      <c r="BJ927" s="3"/>
      <c r="BK927" s="47"/>
      <c r="BL927" s="47"/>
      <c r="BM927" s="46"/>
      <c r="BN927" s="46"/>
      <c r="BO927" s="24">
        <f>AL927+AN927+AP927+AR927+AT927+AV927+AX927+AZ927+BB927+BD927+BF927+BH927+BJ927+BL927</f>
        <v>5500</v>
      </c>
      <c r="BP927" s="28">
        <f>AJ927-BO927</f>
        <v>46373.8445</v>
      </c>
      <c r="BQ927" s="2">
        <v>45598</v>
      </c>
    </row>
    <row r="928" spans="1:73" hidden="true">
      <c r="D928" s="9" t="s">
        <v>12</v>
      </c>
      <c r="E928" s="2">
        <v>45599</v>
      </c>
      <c r="F928" s="38"/>
      <c r="G928" s="51"/>
      <c r="H928" s="4">
        <f>F251*50%</f>
        <v>2500.85</v>
      </c>
      <c r="I928" s="120"/>
      <c r="J928" s="4">
        <f>(G928+H928)-I928</f>
        <v>2500.85</v>
      </c>
      <c r="K928" s="4">
        <f>J928+O927</f>
        <v>14687.57</v>
      </c>
      <c r="L928" s="3"/>
      <c r="M928" s="3"/>
      <c r="N928" s="33">
        <f>I928+M928</f>
        <v>0</v>
      </c>
      <c r="O928" s="28">
        <f>K928-M928</f>
        <v>14687.57</v>
      </c>
      <c r="P928" s="9" t="s">
        <v>12</v>
      </c>
      <c r="Q928" s="2">
        <v>45599</v>
      </c>
      <c r="R928" s="38"/>
      <c r="S928" s="52"/>
      <c r="T928" s="4">
        <f>R251*45%</f>
        <v>3562.2</v>
      </c>
      <c r="U928" s="5"/>
      <c r="V928" s="4">
        <f>(S928+T928)-U928</f>
        <v>3562.2</v>
      </c>
      <c r="W928" s="4">
        <f>V928+AA927</f>
        <v>-16455.97</v>
      </c>
      <c r="X928" s="3"/>
      <c r="Y928" s="3"/>
      <c r="Z928" s="25">
        <f>U928+Y928</f>
        <v>0</v>
      </c>
      <c r="AA928" s="76">
        <f>W928-Y928</f>
        <v>-16455.97</v>
      </c>
      <c r="AB928" s="9" t="s">
        <v>12</v>
      </c>
      <c r="AC928" s="19">
        <v>45599</v>
      </c>
      <c r="AD928" s="66"/>
      <c r="AE928" s="67"/>
      <c r="AF928" s="4">
        <f>AD251-H928-T928</f>
        <v>6854.65</v>
      </c>
      <c r="AG928" s="3" t="s">
        <v>260</v>
      </c>
      <c r="AH928" s="8">
        <v>475</v>
      </c>
      <c r="AI928" s="4">
        <f>(AE928+AF928)-AH928</f>
        <v>6379.65</v>
      </c>
      <c r="AJ928" s="4">
        <f>AI928+BP927</f>
        <v>52753.4945</v>
      </c>
      <c r="AK928" s="3"/>
      <c r="AL928" s="8"/>
      <c r="AM928" s="47"/>
      <c r="AN928" s="47"/>
      <c r="AO928" s="8"/>
      <c r="AP928" s="8"/>
      <c r="AQ928" s="47"/>
      <c r="AR928" s="47"/>
      <c r="AS928" s="8"/>
      <c r="AT928" s="8"/>
      <c r="AU928" s="47"/>
      <c r="AV928" s="47"/>
      <c r="AW928" s="8"/>
      <c r="AX928" s="8"/>
      <c r="AY928" s="47"/>
      <c r="AZ928" s="47"/>
      <c r="BA928" s="8"/>
      <c r="BB928" s="8"/>
      <c r="BC928" s="47"/>
      <c r="BD928" s="47"/>
      <c r="BE928" s="8"/>
      <c r="BF928" s="8"/>
      <c r="BG928" s="47"/>
      <c r="BH928" s="47"/>
      <c r="BI928" s="8" t="s">
        <v>307</v>
      </c>
      <c r="BJ928" s="3">
        <v>1000</v>
      </c>
      <c r="BK928" s="47"/>
      <c r="BL928" s="47"/>
      <c r="BM928" s="46"/>
      <c r="BN928" s="46"/>
      <c r="BO928" s="24">
        <f>AL928+AN928+AP928+AR928+AT928+AV928+AX928+AZ928+BB928+BD928+BF928+BH928+BJ928+BL928</f>
        <v>1000</v>
      </c>
      <c r="BP928" s="28">
        <f>AJ928-BO928</f>
        <v>51753.4945</v>
      </c>
      <c r="BQ928" s="2">
        <v>45599</v>
      </c>
    </row>
    <row r="929" spans="1:73" hidden="true">
      <c r="D929" s="9" t="s">
        <v>13</v>
      </c>
      <c r="E929" s="2">
        <v>45600</v>
      </c>
      <c r="F929" s="38"/>
      <c r="G929" s="51"/>
      <c r="H929" s="4">
        <f>F252*50%</f>
        <v>2050.95</v>
      </c>
      <c r="I929" s="120">
        <v>2033.8</v>
      </c>
      <c r="J929" s="4">
        <f>(G929+H929)-I929</f>
        <v>17.15</v>
      </c>
      <c r="K929" s="4">
        <f>J929+O928</f>
        <v>14704.72</v>
      </c>
      <c r="L929" s="3"/>
      <c r="M929" s="3"/>
      <c r="N929" s="33">
        <f>I929+M929</f>
        <v>2033.8</v>
      </c>
      <c r="O929" s="28">
        <f>K929-M929</f>
        <v>14704.72</v>
      </c>
      <c r="P929" s="9" t="s">
        <v>13</v>
      </c>
      <c r="Q929" s="2">
        <v>45600</v>
      </c>
      <c r="R929" s="38"/>
      <c r="S929" s="52"/>
      <c r="T929" s="4">
        <f>R252*45%</f>
        <v>3398.4</v>
      </c>
      <c r="U929" s="5"/>
      <c r="V929" s="4">
        <f>(S929+T929)-U929</f>
        <v>3398.4</v>
      </c>
      <c r="W929" s="4">
        <f>V929+AA928</f>
        <v>-13057.57</v>
      </c>
      <c r="X929" s="3"/>
      <c r="Y929" s="3"/>
      <c r="Z929" s="25">
        <f>U929+Y929</f>
        <v>0</v>
      </c>
      <c r="AA929" s="76">
        <f>W929-Y929</f>
        <v>-13057.57</v>
      </c>
      <c r="AB929" s="9" t="s">
        <v>13</v>
      </c>
      <c r="AC929" s="19">
        <v>45600</v>
      </c>
      <c r="AD929" s="66"/>
      <c r="AE929" s="67"/>
      <c r="AF929" s="4">
        <f>AD252-H929-T929</f>
        <v>6204.55</v>
      </c>
      <c r="AG929" s="3" t="s">
        <v>260</v>
      </c>
      <c r="AH929" s="8">
        <v>645</v>
      </c>
      <c r="AI929" s="4">
        <f>(AE929+AF929)-AH929</f>
        <v>5559.55</v>
      </c>
      <c r="AJ929" s="4">
        <f>AI929+BP928</f>
        <v>57313.0445</v>
      </c>
      <c r="AK929" s="8"/>
      <c r="AL929" s="8"/>
      <c r="AM929" s="47"/>
      <c r="AN929" s="47"/>
      <c r="AO929" s="8" t="s">
        <v>262</v>
      </c>
      <c r="AP929" s="8">
        <v>200</v>
      </c>
      <c r="AQ929" s="47"/>
      <c r="AR929" s="47"/>
      <c r="AS929" s="8"/>
      <c r="AT929" s="8"/>
      <c r="AU929" s="47"/>
      <c r="AV929" s="47"/>
      <c r="AW929" s="8"/>
      <c r="AX929" s="8"/>
      <c r="AY929" s="47"/>
      <c r="AZ929" s="47"/>
      <c r="BA929" s="3"/>
      <c r="BB929" s="8"/>
      <c r="BC929" s="47"/>
      <c r="BD929" s="47"/>
      <c r="BE929" s="8"/>
      <c r="BF929" s="8"/>
      <c r="BG929" s="47"/>
      <c r="BH929" s="47">
        <v>7000</v>
      </c>
      <c r="BI929" s="8"/>
      <c r="BJ929" s="3"/>
      <c r="BK929" s="47"/>
      <c r="BL929" s="47"/>
      <c r="BM929" s="46"/>
      <c r="BN929" s="46"/>
      <c r="BO929" s="24">
        <f>AL929+AN929+AP929+AR929+AT929+AV929+AX929+AZ929+BB929+BD929+BF929+BH929+BJ929+BL929</f>
        <v>7200</v>
      </c>
      <c r="BP929" s="28">
        <f>AJ929-BO929</f>
        <v>50113.0445</v>
      </c>
      <c r="BQ929" s="2">
        <v>45600</v>
      </c>
    </row>
    <row r="930" spans="1:73" hidden="true">
      <c r="D930" s="9" t="s">
        <v>14</v>
      </c>
      <c r="E930" s="2">
        <v>45601</v>
      </c>
      <c r="F930" s="38"/>
      <c r="G930" s="51"/>
      <c r="H930" s="4">
        <f>F253*50%</f>
        <v>2372.1</v>
      </c>
      <c r="I930" s="120">
        <v>1999</v>
      </c>
      <c r="J930" s="4">
        <f>(G930+H930)-I930</f>
        <v>373.1</v>
      </c>
      <c r="K930" s="4">
        <f>J930+O929</f>
        <v>15077.82</v>
      </c>
      <c r="L930" s="3"/>
      <c r="M930" s="3"/>
      <c r="N930" s="33">
        <f>I930+M930</f>
        <v>1999</v>
      </c>
      <c r="O930" s="28">
        <f>K930-M930</f>
        <v>15077.82</v>
      </c>
      <c r="P930" s="9" t="s">
        <v>14</v>
      </c>
      <c r="Q930" s="2">
        <v>45601</v>
      </c>
      <c r="R930" s="38"/>
      <c r="S930" s="52"/>
      <c r="T930" s="4">
        <f>R253*45%</f>
        <v>1686.555</v>
      </c>
      <c r="U930" s="5"/>
      <c r="V930" s="4">
        <f>(S930+T930)-U930</f>
        <v>1686.555</v>
      </c>
      <c r="W930" s="4">
        <f>V930+AA929</f>
        <v>-11371.015</v>
      </c>
      <c r="X930" s="3"/>
      <c r="Y930" s="3"/>
      <c r="Z930" s="25">
        <f>U930+Y930</f>
        <v>0</v>
      </c>
      <c r="AA930" s="76">
        <f>W930-Y930</f>
        <v>-11371.015</v>
      </c>
      <c r="AB930" s="9" t="s">
        <v>14</v>
      </c>
      <c r="AC930" s="19">
        <v>45601</v>
      </c>
      <c r="AD930" s="66"/>
      <c r="AE930" s="67"/>
      <c r="AF930" s="4">
        <f>AD253-H930-T930</f>
        <v>4433.445</v>
      </c>
      <c r="AG930" s="3" t="s">
        <v>260</v>
      </c>
      <c r="AH930" s="8">
        <v>648</v>
      </c>
      <c r="AI930" s="4">
        <f>(AE930+AF930)-AH930</f>
        <v>3785.445</v>
      </c>
      <c r="AJ930" s="4">
        <f>AI930+BP929</f>
        <v>53898.4895</v>
      </c>
      <c r="AK930" s="8"/>
      <c r="AL930" s="8"/>
      <c r="AM930" s="47"/>
      <c r="AN930" s="47"/>
      <c r="AO930" s="8" t="s">
        <v>308</v>
      </c>
      <c r="AP930" s="8">
        <f>(1700+1707)</f>
        <v>3407</v>
      </c>
      <c r="AQ930" s="47"/>
      <c r="AR930" s="47"/>
      <c r="AS930" s="8"/>
      <c r="AT930" s="8"/>
      <c r="AU930" s="47"/>
      <c r="AV930" s="47"/>
      <c r="AW930" s="8"/>
      <c r="AX930" s="8"/>
      <c r="AY930" s="47"/>
      <c r="AZ930" s="47"/>
      <c r="BA930" s="8"/>
      <c r="BB930" s="8"/>
      <c r="BC930" s="47"/>
      <c r="BD930" s="47"/>
      <c r="BE930" s="8"/>
      <c r="BF930" s="8"/>
      <c r="BG930" s="47"/>
      <c r="BH930" s="47"/>
      <c r="BI930" s="8"/>
      <c r="BJ930" s="3"/>
      <c r="BK930" s="47"/>
      <c r="BL930" s="47"/>
      <c r="BM930" s="46"/>
      <c r="BN930" s="46"/>
      <c r="BO930" s="24">
        <f>AL930+AN930+AP930+AR930+AT930+AV930+AX930+AZ930+BB930+BD930+BF930+BH930+BJ930+BL930</f>
        <v>3407</v>
      </c>
      <c r="BP930" s="28">
        <f>AJ930-BO930</f>
        <v>50491.4895</v>
      </c>
      <c r="BQ930" s="2">
        <v>45601</v>
      </c>
    </row>
    <row r="931" spans="1:73" hidden="true">
      <c r="D931" s="9" t="s">
        <v>15</v>
      </c>
      <c r="E931" s="2">
        <v>45602</v>
      </c>
      <c r="F931" s="38"/>
      <c r="G931" s="51"/>
      <c r="H931" s="4">
        <f>F254*50%</f>
        <v>2265.025</v>
      </c>
      <c r="I931" s="120">
        <v>1871</v>
      </c>
      <c r="J931" s="4">
        <f>(G931+H931)-I931</f>
        <v>394.025</v>
      </c>
      <c r="K931" s="4">
        <f>J931+O930</f>
        <v>15471.845</v>
      </c>
      <c r="L931" s="3"/>
      <c r="M931" s="3"/>
      <c r="N931" s="33">
        <f>I931+M931</f>
        <v>1871</v>
      </c>
      <c r="O931" s="28">
        <f>K931-M931</f>
        <v>15471.845</v>
      </c>
      <c r="P931" s="9" t="s">
        <v>15</v>
      </c>
      <c r="Q931" s="2">
        <v>45602</v>
      </c>
      <c r="R931" s="38"/>
      <c r="S931" s="52"/>
      <c r="T931" s="4">
        <f>R254*45%</f>
        <v>794.7</v>
      </c>
      <c r="U931" s="5">
        <v>889</v>
      </c>
      <c r="V931" s="4">
        <f>(S931+T931)-U931</f>
        <v>-94.3</v>
      </c>
      <c r="W931" s="4">
        <f>V931+AA930</f>
        <v>-11465.315</v>
      </c>
      <c r="X931" s="3" t="s">
        <v>269</v>
      </c>
      <c r="Y931" s="3">
        <v>11323</v>
      </c>
      <c r="Z931" s="25">
        <f>U931+Y931</f>
        <v>12212</v>
      </c>
      <c r="AA931" s="76">
        <f>W931-Y931</f>
        <v>-22788.315</v>
      </c>
      <c r="AB931" s="9" t="s">
        <v>15</v>
      </c>
      <c r="AC931" s="19">
        <v>45602</v>
      </c>
      <c r="AD931" s="66"/>
      <c r="AE931" s="67"/>
      <c r="AF931" s="4">
        <f>AD254-H931-T931</f>
        <v>3236.325</v>
      </c>
      <c r="AG931" s="3" t="s">
        <v>260</v>
      </c>
      <c r="AH931" s="8">
        <v>401</v>
      </c>
      <c r="AI931" s="4">
        <f>(AE931+AF931)-AH931</f>
        <v>2835.325</v>
      </c>
      <c r="AJ931" s="4">
        <f>AI931+BP930</f>
        <v>53326.8145</v>
      </c>
      <c r="AK931" s="8" t="s">
        <v>41</v>
      </c>
      <c r="AL931" s="8">
        <v>6039.97</v>
      </c>
      <c r="AM931" s="47"/>
      <c r="AN931" s="47"/>
      <c r="AO931" s="8"/>
      <c r="AP931" s="8"/>
      <c r="AQ931" s="47"/>
      <c r="AR931" s="47"/>
      <c r="AS931" s="8"/>
      <c r="AT931" s="8"/>
      <c r="AU931" s="47"/>
      <c r="AV931" s="47"/>
      <c r="AW931" s="8"/>
      <c r="AX931" s="8"/>
      <c r="AY931" s="47"/>
      <c r="AZ931" s="47"/>
      <c r="BA931" s="8"/>
      <c r="BB931" s="8"/>
      <c r="BC931" s="47" t="s">
        <v>309</v>
      </c>
      <c r="BD931" s="47">
        <v>500</v>
      </c>
      <c r="BE931" s="8"/>
      <c r="BF931" s="8"/>
      <c r="BG931" s="47"/>
      <c r="BH931" s="47"/>
      <c r="BI931" s="8"/>
      <c r="BJ931" s="3"/>
      <c r="BK931" s="47"/>
      <c r="BL931" s="47"/>
      <c r="BM931" s="46"/>
      <c r="BN931" s="46"/>
      <c r="BO931" s="24">
        <f>AL931+AN931+AP931+AR931+AT931+AV931+AX931+AZ931+BB931+BD931+BF931+BH931+BJ931+BL931</f>
        <v>6539.97</v>
      </c>
      <c r="BP931" s="28">
        <f>AJ931-BO931</f>
        <v>46786.8445</v>
      </c>
      <c r="BQ931" s="2">
        <v>45602</v>
      </c>
    </row>
    <row r="932" spans="1:73" hidden="true">
      <c r="D932" s="9" t="s">
        <v>16</v>
      </c>
      <c r="E932" s="2">
        <v>45603</v>
      </c>
      <c r="F932" s="38"/>
      <c r="G932" s="51"/>
      <c r="H932" s="4">
        <f>F255*50%</f>
        <v>2529.8</v>
      </c>
      <c r="I932" s="120">
        <v>2024.7</v>
      </c>
      <c r="J932" s="4">
        <f>(G932+H932)-I932</f>
        <v>505.1</v>
      </c>
      <c r="K932" s="4">
        <f>J932+O931</f>
        <v>15976.945</v>
      </c>
      <c r="L932" s="3"/>
      <c r="M932" s="3"/>
      <c r="N932" s="33">
        <f>I932+M932</f>
        <v>2024.7</v>
      </c>
      <c r="O932" s="28">
        <f>K932-M932</f>
        <v>15976.945</v>
      </c>
      <c r="P932" s="9" t="s">
        <v>16</v>
      </c>
      <c r="Q932" s="2">
        <v>45603</v>
      </c>
      <c r="R932" s="38"/>
      <c r="S932" s="52"/>
      <c r="T932" s="4">
        <f>R255*45%</f>
        <v>1307.565</v>
      </c>
      <c r="U932" s="5">
        <v>580.7</v>
      </c>
      <c r="V932" s="4">
        <f>(S932+T932)-U932</f>
        <v>726.865</v>
      </c>
      <c r="W932" s="4">
        <f>V932+AA931</f>
        <v>-22061.45</v>
      </c>
      <c r="X932" s="3"/>
      <c r="Y932" s="3"/>
      <c r="Z932" s="25">
        <f>U932+Y932</f>
        <v>580.7</v>
      </c>
      <c r="AA932" s="76">
        <f>W932-Y932</f>
        <v>-22061.45</v>
      </c>
      <c r="AB932" s="9" t="s">
        <v>16</v>
      </c>
      <c r="AC932" s="19">
        <v>45603</v>
      </c>
      <c r="AD932" s="66"/>
      <c r="AE932" s="67"/>
      <c r="AF932" s="4">
        <f>AD255-H932-T932</f>
        <v>4127.935</v>
      </c>
      <c r="AG932" s="3" t="s">
        <v>260</v>
      </c>
      <c r="AH932" s="8">
        <v>438</v>
      </c>
      <c r="AI932" s="4">
        <f>(AE932+AF932)-AH932</f>
        <v>3689.935</v>
      </c>
      <c r="AJ932" s="4">
        <f>AI932+BP931</f>
        <v>50476.7795</v>
      </c>
      <c r="AK932" s="8" t="s">
        <v>41</v>
      </c>
      <c r="AL932" s="8">
        <v>5450.86</v>
      </c>
      <c r="AM932" s="47"/>
      <c r="AN932" s="47"/>
      <c r="AO932" s="8" t="s">
        <v>310</v>
      </c>
      <c r="AP932" s="8">
        <v>300</v>
      </c>
      <c r="AQ932" s="47"/>
      <c r="AR932" s="47"/>
      <c r="AS932" s="8"/>
      <c r="AT932" s="8"/>
      <c r="AU932" s="47"/>
      <c r="AV932" s="47"/>
      <c r="AW932" s="8"/>
      <c r="AX932" s="8"/>
      <c r="AY932" s="47"/>
      <c r="AZ932" s="47"/>
      <c r="BA932" s="8"/>
      <c r="BB932" s="8"/>
      <c r="BC932" s="47"/>
      <c r="BD932" s="47"/>
      <c r="BE932" s="8"/>
      <c r="BF932" s="8"/>
      <c r="BG932" s="47"/>
      <c r="BH932" s="47"/>
      <c r="BI932" s="8"/>
      <c r="BJ932" s="3"/>
      <c r="BK932" s="47" t="s">
        <v>273</v>
      </c>
      <c r="BL932" s="47">
        <v>3000</v>
      </c>
      <c r="BM932" s="46"/>
      <c r="BN932" s="46"/>
      <c r="BO932" s="24">
        <f>AL932+AN932+AP932+AR932+AT932+AV932+AX932+AZ932+BB932+BD932+BF932+BH932+BJ932+BL932</f>
        <v>8750.86</v>
      </c>
      <c r="BP932" s="28">
        <f>AJ932-BO932</f>
        <v>41725.9195</v>
      </c>
      <c r="BQ932" s="2">
        <v>45603</v>
      </c>
    </row>
    <row r="933" spans="1:73" hidden="true">
      <c r="D933" s="9" t="s">
        <v>10</v>
      </c>
      <c r="E933" s="2">
        <v>45604</v>
      </c>
      <c r="F933" s="38"/>
      <c r="G933" s="51"/>
      <c r="H933" s="4">
        <f>F256*50%</f>
        <v>2608.57</v>
      </c>
      <c r="I933" s="120">
        <v>2272.5</v>
      </c>
      <c r="J933" s="4">
        <f>(G933+H933)-I933</f>
        <v>336.07</v>
      </c>
      <c r="K933" s="4">
        <f>J933+O932</f>
        <v>16313.015</v>
      </c>
      <c r="L933" s="3"/>
      <c r="M933" s="3"/>
      <c r="N933" s="33">
        <f>I933+M933</f>
        <v>2272.5</v>
      </c>
      <c r="O933" s="28">
        <f>K933-M933</f>
        <v>16313.015</v>
      </c>
      <c r="P933" s="9" t="s">
        <v>10</v>
      </c>
      <c r="Q933" s="2">
        <v>45604</v>
      </c>
      <c r="R933" s="38"/>
      <c r="S933" s="52"/>
      <c r="T933" s="4">
        <f>R256*45%</f>
        <v>3013.65</v>
      </c>
      <c r="U933" s="5">
        <v>1568</v>
      </c>
      <c r="V933" s="4">
        <f>(S933+T933)-U933</f>
        <v>1445.65</v>
      </c>
      <c r="W933" s="4">
        <f>V933+AA932</f>
        <v>-20615.8</v>
      </c>
      <c r="X933" s="3" t="s">
        <v>298</v>
      </c>
      <c r="Y933" s="3">
        <v>6522</v>
      </c>
      <c r="Z933" s="25">
        <f>U933+Y933</f>
        <v>8090</v>
      </c>
      <c r="AA933" s="76">
        <f>W933-Y933</f>
        <v>-27137.8</v>
      </c>
      <c r="AB933" s="9" t="s">
        <v>10</v>
      </c>
      <c r="AC933" s="19">
        <v>45604</v>
      </c>
      <c r="AD933" s="66"/>
      <c r="AE933" s="67"/>
      <c r="AF933" s="4">
        <f>AD256-H933-T933</f>
        <v>6291.92</v>
      </c>
      <c r="AG933" s="3" t="s">
        <v>260</v>
      </c>
      <c r="AH933" s="8">
        <v>748</v>
      </c>
      <c r="AI933" s="4">
        <f>(AE933+AF933)-AH933</f>
        <v>5543.92</v>
      </c>
      <c r="AJ933" s="4">
        <f>AI933+BP932</f>
        <v>47269.8395</v>
      </c>
      <c r="AK933" s="8" t="s">
        <v>41</v>
      </c>
      <c r="AL933" s="8">
        <v>10259.81</v>
      </c>
      <c r="AM933" s="47"/>
      <c r="AN933" s="47"/>
      <c r="AO933" s="8" t="s">
        <v>311</v>
      </c>
      <c r="AP933" s="8">
        <v>1</v>
      </c>
      <c r="AQ933" s="47"/>
      <c r="AR933" s="47"/>
      <c r="AS933" s="8"/>
      <c r="AT933" s="8"/>
      <c r="AU933" s="47"/>
      <c r="AV933" s="47"/>
      <c r="AW933" s="8"/>
      <c r="AX933" s="8"/>
      <c r="AY933" s="47"/>
      <c r="AZ933" s="47"/>
      <c r="BA933" s="3"/>
      <c r="BB933" s="8"/>
      <c r="BC933" s="47"/>
      <c r="BD933" s="47"/>
      <c r="BE933" s="8"/>
      <c r="BF933" s="8"/>
      <c r="BG933" s="47"/>
      <c r="BH933" s="47"/>
      <c r="BI933" s="8"/>
      <c r="BJ933" s="3"/>
      <c r="BK933" s="47"/>
      <c r="BL933" s="47"/>
      <c r="BM933" s="46"/>
      <c r="BN933" s="46"/>
      <c r="BO933" s="24">
        <f>AL933+AN933+AP933+AR933+AT933+AV933+AX933+AZ933+BB933+BD933+BF933+BH933+BJ933+BL933</f>
        <v>10260.81</v>
      </c>
      <c r="BP933" s="28">
        <f>AJ933-BO933</f>
        <v>37009.0295</v>
      </c>
      <c r="BQ933" s="2">
        <v>45604</v>
      </c>
    </row>
    <row r="934" spans="1:73" hidden="true">
      <c r="D934" s="9" t="s">
        <v>11</v>
      </c>
      <c r="E934" s="2">
        <v>45605</v>
      </c>
      <c r="F934" s="38"/>
      <c r="G934" s="51"/>
      <c r="H934" s="4">
        <f>F257*50%</f>
        <v>1637.7</v>
      </c>
      <c r="I934" s="120">
        <v>2181</v>
      </c>
      <c r="J934" s="4">
        <f>(G934+H934)-I934</f>
        <v>-543.3</v>
      </c>
      <c r="K934" s="4">
        <f>J934+O933</f>
        <v>15769.715</v>
      </c>
      <c r="L934" s="88" t="s">
        <v>312</v>
      </c>
      <c r="M934" s="3">
        <v>4200</v>
      </c>
      <c r="N934" s="33">
        <f>I934+M934</f>
        <v>6381</v>
      </c>
      <c r="O934" s="28">
        <f>K934-M934</f>
        <v>11569.715</v>
      </c>
      <c r="P934" s="9" t="s">
        <v>11</v>
      </c>
      <c r="Q934" s="2">
        <v>45605</v>
      </c>
      <c r="R934" s="38"/>
      <c r="S934" s="52"/>
      <c r="T934" s="4">
        <f>R257*45%</f>
        <v>3512.655</v>
      </c>
      <c r="U934" s="5">
        <v>0</v>
      </c>
      <c r="V934" s="4">
        <f>(S934+T934)-U934</f>
        <v>3512.655</v>
      </c>
      <c r="W934" s="4">
        <f>V934+AA933</f>
        <v>-23625.145</v>
      </c>
      <c r="X934" s="3"/>
      <c r="Y934" s="3"/>
      <c r="Z934" s="25">
        <f>U934+Y934</f>
        <v>0</v>
      </c>
      <c r="AA934" s="76">
        <f>W934-Y934</f>
        <v>-23625.145</v>
      </c>
      <c r="AB934" s="9" t="s">
        <v>11</v>
      </c>
      <c r="AC934" s="19">
        <v>45605</v>
      </c>
      <c r="AD934" s="66"/>
      <c r="AE934" s="67"/>
      <c r="AF934" s="4">
        <f>AD257-H934-T934</f>
        <v>5930.945</v>
      </c>
      <c r="AG934" s="3" t="s">
        <v>260</v>
      </c>
      <c r="AH934" s="8">
        <v>684</v>
      </c>
      <c r="AI934" s="4">
        <f>(AE934+AF934)-AH934</f>
        <v>5246.945</v>
      </c>
      <c r="AJ934" s="4">
        <f>AI934+BP933</f>
        <v>42255.9745</v>
      </c>
      <c r="AK934" s="8"/>
      <c r="AL934" s="8"/>
      <c r="AM934" s="47"/>
      <c r="AN934" s="47"/>
      <c r="AO934" s="8"/>
      <c r="AP934" s="8"/>
      <c r="AQ934" s="47"/>
      <c r="AR934" s="47"/>
      <c r="AS934" s="8"/>
      <c r="AT934" s="8"/>
      <c r="AU934" s="47"/>
      <c r="AV934" s="47"/>
      <c r="AW934" s="8"/>
      <c r="AX934" s="8"/>
      <c r="AY934" s="47"/>
      <c r="AZ934" s="47"/>
      <c r="BA934" s="8"/>
      <c r="BB934" s="8"/>
      <c r="BC934" s="47"/>
      <c r="BD934" s="47"/>
      <c r="BE934" s="8"/>
      <c r="BF934" s="8"/>
      <c r="BG934" s="47"/>
      <c r="BH934" s="47"/>
      <c r="BI934" s="8"/>
      <c r="BJ934" s="3"/>
      <c r="BK934" s="47"/>
      <c r="BL934" s="47"/>
      <c r="BM934" s="46"/>
      <c r="BN934" s="46"/>
      <c r="BO934" s="24">
        <f>AL934+AN934+AP934+AR934+AT934+AV934+AX934+AZ934+BB934+BD934+BF934+BH934+BJ934+BL934</f>
        <v>0</v>
      </c>
      <c r="BP934" s="28">
        <f>AJ934-BO934</f>
        <v>42255.9745</v>
      </c>
      <c r="BQ934" s="2">
        <v>45605</v>
      </c>
    </row>
    <row r="935" spans="1:73" hidden="true">
      <c r="D935" s="9" t="s">
        <v>12</v>
      </c>
      <c r="E935" s="2">
        <v>45606</v>
      </c>
      <c r="F935" s="38"/>
      <c r="G935" s="51"/>
      <c r="H935" s="4">
        <f>F258*50%</f>
        <v>2004.175</v>
      </c>
      <c r="I935" s="120">
        <v>0</v>
      </c>
      <c r="J935" s="4">
        <f>(G935+H935)-I935</f>
        <v>2004.175</v>
      </c>
      <c r="K935" s="4">
        <f>J935+O934</f>
        <v>13573.89</v>
      </c>
      <c r="L935" s="3"/>
      <c r="M935" s="3"/>
      <c r="N935" s="33">
        <f>I935+M935</f>
        <v>0</v>
      </c>
      <c r="O935" s="28">
        <f>K935-M935</f>
        <v>13573.89</v>
      </c>
      <c r="P935" s="9" t="s">
        <v>12</v>
      </c>
      <c r="Q935" s="2">
        <v>45606</v>
      </c>
      <c r="R935" s="38"/>
      <c r="S935" s="52"/>
      <c r="T935" s="4">
        <f>R258*45%</f>
        <v>2409.075</v>
      </c>
      <c r="U935" s="5">
        <v>0</v>
      </c>
      <c r="V935" s="4">
        <f>(S935+T935)-U935</f>
        <v>2409.075</v>
      </c>
      <c r="W935" s="4">
        <f>V935+AA934</f>
        <v>-21216.07</v>
      </c>
      <c r="X935" s="3"/>
      <c r="Y935" s="3"/>
      <c r="Z935" s="25">
        <f>U935+Y935</f>
        <v>0</v>
      </c>
      <c r="AA935" s="76">
        <f>W935-Y935</f>
        <v>-21216.07</v>
      </c>
      <c r="AB935" s="9" t="s">
        <v>12</v>
      </c>
      <c r="AC935" s="19">
        <v>45606</v>
      </c>
      <c r="AD935" s="66"/>
      <c r="AE935" s="67"/>
      <c r="AF935" s="4">
        <f>AD258-H935-T935</f>
        <v>4948.6</v>
      </c>
      <c r="AG935" s="3" t="s">
        <v>260</v>
      </c>
      <c r="AH935" s="8">
        <v>532</v>
      </c>
      <c r="AI935" s="4">
        <f>(AE935+AF935)-AH935</f>
        <v>4416.6</v>
      </c>
      <c r="AJ935" s="4">
        <f>AI935+BP934</f>
        <v>46672.5745</v>
      </c>
      <c r="AK935" s="8" t="s">
        <v>41</v>
      </c>
      <c r="AL935" s="8">
        <v>2800</v>
      </c>
      <c r="AM935" s="47" t="s">
        <v>313</v>
      </c>
      <c r="AN935" s="47">
        <v>2000</v>
      </c>
      <c r="AO935" s="8"/>
      <c r="AP935" s="8"/>
      <c r="AQ935" s="47"/>
      <c r="AR935" s="47"/>
      <c r="AS935" s="8"/>
      <c r="AT935" s="8"/>
      <c r="AU935" s="47"/>
      <c r="AV935" s="47"/>
      <c r="AW935" s="8"/>
      <c r="AX935" s="8"/>
      <c r="AY935" s="47"/>
      <c r="AZ935" s="47"/>
      <c r="BA935" s="8"/>
      <c r="BB935" s="8"/>
      <c r="BC935" s="47" t="s">
        <v>309</v>
      </c>
      <c r="BD935" s="47">
        <v>300</v>
      </c>
      <c r="BE935" s="8"/>
      <c r="BF935" s="8"/>
      <c r="BG935" s="47"/>
      <c r="BH935" s="47"/>
      <c r="BI935" s="8"/>
      <c r="BJ935" s="3"/>
      <c r="BK935" s="47"/>
      <c r="BL935" s="47"/>
      <c r="BM935" s="46"/>
      <c r="BN935" s="46"/>
      <c r="BO935" s="24">
        <f>AL935+AN935+AP935+AR935+AT935+AV935+AX935+AZ935+BB935+BD935+BF935+BH935+BJ935+BL935</f>
        <v>5100</v>
      </c>
      <c r="BP935" s="28">
        <f>AJ935-BO935</f>
        <v>41572.5745</v>
      </c>
      <c r="BQ935" s="2">
        <v>45606</v>
      </c>
    </row>
    <row r="936" spans="1:73" hidden="true">
      <c r="D936" s="9" t="s">
        <v>13</v>
      </c>
      <c r="E936" s="2">
        <v>45607</v>
      </c>
      <c r="F936" s="38"/>
      <c r="G936" s="51"/>
      <c r="H936" s="4">
        <f>F259*50%</f>
        <v>2115.325</v>
      </c>
      <c r="I936" s="120">
        <v>0</v>
      </c>
      <c r="J936" s="4">
        <f>(G936+H936)-I936</f>
        <v>2115.325</v>
      </c>
      <c r="K936" s="4">
        <f>J936+O935</f>
        <v>15689.215</v>
      </c>
      <c r="L936" s="3"/>
      <c r="M936" s="3"/>
      <c r="N936" s="33">
        <f>I936+M936</f>
        <v>0</v>
      </c>
      <c r="O936" s="28">
        <f>K936-M936</f>
        <v>15689.215</v>
      </c>
      <c r="P936" s="9" t="s">
        <v>13</v>
      </c>
      <c r="Q936" s="2">
        <v>45607</v>
      </c>
      <c r="R936" s="38"/>
      <c r="S936" s="52"/>
      <c r="T936" s="4">
        <f>R259*45%</f>
        <v>5400.585</v>
      </c>
      <c r="U936" s="5">
        <v>0</v>
      </c>
      <c r="V936" s="4">
        <f>(S936+T936)-U936</f>
        <v>5400.585</v>
      </c>
      <c r="W936" s="4">
        <f>V936+AA935</f>
        <v>-15815.485</v>
      </c>
      <c r="X936" s="3"/>
      <c r="Y936" s="3"/>
      <c r="Z936" s="25">
        <f>U936+Y936</f>
        <v>0</v>
      </c>
      <c r="AA936" s="76">
        <f>W936-Y936</f>
        <v>-15815.485</v>
      </c>
      <c r="AB936" s="9" t="s">
        <v>13</v>
      </c>
      <c r="AC936" s="19">
        <v>45607</v>
      </c>
      <c r="AD936" s="66" t="s">
        <v>314</v>
      </c>
      <c r="AE936" s="67">
        <v>50000</v>
      </c>
      <c r="AF936" s="4">
        <f>AD259-H936-T936</f>
        <v>8716.04</v>
      </c>
      <c r="AG936" s="3" t="s">
        <v>260</v>
      </c>
      <c r="AH936" s="8">
        <v>1247</v>
      </c>
      <c r="AI936" s="4">
        <f>(AE936+AF936)-AH936</f>
        <v>57469.04</v>
      </c>
      <c r="AJ936" s="4">
        <f>AI936+BP935</f>
        <v>99041.6145</v>
      </c>
      <c r="AK936" s="8" t="s">
        <v>41</v>
      </c>
      <c r="AL936" s="8">
        <v>9800</v>
      </c>
      <c r="AM936" s="47" t="s">
        <v>315</v>
      </c>
      <c r="AN936" s="47">
        <v>16000</v>
      </c>
      <c r="AO936" s="8" t="s">
        <v>316</v>
      </c>
      <c r="AP936" s="8">
        <v>260</v>
      </c>
      <c r="AQ936" s="47"/>
      <c r="AR936" s="47"/>
      <c r="AS936" s="8"/>
      <c r="AT936" s="8"/>
      <c r="AU936" s="47"/>
      <c r="AV936" s="47"/>
      <c r="AW936" s="8"/>
      <c r="AX936" s="8"/>
      <c r="AY936" s="47"/>
      <c r="AZ936" s="47"/>
      <c r="BA936" s="8"/>
      <c r="BB936" s="8"/>
      <c r="BC936" s="47"/>
      <c r="BD936" s="47"/>
      <c r="BE936" s="8"/>
      <c r="BF936" s="8"/>
      <c r="BG936" s="47"/>
      <c r="BH936" s="47">
        <v>7000</v>
      </c>
      <c r="BI936" s="8"/>
      <c r="BJ936" s="3"/>
      <c r="BK936" s="47"/>
      <c r="BL936" s="47"/>
      <c r="BM936" s="46"/>
      <c r="BN936" s="46"/>
      <c r="BO936" s="24">
        <f>AL936+AN936+AP936+AR936+AT936+AV936+AX936+AZ936+BB936+BD936+BF936+BH936+BJ936+BL936</f>
        <v>33060</v>
      </c>
      <c r="BP936" s="28">
        <f>AJ936-BO936</f>
        <v>65981.6145</v>
      </c>
      <c r="BQ936" s="2">
        <v>45607</v>
      </c>
    </row>
    <row r="937" spans="1:73" hidden="true">
      <c r="D937" s="9" t="s">
        <v>14</v>
      </c>
      <c r="E937" s="2">
        <v>45608</v>
      </c>
      <c r="F937" s="38"/>
      <c r="G937" s="51"/>
      <c r="H937" s="4">
        <f>F260*50%</f>
        <v>2303.55</v>
      </c>
      <c r="I937" s="120">
        <v>2975.9</v>
      </c>
      <c r="J937" s="4">
        <f>(G937+H937)-I937</f>
        <v>-672.35</v>
      </c>
      <c r="K937" s="4">
        <f>J937+O936</f>
        <v>15016.865</v>
      </c>
      <c r="L937" s="3"/>
      <c r="M937" s="3"/>
      <c r="N937" s="33">
        <f>I937+M937</f>
        <v>2975.9</v>
      </c>
      <c r="O937" s="28">
        <f>K937-M937</f>
        <v>15016.865</v>
      </c>
      <c r="P937" s="9" t="s">
        <v>14</v>
      </c>
      <c r="Q937" s="2">
        <v>45608</v>
      </c>
      <c r="R937" s="38"/>
      <c r="S937" s="52"/>
      <c r="T937" s="4">
        <f>R260*45%</f>
        <v>2928.465</v>
      </c>
      <c r="U937" s="5">
        <v>2414</v>
      </c>
      <c r="V937" s="4">
        <f>(S937+T937)-U937</f>
        <v>514.465</v>
      </c>
      <c r="W937" s="4">
        <f>V937+AA936</f>
        <v>-15301.02</v>
      </c>
      <c r="X937" s="3"/>
      <c r="Y937" s="3"/>
      <c r="Z937" s="25">
        <f>U937+Y937</f>
        <v>2414</v>
      </c>
      <c r="AA937" s="76">
        <f>W937-Y937</f>
        <v>-15301.02</v>
      </c>
      <c r="AB937" s="9" t="s">
        <v>14</v>
      </c>
      <c r="AC937" s="19">
        <v>45608</v>
      </c>
      <c r="AD937" s="66" t="s">
        <v>317</v>
      </c>
      <c r="AE937" s="67">
        <v>542.24</v>
      </c>
      <c r="AF937" s="4">
        <f>AD260-H937-T937</f>
        <v>5882.785</v>
      </c>
      <c r="AG937" s="3" t="s">
        <v>260</v>
      </c>
      <c r="AH937" s="8">
        <v>611</v>
      </c>
      <c r="AI937" s="4">
        <f>(AE937+AF937)-AH937</f>
        <v>5814.025</v>
      </c>
      <c r="AJ937" s="4">
        <f>AI937+BP936</f>
        <v>71795.6395</v>
      </c>
      <c r="AK937" s="8" t="s">
        <v>41</v>
      </c>
      <c r="AL937" s="8">
        <v>2225</v>
      </c>
      <c r="AM937" s="47" t="s">
        <v>318</v>
      </c>
      <c r="AN937" s="47">
        <f>(15000+2000)</f>
        <v>17000</v>
      </c>
      <c r="AO937" s="8" t="s">
        <v>311</v>
      </c>
      <c r="AP937" s="8">
        <v>2</v>
      </c>
      <c r="AQ937" s="47"/>
      <c r="AR937" s="47"/>
      <c r="AS937" s="8"/>
      <c r="AT937" s="8"/>
      <c r="AU937" s="47"/>
      <c r="AV937" s="47"/>
      <c r="AW937" s="8"/>
      <c r="AX937" s="8"/>
      <c r="AY937" s="47"/>
      <c r="AZ937" s="47"/>
      <c r="BA937" s="8"/>
      <c r="BB937" s="8"/>
      <c r="BC937" s="47"/>
      <c r="BD937" s="47"/>
      <c r="BE937" s="8"/>
      <c r="BF937" s="8"/>
      <c r="BG937" s="47"/>
      <c r="BH937" s="47"/>
      <c r="BI937" s="8"/>
      <c r="BJ937" s="3"/>
      <c r="BK937" s="47"/>
      <c r="BL937" s="47"/>
      <c r="BM937" s="46"/>
      <c r="BN937" s="46"/>
      <c r="BO937" s="24">
        <f>AL937+AN937+AP937+AR937+AT937+AV937+AX937+AZ937+BB937+BD937+BF937+BH937+BJ937+BL937</f>
        <v>19227</v>
      </c>
      <c r="BP937" s="28">
        <f>AJ937-BO937</f>
        <v>52568.6395</v>
      </c>
      <c r="BQ937" s="2">
        <v>45608</v>
      </c>
    </row>
    <row r="938" spans="1:73" hidden="true">
      <c r="D938" s="9" t="s">
        <v>15</v>
      </c>
      <c r="E938" s="2">
        <v>45609</v>
      </c>
      <c r="F938" s="38"/>
      <c r="G938" s="51"/>
      <c r="H938" s="4">
        <f>F261*50%</f>
        <v>2492.7</v>
      </c>
      <c r="I938" s="120">
        <v>0</v>
      </c>
      <c r="J938" s="4">
        <f>(G938+H938)-I938</f>
        <v>2492.7</v>
      </c>
      <c r="K938" s="4">
        <f>J938+O937</f>
        <v>17509.565</v>
      </c>
      <c r="L938" s="3"/>
      <c r="M938" s="3"/>
      <c r="N938" s="33">
        <f>I938+M938</f>
        <v>0</v>
      </c>
      <c r="O938" s="28">
        <f>K938-M938</f>
        <v>17509.565</v>
      </c>
      <c r="P938" s="9" t="s">
        <v>15</v>
      </c>
      <c r="Q938" s="2">
        <v>45609</v>
      </c>
      <c r="R938" s="38"/>
      <c r="S938" s="52"/>
      <c r="T938" s="4">
        <f>R261*45%</f>
        <v>1791.72</v>
      </c>
      <c r="U938" s="5">
        <v>0</v>
      </c>
      <c r="V938" s="4">
        <f>(S938+T938)-U938</f>
        <v>1791.72</v>
      </c>
      <c r="W938" s="4">
        <f>V938+AA937</f>
        <v>-13509.3</v>
      </c>
      <c r="X938" s="3"/>
      <c r="Y938" s="3"/>
      <c r="Z938" s="25">
        <f>U938+Y938</f>
        <v>0</v>
      </c>
      <c r="AA938" s="76">
        <f>W938-Y938</f>
        <v>-13509.3</v>
      </c>
      <c r="AB938" s="9" t="s">
        <v>15</v>
      </c>
      <c r="AC938" s="19">
        <v>45609</v>
      </c>
      <c r="AD938" s="66"/>
      <c r="AE938" s="67"/>
      <c r="AF938" s="4">
        <f>AD261-H938-T938</f>
        <v>4682.58</v>
      </c>
      <c r="AG938" s="3" t="s">
        <v>260</v>
      </c>
      <c r="AH938" s="8">
        <v>490</v>
      </c>
      <c r="AI938" s="4">
        <f>(AE938+AF938)-AH938</f>
        <v>4192.58</v>
      </c>
      <c r="AJ938" s="4">
        <f>AI938+BP937</f>
        <v>56761.2195</v>
      </c>
      <c r="AK938" s="8" t="s">
        <v>41</v>
      </c>
      <c r="AL938" s="8">
        <v>4500</v>
      </c>
      <c r="AM938" s="47"/>
      <c r="AN938" s="47"/>
      <c r="AO938" s="8"/>
      <c r="AP938" s="8"/>
      <c r="AQ938" s="47"/>
      <c r="AR938" s="47"/>
      <c r="AS938" s="8"/>
      <c r="AT938" s="8"/>
      <c r="AU938" s="47"/>
      <c r="AV938" s="47"/>
      <c r="AW938" s="8"/>
      <c r="AX938" s="8"/>
      <c r="AY938" s="47"/>
      <c r="AZ938" s="47"/>
      <c r="BA938" s="8"/>
      <c r="BB938" s="8"/>
      <c r="BC938" s="47" t="s">
        <v>309</v>
      </c>
      <c r="BD938" s="47">
        <v>300</v>
      </c>
      <c r="BE938" s="8"/>
      <c r="BF938" s="8"/>
      <c r="BG938" s="47"/>
      <c r="BH938" s="47"/>
      <c r="BI938" s="8"/>
      <c r="BJ938" s="3"/>
      <c r="BK938" s="47"/>
      <c r="BL938" s="47"/>
      <c r="BM938" s="46"/>
      <c r="BN938" s="46"/>
      <c r="BO938" s="24">
        <f>AL938+AN938+AP938+AR938+AT938+AV938+AX938+AZ938+BB938+BD938+BF938+BH938+BJ938+BL938</f>
        <v>4800</v>
      </c>
      <c r="BP938" s="28">
        <f>AJ938-BO938</f>
        <v>51961.2195</v>
      </c>
      <c r="BQ938" s="2">
        <v>45609</v>
      </c>
    </row>
    <row r="939" spans="1:73" hidden="true">
      <c r="D939" s="9" t="s">
        <v>16</v>
      </c>
      <c r="E939" s="2">
        <v>45610</v>
      </c>
      <c r="F939" s="38"/>
      <c r="G939" s="51"/>
      <c r="H939" s="4">
        <f>F262*50%</f>
        <v>1930.875</v>
      </c>
      <c r="I939" s="120">
        <v>4957.1</v>
      </c>
      <c r="J939" s="4">
        <f>(G939+H939)-I939</f>
        <v>-3026.225</v>
      </c>
      <c r="K939" s="4">
        <f>J939+O938</f>
        <v>14483.34</v>
      </c>
      <c r="L939" s="3"/>
      <c r="M939" s="3"/>
      <c r="N939" s="33">
        <f>I939+M939</f>
        <v>4957.1</v>
      </c>
      <c r="O939" s="28">
        <f>K939-M939</f>
        <v>14483.34</v>
      </c>
      <c r="P939" s="9" t="s">
        <v>16</v>
      </c>
      <c r="Q939" s="2">
        <v>45610</v>
      </c>
      <c r="R939" s="38"/>
      <c r="S939" s="52"/>
      <c r="T939" s="4">
        <f>R262*45%</f>
        <v>1998.855</v>
      </c>
      <c r="U939" s="5">
        <v>877</v>
      </c>
      <c r="V939" s="4">
        <f>(S939+T939)-U939</f>
        <v>1121.855</v>
      </c>
      <c r="W939" s="4">
        <f>V939+AA938</f>
        <v>-12387.445</v>
      </c>
      <c r="X939" s="3"/>
      <c r="Y939" s="3"/>
      <c r="Z939" s="25">
        <f>U939+Y939</f>
        <v>877</v>
      </c>
      <c r="AA939" s="76">
        <f>W939-Y939</f>
        <v>-12387.445</v>
      </c>
      <c r="AB939" s="9" t="s">
        <v>16</v>
      </c>
      <c r="AC939" s="19">
        <v>45610</v>
      </c>
      <c r="AD939" s="66"/>
      <c r="AE939" s="67"/>
      <c r="AF939" s="4">
        <f>AD262-H939-T939</f>
        <v>4373.92</v>
      </c>
      <c r="AG939" s="3" t="s">
        <v>260</v>
      </c>
      <c r="AH939" s="8">
        <v>574</v>
      </c>
      <c r="AI939" s="4">
        <f>(AE939+AF939)-AH939</f>
        <v>3799.92</v>
      </c>
      <c r="AJ939" s="4">
        <f>AI939+BP938</f>
        <v>55761.1395</v>
      </c>
      <c r="AK939" s="8" t="s">
        <v>319</v>
      </c>
      <c r="AL939" s="8">
        <v>4000</v>
      </c>
      <c r="AM939" s="47"/>
      <c r="AN939" s="47"/>
      <c r="AO939" s="8"/>
      <c r="AP939" s="8"/>
      <c r="AQ939" s="47"/>
      <c r="AR939" s="47"/>
      <c r="AS939" s="8"/>
      <c r="AT939" s="8"/>
      <c r="AU939" s="47"/>
      <c r="AV939" s="47"/>
      <c r="AW939" s="8"/>
      <c r="AX939" s="8"/>
      <c r="AY939" s="47"/>
      <c r="AZ939" s="47"/>
      <c r="BA939" s="8"/>
      <c r="BB939" s="8"/>
      <c r="BC939" s="47"/>
      <c r="BD939" s="47"/>
      <c r="BE939" s="8"/>
      <c r="BF939" s="8"/>
      <c r="BG939" s="47"/>
      <c r="BH939" s="47"/>
      <c r="BI939" s="8"/>
      <c r="BJ939" s="3"/>
      <c r="BK939" s="47"/>
      <c r="BL939" s="47"/>
      <c r="BM939" s="46"/>
      <c r="BN939" s="46"/>
      <c r="BO939" s="24">
        <f>AL939+AN939+AP939+AR939+AT939+AV939+AX939+AZ939+BB939+BD939+BF939+BH939+BJ939+BL939</f>
        <v>4000</v>
      </c>
      <c r="BP939" s="28">
        <f>AJ939-BO939</f>
        <v>51761.1395</v>
      </c>
      <c r="BQ939" s="2">
        <v>45610</v>
      </c>
    </row>
    <row r="940" spans="1:73" hidden="true">
      <c r="D940" s="9" t="s">
        <v>10</v>
      </c>
      <c r="E940" s="2">
        <v>45611</v>
      </c>
      <c r="F940" s="38"/>
      <c r="G940" s="51"/>
      <c r="H940" s="4">
        <f>F263*50%</f>
        <v>2269.775</v>
      </c>
      <c r="I940" s="120"/>
      <c r="J940" s="4">
        <f>(G940+H940)-I940</f>
        <v>2269.775</v>
      </c>
      <c r="K940" s="4">
        <f>J940+O939</f>
        <v>16753.115</v>
      </c>
      <c r="L940" s="3"/>
      <c r="M940" s="3"/>
      <c r="N940" s="33">
        <f>I940+M940</f>
        <v>0</v>
      </c>
      <c r="O940" s="28">
        <f>K940-M940</f>
        <v>16753.115</v>
      </c>
      <c r="P940" s="9" t="s">
        <v>10</v>
      </c>
      <c r="Q940" s="2">
        <v>45611</v>
      </c>
      <c r="R940" s="38"/>
      <c r="S940" s="52"/>
      <c r="T940" s="4">
        <f>R263*45%</f>
        <v>3457.8</v>
      </c>
      <c r="U940" s="5"/>
      <c r="V940" s="4">
        <f>(S940+T940)-U940</f>
        <v>3457.8</v>
      </c>
      <c r="W940" s="4">
        <f>V940+AA939</f>
        <v>-8929.645</v>
      </c>
      <c r="X940" s="3" t="s">
        <v>269</v>
      </c>
      <c r="Y940" s="3">
        <v>12275</v>
      </c>
      <c r="Z940" s="25">
        <f>U940+Y940</f>
        <v>12275</v>
      </c>
      <c r="AA940" s="76">
        <f>W940-Y940</f>
        <v>-21204.645</v>
      </c>
      <c r="AB940" s="9" t="s">
        <v>10</v>
      </c>
      <c r="AC940" s="19">
        <v>45611</v>
      </c>
      <c r="AD940" s="66"/>
      <c r="AE940" s="67"/>
      <c r="AF940" s="4">
        <f>AD263-H940-T940</f>
        <v>6495.975</v>
      </c>
      <c r="AG940" s="3" t="s">
        <v>260</v>
      </c>
      <c r="AH940" s="8">
        <v>1055</v>
      </c>
      <c r="AI940" s="4">
        <f>(AE940+AF940)-AH940</f>
        <v>5440.975</v>
      </c>
      <c r="AJ940" s="4">
        <f>AI940+BP939</f>
        <v>57202.1145</v>
      </c>
      <c r="AK940" s="3"/>
      <c r="AL940" s="8"/>
      <c r="AM940" s="47"/>
      <c r="AN940" s="47"/>
      <c r="AO940" s="8" t="s">
        <v>320</v>
      </c>
      <c r="AP940" s="8">
        <v>2000</v>
      </c>
      <c r="AQ940" s="47"/>
      <c r="AR940" s="47"/>
      <c r="AS940" s="8"/>
      <c r="AT940" s="8"/>
      <c r="AU940" s="47"/>
      <c r="AV940" s="47"/>
      <c r="AW940" s="8"/>
      <c r="AX940" s="8"/>
      <c r="AY940" s="47"/>
      <c r="AZ940" s="47"/>
      <c r="BA940" s="8"/>
      <c r="BB940" s="8"/>
      <c r="BC940" s="47"/>
      <c r="BD940" s="47"/>
      <c r="BE940" s="8"/>
      <c r="BF940" s="8"/>
      <c r="BG940" s="47"/>
      <c r="BH940" s="47"/>
      <c r="BI940" s="8"/>
      <c r="BJ940" s="3"/>
      <c r="BK940" s="47"/>
      <c r="BL940" s="47"/>
      <c r="BM940" s="46"/>
      <c r="BN940" s="46"/>
      <c r="BO940" s="24">
        <f>AL940+AN940+AP940+AR940+AT940+AV940+AX940+AZ940+BB940+BD940+BF940+BH940+BJ940+BL940</f>
        <v>2000</v>
      </c>
      <c r="BP940" s="28">
        <f>AJ940-BO940</f>
        <v>55202.1145</v>
      </c>
      <c r="BQ940" s="2">
        <v>45611</v>
      </c>
    </row>
    <row r="941" spans="1:73" hidden="true">
      <c r="D941" s="9" t="s">
        <v>11</v>
      </c>
      <c r="E941" s="2">
        <v>45612</v>
      </c>
      <c r="F941" s="38"/>
      <c r="G941" s="51"/>
      <c r="H941" s="4">
        <f>F264*50%</f>
        <v>3147.4</v>
      </c>
      <c r="I941" s="120"/>
      <c r="J941" s="4">
        <f>(G941+H941)-I941</f>
        <v>3147.4</v>
      </c>
      <c r="K941" s="4">
        <f>J941+O940</f>
        <v>19900.515</v>
      </c>
      <c r="L941" s="3" t="s">
        <v>299</v>
      </c>
      <c r="M941" s="3">
        <v>3522</v>
      </c>
      <c r="N941" s="33">
        <f>I941+M941</f>
        <v>3522</v>
      </c>
      <c r="O941" s="28">
        <f>K941-M941</f>
        <v>16378.515</v>
      </c>
      <c r="P941" s="9" t="s">
        <v>11</v>
      </c>
      <c r="Q941" s="2">
        <v>45612</v>
      </c>
      <c r="R941" s="38"/>
      <c r="S941" s="52"/>
      <c r="T941" s="4">
        <f>R264*45%</f>
        <v>1326.555</v>
      </c>
      <c r="U941" s="5"/>
      <c r="V941" s="4">
        <f>(S941+T941)-U941</f>
        <v>1326.555</v>
      </c>
      <c r="W941" s="4">
        <f>V941+AA940</f>
        <v>-19878.09</v>
      </c>
      <c r="X941" s="3"/>
      <c r="Y941" s="3"/>
      <c r="Z941" s="25">
        <f>U941+Y941</f>
        <v>0</v>
      </c>
      <c r="AA941" s="76">
        <f>W941-Y941</f>
        <v>-19878.09</v>
      </c>
      <c r="AB941" s="9" t="s">
        <v>11</v>
      </c>
      <c r="AC941" s="19">
        <v>45612</v>
      </c>
      <c r="AD941" s="66"/>
      <c r="AE941" s="67"/>
      <c r="AF941" s="4">
        <f>AD264-H941-T941</f>
        <v>4768.745</v>
      </c>
      <c r="AG941" s="3" t="s">
        <v>260</v>
      </c>
      <c r="AH941" s="8">
        <v>388</v>
      </c>
      <c r="AI941" s="4">
        <f>(AE941+AF941)-AH941</f>
        <v>4380.745</v>
      </c>
      <c r="AJ941" s="4">
        <f>AI941+BP940</f>
        <v>59582.8595</v>
      </c>
      <c r="AK941" s="8"/>
      <c r="AL941" s="8"/>
      <c r="AM941" s="87" t="s">
        <v>321</v>
      </c>
      <c r="AN941" s="47">
        <v>55000</v>
      </c>
      <c r="AO941" s="8"/>
      <c r="AP941" s="8"/>
      <c r="AQ941" s="47"/>
      <c r="AR941" s="47"/>
      <c r="AS941" s="8"/>
      <c r="AT941" s="8"/>
      <c r="AU941" s="47"/>
      <c r="AV941" s="47"/>
      <c r="AW941" s="8"/>
      <c r="AX941" s="8"/>
      <c r="AY941" s="47"/>
      <c r="AZ941" s="47"/>
      <c r="BA941" s="8"/>
      <c r="BB941" s="8"/>
      <c r="BC941" s="47"/>
      <c r="BD941" s="47"/>
      <c r="BE941" s="8"/>
      <c r="BF941" s="8"/>
      <c r="BG941" s="47"/>
      <c r="BH941" s="47"/>
      <c r="BI941" s="8"/>
      <c r="BJ941" s="3"/>
      <c r="BK941" s="47"/>
      <c r="BL941" s="47"/>
      <c r="BM941" s="46"/>
      <c r="BN941" s="46"/>
      <c r="BO941" s="24">
        <f>AL941+AN941+AP941+AR941+AT941+AV941+AX941+AZ941+BB941+BD941+BF941+BH941+BJ941+BL941</f>
        <v>55000</v>
      </c>
      <c r="BP941" s="28">
        <f>AJ941-BO941</f>
        <v>4582.8594999999</v>
      </c>
      <c r="BQ941" s="2">
        <v>45612</v>
      </c>
    </row>
    <row r="942" spans="1:73" hidden="true">
      <c r="D942" s="9" t="s">
        <v>12</v>
      </c>
      <c r="E942" s="2">
        <v>45613</v>
      </c>
      <c r="F942" s="38"/>
      <c r="G942" s="51"/>
      <c r="H942" s="4">
        <f>F265*50%</f>
        <v>3491.575</v>
      </c>
      <c r="I942" s="120"/>
      <c r="J942" s="4">
        <f>(G942+H942)-I942</f>
        <v>3491.575</v>
      </c>
      <c r="K942" s="4">
        <f>J942+O941</f>
        <v>19870.09</v>
      </c>
      <c r="L942" s="3"/>
      <c r="M942" s="3"/>
      <c r="N942" s="33">
        <f>I942+M942</f>
        <v>0</v>
      </c>
      <c r="O942" s="28">
        <f>K942-M942</f>
        <v>19870.09</v>
      </c>
      <c r="P942" s="9" t="s">
        <v>12</v>
      </c>
      <c r="Q942" s="2">
        <v>45613</v>
      </c>
      <c r="R942" s="38"/>
      <c r="S942" s="52"/>
      <c r="T942" s="4">
        <f>R265*45%</f>
        <v>3717.45</v>
      </c>
      <c r="U942" s="5"/>
      <c r="V942" s="4">
        <f>(S942+T942)-U942</f>
        <v>3717.45</v>
      </c>
      <c r="W942" s="4">
        <f>V942+AA941</f>
        <v>-16160.64</v>
      </c>
      <c r="X942" s="3"/>
      <c r="Y942" s="3"/>
      <c r="Z942" s="25">
        <f>U942+Y942</f>
        <v>0</v>
      </c>
      <c r="AA942" s="76">
        <f>W942-Y942</f>
        <v>-16160.64</v>
      </c>
      <c r="AB942" s="9" t="s">
        <v>12</v>
      </c>
      <c r="AC942" s="19">
        <v>45613</v>
      </c>
      <c r="AD942" s="66" t="s">
        <v>286</v>
      </c>
      <c r="AE942" s="67">
        <v>7000</v>
      </c>
      <c r="AF942" s="4">
        <f>AD265-H942-T942</f>
        <v>8035.125</v>
      </c>
      <c r="AG942" s="3" t="s">
        <v>260</v>
      </c>
      <c r="AH942" s="8">
        <v>1099.2</v>
      </c>
      <c r="AI942" s="4">
        <f>(AE942+AF942)-AH942</f>
        <v>13935.925</v>
      </c>
      <c r="AJ942" s="4">
        <f>AI942+BP941</f>
        <v>18518.7845</v>
      </c>
      <c r="AK942" s="8"/>
      <c r="AL942" s="8"/>
      <c r="AM942" s="47"/>
      <c r="AN942" s="47"/>
      <c r="AO942" s="8"/>
      <c r="AP942" s="8"/>
      <c r="AQ942" s="47"/>
      <c r="AR942" s="47"/>
      <c r="AS942" s="8"/>
      <c r="AT942" s="8"/>
      <c r="AU942" s="47"/>
      <c r="AV942" s="47"/>
      <c r="AW942" s="8"/>
      <c r="AX942" s="8"/>
      <c r="AY942" s="47"/>
      <c r="AZ942" s="47"/>
      <c r="BA942" s="8"/>
      <c r="BB942" s="8"/>
      <c r="BC942" s="47"/>
      <c r="BD942" s="47"/>
      <c r="BE942" s="8"/>
      <c r="BF942" s="8"/>
      <c r="BG942" s="47"/>
      <c r="BH942" s="47"/>
      <c r="BI942" s="8"/>
      <c r="BJ942" s="3"/>
      <c r="BK942" s="47"/>
      <c r="BL942" s="47"/>
      <c r="BM942" s="46"/>
      <c r="BN942" s="46"/>
      <c r="BO942" s="24">
        <f>AL942+AN942+AP942+AR942+AT942+AV942+AX942+AZ942+BB942+BD942+BF942+BH942+BJ942+BL942</f>
        <v>0</v>
      </c>
      <c r="BP942" s="28">
        <f>AJ942-BO942</f>
        <v>18518.7845</v>
      </c>
      <c r="BQ942" s="2">
        <v>45613</v>
      </c>
    </row>
    <row r="943" spans="1:73" hidden="true">
      <c r="D943" s="9" t="s">
        <v>13</v>
      </c>
      <c r="E943" s="2">
        <v>45614</v>
      </c>
      <c r="F943" s="38"/>
      <c r="G943" s="51"/>
      <c r="H943" s="4">
        <f>F266*50%</f>
        <v>2183.725</v>
      </c>
      <c r="I943" s="120"/>
      <c r="J943" s="4">
        <f>(G943+H943)-I943</f>
        <v>2183.725</v>
      </c>
      <c r="K943" s="4">
        <f>J943+O942</f>
        <v>22053.815</v>
      </c>
      <c r="L943" s="3"/>
      <c r="M943" s="3"/>
      <c r="N943" s="33">
        <f>I943+M943</f>
        <v>0</v>
      </c>
      <c r="O943" s="28">
        <f>K943-M943</f>
        <v>22053.815</v>
      </c>
      <c r="P943" s="9" t="s">
        <v>13</v>
      </c>
      <c r="Q943" s="2">
        <v>45614</v>
      </c>
      <c r="R943" s="38"/>
      <c r="S943" s="52"/>
      <c r="T943" s="4">
        <f>R266*45%</f>
        <v>1803.105</v>
      </c>
      <c r="U943" s="5"/>
      <c r="V943" s="4">
        <f>(S943+T943)-U943</f>
        <v>1803.105</v>
      </c>
      <c r="W943" s="4">
        <f>V943+AA942</f>
        <v>-14357.535</v>
      </c>
      <c r="X943" s="3"/>
      <c r="Y943" s="3"/>
      <c r="Z943" s="25">
        <f>U943+Y943</f>
        <v>0</v>
      </c>
      <c r="AA943" s="76">
        <f>W943-Y943</f>
        <v>-14357.535</v>
      </c>
      <c r="AB943" s="9" t="s">
        <v>13</v>
      </c>
      <c r="AC943" s="19">
        <v>45614</v>
      </c>
      <c r="AD943" s="66" t="s">
        <v>286</v>
      </c>
      <c r="AE943" s="67">
        <v>4000</v>
      </c>
      <c r="AF943" s="4">
        <f>AD266-H943-T943</f>
        <v>4387.52</v>
      </c>
      <c r="AG943" s="3" t="s">
        <v>260</v>
      </c>
      <c r="AH943" s="8">
        <v>440</v>
      </c>
      <c r="AI943" s="4">
        <f>(AE943+AF943)-AH943</f>
        <v>7947.52</v>
      </c>
      <c r="AJ943" s="4">
        <f>AI943+BP942</f>
        <v>26466.3045</v>
      </c>
      <c r="AK943" s="8"/>
      <c r="AL943" s="8"/>
      <c r="AM943" s="47"/>
      <c r="AN943" s="47"/>
      <c r="AO943" s="8"/>
      <c r="AP943" s="8"/>
      <c r="AQ943" s="47"/>
      <c r="AR943" s="47"/>
      <c r="AS943" s="8"/>
      <c r="AT943" s="8"/>
      <c r="AU943" s="47"/>
      <c r="AV943" s="47"/>
      <c r="AW943" s="8"/>
      <c r="AX943" s="8"/>
      <c r="AY943" s="47"/>
      <c r="AZ943" s="47"/>
      <c r="BA943" s="8"/>
      <c r="BB943" s="8"/>
      <c r="BC943" s="47"/>
      <c r="BD943" s="47"/>
      <c r="BE943" s="8"/>
      <c r="BF943" s="8"/>
      <c r="BG943" s="47"/>
      <c r="BH943" s="47">
        <v>7000</v>
      </c>
      <c r="BI943" s="8"/>
      <c r="BJ943" s="3"/>
      <c r="BK943" s="47"/>
      <c r="BL943" s="47"/>
      <c r="BM943" s="46"/>
      <c r="BN943" s="46"/>
      <c r="BO943" s="24">
        <f>AL943+AN943+AP943+AR943+AT943+AV943+AX943+AZ943+BB943+BD943+BF943+BH943+BJ943+BL943</f>
        <v>7000</v>
      </c>
      <c r="BP943" s="28">
        <f>AJ943-BO943</f>
        <v>19466.3045</v>
      </c>
      <c r="BQ943" s="2">
        <v>45614</v>
      </c>
    </row>
    <row r="944" spans="1:73" hidden="true">
      <c r="D944" s="9" t="s">
        <v>14</v>
      </c>
      <c r="E944" s="2">
        <v>45615</v>
      </c>
      <c r="F944" s="38"/>
      <c r="G944" s="51"/>
      <c r="H944" s="4">
        <f>F267*50%</f>
        <v>1621.75</v>
      </c>
      <c r="I944" s="120"/>
      <c r="J944" s="4">
        <f>(G944+H944)-I944</f>
        <v>1621.75</v>
      </c>
      <c r="K944" s="4">
        <f>J944+O943</f>
        <v>23675.565</v>
      </c>
      <c r="L944" s="3"/>
      <c r="M944" s="3"/>
      <c r="N944" s="33">
        <f>I944+M944</f>
        <v>0</v>
      </c>
      <c r="O944" s="28">
        <f>K944-M944</f>
        <v>23675.565</v>
      </c>
      <c r="P944" s="9" t="s">
        <v>14</v>
      </c>
      <c r="Q944" s="2">
        <v>45615</v>
      </c>
      <c r="R944" s="38"/>
      <c r="S944" s="52"/>
      <c r="T944" s="4">
        <f>R267*45%</f>
        <v>2194.11</v>
      </c>
      <c r="U944" s="5"/>
      <c r="V944" s="4">
        <f>(S944+T944)-U944</f>
        <v>2194.11</v>
      </c>
      <c r="W944" s="4">
        <f>V944+AA943</f>
        <v>-12163.425</v>
      </c>
      <c r="X944" s="3"/>
      <c r="Y944" s="3"/>
      <c r="Z944" s="25">
        <f>U944+Y944</f>
        <v>0</v>
      </c>
      <c r="AA944" s="76">
        <f>W944-Y944</f>
        <v>-12163.425</v>
      </c>
      <c r="AB944" s="9" t="s">
        <v>14</v>
      </c>
      <c r="AC944" s="19">
        <v>45615</v>
      </c>
      <c r="AD944" s="66" t="s">
        <v>322</v>
      </c>
      <c r="AE944" s="67">
        <f>(2000+2785.84)</f>
        <v>4785.84</v>
      </c>
      <c r="AF944" s="4">
        <f>AD267-H944-T944</f>
        <v>4303.44</v>
      </c>
      <c r="AG944" s="3" t="s">
        <v>260</v>
      </c>
      <c r="AH944" s="8">
        <v>424.4</v>
      </c>
      <c r="AI944" s="4">
        <f>(AE944+AF944)-AH944</f>
        <v>8664.88</v>
      </c>
      <c r="AJ944" s="4">
        <f>AI944+BP943</f>
        <v>28131.1845</v>
      </c>
      <c r="AK944" s="8" t="s">
        <v>323</v>
      </c>
      <c r="AL944" s="8">
        <f>(5311.71+2700)</f>
        <v>8011.71</v>
      </c>
      <c r="AM944" s="47"/>
      <c r="AN944" s="47"/>
      <c r="AO944" s="8" t="s">
        <v>311</v>
      </c>
      <c r="AP944" s="8">
        <v>1.5</v>
      </c>
      <c r="AQ944" s="47"/>
      <c r="AR944" s="47"/>
      <c r="AS944" s="8"/>
      <c r="AT944" s="8"/>
      <c r="AU944" s="47"/>
      <c r="AV944" s="47"/>
      <c r="AW944" s="8"/>
      <c r="AX944" s="8"/>
      <c r="AY944" s="47"/>
      <c r="AZ944" s="47"/>
      <c r="BA944" s="8" t="s">
        <v>324</v>
      </c>
      <c r="BB944" s="8">
        <v>2000</v>
      </c>
      <c r="BC944" s="47"/>
      <c r="BD944" s="47"/>
      <c r="BE944" s="8"/>
      <c r="BF944" s="8"/>
      <c r="BG944" s="47"/>
      <c r="BH944" s="47"/>
      <c r="BI944" s="8"/>
      <c r="BJ944" s="3"/>
      <c r="BK944" s="47"/>
      <c r="BL944" s="47"/>
      <c r="BM944" s="46"/>
      <c r="BN944" s="46"/>
      <c r="BO944" s="24">
        <f>AL944+AN944+AP944+AR944+AT944+AV944+AX944+AZ944+BB944+BD944+BF944+BH944+BJ944+BL944</f>
        <v>10013.21</v>
      </c>
      <c r="BP944" s="28">
        <f>AJ944-BO944</f>
        <v>18117.9745</v>
      </c>
      <c r="BQ944" s="2">
        <v>45615</v>
      </c>
    </row>
    <row r="945" spans="1:73" hidden="true">
      <c r="D945" s="9" t="s">
        <v>15</v>
      </c>
      <c r="E945" s="2">
        <v>45616</v>
      </c>
      <c r="F945" s="38"/>
      <c r="G945" s="51"/>
      <c r="H945" s="4">
        <f>F268*50%</f>
        <v>1873.675</v>
      </c>
      <c r="I945" s="120"/>
      <c r="J945" s="4">
        <f>(G945+H945)-I945</f>
        <v>1873.675</v>
      </c>
      <c r="K945" s="4">
        <f>J945+O944</f>
        <v>25549.24</v>
      </c>
      <c r="L945" s="3"/>
      <c r="M945" s="3"/>
      <c r="N945" s="33">
        <f>I945+M945</f>
        <v>0</v>
      </c>
      <c r="O945" s="28">
        <f>K945-M945</f>
        <v>25549.24</v>
      </c>
      <c r="P945" s="9" t="s">
        <v>15</v>
      </c>
      <c r="Q945" s="2">
        <v>45616</v>
      </c>
      <c r="R945" s="38"/>
      <c r="S945" s="52"/>
      <c r="T945" s="4">
        <f>R268*45%</f>
        <v>2868.3</v>
      </c>
      <c r="U945" s="5"/>
      <c r="V945" s="4">
        <f>(S945+T945)-U945</f>
        <v>2868.3</v>
      </c>
      <c r="W945" s="4">
        <f>V945+AA944</f>
        <v>-9295.125</v>
      </c>
      <c r="X945" s="3"/>
      <c r="Y945" s="3"/>
      <c r="Z945" s="25">
        <f>U945+Y945</f>
        <v>0</v>
      </c>
      <c r="AA945" s="76">
        <f>W945-Y945</f>
        <v>-9295.125</v>
      </c>
      <c r="AB945" s="9" t="s">
        <v>15</v>
      </c>
      <c r="AC945" s="19">
        <v>45616</v>
      </c>
      <c r="AD945" s="66"/>
      <c r="AE945" s="67"/>
      <c r="AF945" s="4">
        <f>AD268-H945-T945</f>
        <v>5379.375</v>
      </c>
      <c r="AG945" s="3" t="s">
        <v>260</v>
      </c>
      <c r="AH945" s="8">
        <v>639</v>
      </c>
      <c r="AI945" s="4">
        <f>(AE945+AF945)-AH945</f>
        <v>4740.375</v>
      </c>
      <c r="AJ945" s="4">
        <f>AI945+BP944</f>
        <v>22858.3495</v>
      </c>
      <c r="AK945" s="8"/>
      <c r="AL945" s="8"/>
      <c r="AM945" s="47" t="s">
        <v>325</v>
      </c>
      <c r="AN945" s="47">
        <v>15000</v>
      </c>
      <c r="AO945" s="8"/>
      <c r="AP945" s="8"/>
      <c r="AQ945" s="47"/>
      <c r="AR945" s="47"/>
      <c r="AS945" s="8"/>
      <c r="AT945" s="8"/>
      <c r="AU945" s="47"/>
      <c r="AV945" s="47"/>
      <c r="AW945" s="8"/>
      <c r="AX945" s="8"/>
      <c r="AY945" s="47"/>
      <c r="AZ945" s="47"/>
      <c r="BA945" s="8"/>
      <c r="BB945" s="8"/>
      <c r="BC945" s="47"/>
      <c r="BD945" s="47"/>
      <c r="BE945" s="8"/>
      <c r="BF945" s="8"/>
      <c r="BG945" s="47"/>
      <c r="BH945" s="47"/>
      <c r="BI945" s="8"/>
      <c r="BJ945" s="3"/>
      <c r="BK945" s="47"/>
      <c r="BL945" s="47"/>
      <c r="BM945" s="46"/>
      <c r="BN945" s="46"/>
      <c r="BO945" s="24">
        <f>AL945+AN945+AP945+AR945+AT945+AV945+AX945+AZ945+BB945+BD945+BF945+BH945+BJ945+BL945</f>
        <v>15000</v>
      </c>
      <c r="BP945" s="28">
        <f>AJ945-BO945</f>
        <v>7858.3494999999</v>
      </c>
      <c r="BQ945" s="2">
        <v>45616</v>
      </c>
    </row>
    <row r="946" spans="1:73" hidden="true">
      <c r="D946" s="9" t="s">
        <v>16</v>
      </c>
      <c r="E946" s="2">
        <v>45617</v>
      </c>
      <c r="F946" s="38"/>
      <c r="G946" s="51"/>
      <c r="H946" s="4">
        <f>F269*50%</f>
        <v>2278</v>
      </c>
      <c r="I946" s="120"/>
      <c r="J946" s="4">
        <f>(G946+H946)-I946</f>
        <v>2278</v>
      </c>
      <c r="K946" s="4">
        <f>J946+O945</f>
        <v>27827.24</v>
      </c>
      <c r="L946" s="3"/>
      <c r="M946" s="3"/>
      <c r="N946" s="33">
        <f>I946+M946</f>
        <v>0</v>
      </c>
      <c r="O946" s="28">
        <f>K946-M946</f>
        <v>27827.24</v>
      </c>
      <c r="P946" s="9" t="s">
        <v>16</v>
      </c>
      <c r="Q946" s="2">
        <v>45617</v>
      </c>
      <c r="R946" s="38"/>
      <c r="S946" s="52"/>
      <c r="T946" s="4">
        <f>R269*45%</f>
        <v>1961.55</v>
      </c>
      <c r="U946" s="5"/>
      <c r="V946" s="4">
        <f>(S946+T946)-U946</f>
        <v>1961.55</v>
      </c>
      <c r="W946" s="4">
        <f>V946+AA945</f>
        <v>-7333.575</v>
      </c>
      <c r="X946" s="3"/>
      <c r="Y946" s="3"/>
      <c r="Z946" s="25">
        <f>U946+Y946</f>
        <v>0</v>
      </c>
      <c r="AA946" s="76">
        <f>W946-Y946</f>
        <v>-7333.575</v>
      </c>
      <c r="AB946" s="9" t="s">
        <v>16</v>
      </c>
      <c r="AC946" s="19">
        <v>45617</v>
      </c>
      <c r="AD946" s="66"/>
      <c r="AE946" s="67"/>
      <c r="AF946" s="4">
        <f>AD269-H946-T946</f>
        <v>4675.45</v>
      </c>
      <c r="AG946" s="3" t="s">
        <v>260</v>
      </c>
      <c r="AH946" s="8">
        <v>487</v>
      </c>
      <c r="AI946" s="4">
        <f>(AE946+AF946)-AH946</f>
        <v>4188.45</v>
      </c>
      <c r="AJ946" s="4">
        <f>AI946+BP945</f>
        <v>12046.7995</v>
      </c>
      <c r="AK946" s="8" t="s">
        <v>41</v>
      </c>
      <c r="AL946" s="8">
        <v>4784</v>
      </c>
      <c r="AM946" s="47" t="s">
        <v>326</v>
      </c>
      <c r="AN946" s="47">
        <v>6000</v>
      </c>
      <c r="AO946" s="8"/>
      <c r="AP946" s="8"/>
      <c r="AQ946" s="47"/>
      <c r="AR946" s="47"/>
      <c r="AS946" s="8"/>
      <c r="AT946" s="8"/>
      <c r="AU946" s="47"/>
      <c r="AV946" s="47"/>
      <c r="AW946" s="8"/>
      <c r="AX946" s="8"/>
      <c r="AY946" s="47"/>
      <c r="AZ946" s="47"/>
      <c r="BA946" s="8"/>
      <c r="BB946" s="8"/>
      <c r="BC946" s="47"/>
      <c r="BD946" s="47"/>
      <c r="BE946" s="8"/>
      <c r="BF946" s="8"/>
      <c r="BG946" s="47"/>
      <c r="BH946" s="47"/>
      <c r="BI946" s="8"/>
      <c r="BJ946" s="3"/>
      <c r="BK946" s="47"/>
      <c r="BL946" s="47"/>
      <c r="BM946" s="46"/>
      <c r="BN946" s="46"/>
      <c r="BO946" s="24">
        <f>AL946+AN946+AP946+AR946+AT946+AV946+AX946+AZ946+BB946+BD946+BF946+BH946+BJ946+BL946</f>
        <v>10784</v>
      </c>
      <c r="BP946" s="28">
        <f>AJ946-BO946</f>
        <v>1262.7994999999</v>
      </c>
      <c r="BQ946" s="2">
        <v>45617</v>
      </c>
    </row>
    <row r="947" spans="1:73" hidden="true">
      <c r="D947" s="9" t="s">
        <v>10</v>
      </c>
      <c r="E947" s="2">
        <v>45618</v>
      </c>
      <c r="F947" s="38"/>
      <c r="G947" s="51"/>
      <c r="H947" s="4">
        <f>F270*50%</f>
        <v>2010.2</v>
      </c>
      <c r="I947" s="120"/>
      <c r="J947" s="4">
        <f>(G947+H947)-I947</f>
        <v>2010.2</v>
      </c>
      <c r="K947" s="4">
        <f>J947+O946</f>
        <v>29837.44</v>
      </c>
      <c r="L947" s="3"/>
      <c r="M947" s="3"/>
      <c r="N947" s="33">
        <f>I947+M947</f>
        <v>0</v>
      </c>
      <c r="O947" s="28">
        <f>K947-M947</f>
        <v>29837.44</v>
      </c>
      <c r="P947" s="9" t="s">
        <v>10</v>
      </c>
      <c r="Q947" s="2">
        <v>45618</v>
      </c>
      <c r="R947" s="38"/>
      <c r="S947" s="52"/>
      <c r="T947" s="4">
        <f>R270*45%</f>
        <v>1857.555</v>
      </c>
      <c r="U947" s="5"/>
      <c r="V947" s="4">
        <f>(S947+T947)-U947</f>
        <v>1857.555</v>
      </c>
      <c r="W947" s="4">
        <f>V947+AA946</f>
        <v>-5476.02</v>
      </c>
      <c r="X947" s="3"/>
      <c r="Y947" s="3"/>
      <c r="Z947" s="25">
        <f>U947+Y947</f>
        <v>0</v>
      </c>
      <c r="AA947" s="76">
        <f>W947-Y947</f>
        <v>-5476.02</v>
      </c>
      <c r="AB947" s="9" t="s">
        <v>10</v>
      </c>
      <c r="AC947" s="19">
        <v>45618</v>
      </c>
      <c r="AD947" s="66" t="s">
        <v>317</v>
      </c>
      <c r="AE947" s="67">
        <v>15000</v>
      </c>
      <c r="AF947" s="4">
        <f>AD270-H947-T947</f>
        <v>4280.545</v>
      </c>
      <c r="AG947" s="3" t="s">
        <v>260</v>
      </c>
      <c r="AH947" s="8">
        <v>427</v>
      </c>
      <c r="AI947" s="4">
        <f>(AE947+AF947)-AH947</f>
        <v>18853.545</v>
      </c>
      <c r="AJ947" s="4">
        <f>AI947+BP946</f>
        <v>20116.3445</v>
      </c>
      <c r="AK947" s="8" t="s">
        <v>41</v>
      </c>
      <c r="AL947" s="8">
        <v>5000</v>
      </c>
      <c r="AM947" s="47"/>
      <c r="AN947" s="47"/>
      <c r="AO947" s="8"/>
      <c r="AP947" s="8"/>
      <c r="AQ947" s="47" t="s">
        <v>327</v>
      </c>
      <c r="AR947" s="47">
        <v>1000</v>
      </c>
      <c r="AS947" s="8"/>
      <c r="AT947" s="8"/>
      <c r="AU947" s="47"/>
      <c r="AV947" s="47"/>
      <c r="AW947" s="8"/>
      <c r="AX947" s="8"/>
      <c r="AY947" s="47"/>
      <c r="AZ947" s="47"/>
      <c r="BA947" s="8"/>
      <c r="BB947" s="8"/>
      <c r="BC947" s="47"/>
      <c r="BD947" s="47"/>
      <c r="BE947" s="8"/>
      <c r="BF947" s="8"/>
      <c r="BG947" s="47"/>
      <c r="BH947" s="47"/>
      <c r="BI947" s="8"/>
      <c r="BJ947" s="3"/>
      <c r="BK947" s="47"/>
      <c r="BL947" s="47"/>
      <c r="BM947" s="46"/>
      <c r="BN947" s="46"/>
      <c r="BO947" s="24">
        <f>AL947+AN947+AP947+AR947+AT947+AV947+AX947+AZ947+BB947+BD947+BF947+BH947+BJ947+BL947</f>
        <v>6000</v>
      </c>
      <c r="BP947" s="28">
        <f>AJ947-BO947</f>
        <v>14116.3445</v>
      </c>
      <c r="BQ947" s="2">
        <v>45618</v>
      </c>
    </row>
    <row r="948" spans="1:73" hidden="true">
      <c r="D948" s="9" t="s">
        <v>11</v>
      </c>
      <c r="E948" s="2">
        <v>45619</v>
      </c>
      <c r="F948" s="38"/>
      <c r="G948" s="51"/>
      <c r="H948" s="4">
        <f>F271*50%</f>
        <v>2765.375</v>
      </c>
      <c r="I948" s="120">
        <v>2289</v>
      </c>
      <c r="J948" s="4">
        <f>(G948+H948)-I948</f>
        <v>476.375</v>
      </c>
      <c r="K948" s="4">
        <f>J948+O947</f>
        <v>30313.815</v>
      </c>
      <c r="L948" s="3"/>
      <c r="M948" s="3"/>
      <c r="N948" s="33">
        <f>I948+M948</f>
        <v>2289</v>
      </c>
      <c r="O948" s="28">
        <f>K948-M948</f>
        <v>30313.815</v>
      </c>
      <c r="P948" s="9" t="s">
        <v>11</v>
      </c>
      <c r="Q948" s="2">
        <v>45619</v>
      </c>
      <c r="R948" s="38"/>
      <c r="S948" s="52"/>
      <c r="T948" s="4">
        <f>R271*45%</f>
        <v>3912.3</v>
      </c>
      <c r="U948" s="5"/>
      <c r="V948" s="4">
        <f>(S948+T948)-U948</f>
        <v>3912.3</v>
      </c>
      <c r="W948" s="4">
        <f>V948+AA947</f>
        <v>-1563.72</v>
      </c>
      <c r="X948" s="3"/>
      <c r="Y948" s="3"/>
      <c r="Z948" s="25">
        <f>U948+Y948</f>
        <v>0</v>
      </c>
      <c r="AA948" s="76">
        <f>W948-Y948</f>
        <v>-1563.72</v>
      </c>
      <c r="AB948" s="9" t="s">
        <v>11</v>
      </c>
      <c r="AC948" s="19">
        <v>45619</v>
      </c>
      <c r="AD948" s="66"/>
      <c r="AE948" s="67"/>
      <c r="AF948" s="4">
        <f>AD271-H948-T948</f>
        <v>7547.075</v>
      </c>
      <c r="AG948" s="3" t="s">
        <v>260</v>
      </c>
      <c r="AH948" s="8">
        <v>943</v>
      </c>
      <c r="AI948" s="4">
        <f>(AE948+AF948)-AH948</f>
        <v>6604.075</v>
      </c>
      <c r="AJ948" s="4">
        <f>AI948+BP947</f>
        <v>20720.4195</v>
      </c>
      <c r="AK948" s="8" t="s">
        <v>328</v>
      </c>
      <c r="AL948" s="8">
        <v>6200</v>
      </c>
      <c r="AM948" s="86" t="s">
        <v>329</v>
      </c>
      <c r="AN948" s="47">
        <v>8000</v>
      </c>
      <c r="AO948" s="8"/>
      <c r="AP948" s="8"/>
      <c r="AQ948" s="47"/>
      <c r="AR948" s="47"/>
      <c r="AS948" s="8" t="s">
        <v>330</v>
      </c>
      <c r="AT948" s="8">
        <v>1772</v>
      </c>
      <c r="AU948" s="47"/>
      <c r="AV948" s="47"/>
      <c r="AW948" s="8"/>
      <c r="AX948" s="8"/>
      <c r="AY948" s="47"/>
      <c r="AZ948" s="47"/>
      <c r="BA948" s="8"/>
      <c r="BB948" s="8"/>
      <c r="BC948" s="47"/>
      <c r="BD948" s="47"/>
      <c r="BE948" s="8"/>
      <c r="BF948" s="8"/>
      <c r="BG948" s="47"/>
      <c r="BH948" s="47"/>
      <c r="BI948" s="8"/>
      <c r="BJ948" s="3"/>
      <c r="BK948" s="47" t="s">
        <v>331</v>
      </c>
      <c r="BL948" s="47">
        <v>2000</v>
      </c>
      <c r="BM948" s="46"/>
      <c r="BN948" s="46"/>
      <c r="BO948" s="24">
        <f>AL948+AN948+AP948+AR948+AT948+AV948+AX948+AZ948+BB948+BD948+BF948+BH948+BJ948+BL948</f>
        <v>17972</v>
      </c>
      <c r="BP948" s="28">
        <f>AJ948-BO948</f>
        <v>2748.4194999999</v>
      </c>
      <c r="BQ948" s="2">
        <v>45619</v>
      </c>
    </row>
    <row r="949" spans="1:73" hidden="true">
      <c r="D949" s="9" t="s">
        <v>12</v>
      </c>
      <c r="E949" s="2">
        <v>45620</v>
      </c>
      <c r="F949" s="38"/>
      <c r="G949" s="51"/>
      <c r="H949" s="4">
        <f>F272*50%</f>
        <v>2450.475</v>
      </c>
      <c r="I949" s="120"/>
      <c r="J949" s="4">
        <f>(G949+H949)-I949</f>
        <v>2450.475</v>
      </c>
      <c r="K949" s="4">
        <f>J949+O948</f>
        <v>32764.29</v>
      </c>
      <c r="L949" s="3"/>
      <c r="M949" s="3"/>
      <c r="N949" s="33">
        <f>I949+M949</f>
        <v>0</v>
      </c>
      <c r="O949" s="28">
        <f>K949-M949</f>
        <v>32764.29</v>
      </c>
      <c r="P949" s="9" t="s">
        <v>12</v>
      </c>
      <c r="Q949" s="2">
        <v>45620</v>
      </c>
      <c r="R949" s="38"/>
      <c r="S949" s="52"/>
      <c r="T949" s="4">
        <f>R272*45%</f>
        <v>3851.505</v>
      </c>
      <c r="U949" s="5"/>
      <c r="V949" s="4">
        <f>(S949+T949)-U949</f>
        <v>3851.505</v>
      </c>
      <c r="W949" s="4">
        <f>V949+AA948</f>
        <v>2287.785</v>
      </c>
      <c r="X949" s="3"/>
      <c r="Y949" s="3"/>
      <c r="Z949" s="25">
        <f>U949+Y949</f>
        <v>0</v>
      </c>
      <c r="AA949" s="76">
        <f>W949-Y949</f>
        <v>2287.785</v>
      </c>
      <c r="AB949" s="9" t="s">
        <v>12</v>
      </c>
      <c r="AC949" s="19">
        <v>45620</v>
      </c>
      <c r="AD949" s="66"/>
      <c r="AE949" s="67"/>
      <c r="AF949" s="4">
        <f>AD272-H949-T949</f>
        <v>7157.87</v>
      </c>
      <c r="AG949" s="3" t="s">
        <v>260</v>
      </c>
      <c r="AH949" s="8">
        <v>539</v>
      </c>
      <c r="AI949" s="4">
        <f>(AE949+AF949)-AH949</f>
        <v>6618.87</v>
      </c>
      <c r="AJ949" s="4">
        <f>AI949+BP948</f>
        <v>9367.2894999999</v>
      </c>
      <c r="AK949" s="8" t="s">
        <v>41</v>
      </c>
      <c r="AL949" s="8">
        <v>5000</v>
      </c>
      <c r="AM949" s="47" t="s">
        <v>332</v>
      </c>
      <c r="AN949" s="47">
        <v>1800</v>
      </c>
      <c r="AO949" s="8"/>
      <c r="AP949" s="8"/>
      <c r="AQ949" s="47"/>
      <c r="AR949" s="47"/>
      <c r="AS949" s="8"/>
      <c r="AT949" s="8"/>
      <c r="AU949" s="47"/>
      <c r="AV949" s="47"/>
      <c r="AW949" s="8"/>
      <c r="AX949" s="8"/>
      <c r="AY949" s="47"/>
      <c r="AZ949" s="47"/>
      <c r="BA949" s="8"/>
      <c r="BB949" s="8"/>
      <c r="BC949" s="47"/>
      <c r="BD949" s="47"/>
      <c r="BE949" s="8"/>
      <c r="BF949" s="8"/>
      <c r="BG949" s="47"/>
      <c r="BH949" s="47"/>
      <c r="BI949" s="8"/>
      <c r="BJ949" s="3"/>
      <c r="BK949" s="47"/>
      <c r="BL949" s="47"/>
      <c r="BM949" s="46"/>
      <c r="BN949" s="46"/>
      <c r="BO949" s="24">
        <f>AL949+AN949+AP949+AR949+AT949+AV949+AX949+AZ949+BB949+BD949+BF949+BH949+BJ949+BL949</f>
        <v>6800</v>
      </c>
      <c r="BP949" s="28">
        <f>AJ949-BO949</f>
        <v>2567.2894999999</v>
      </c>
      <c r="BQ949" s="2">
        <v>45620</v>
      </c>
    </row>
    <row r="950" spans="1:73" hidden="true">
      <c r="D950" s="9" t="s">
        <v>13</v>
      </c>
      <c r="E950" s="2">
        <v>45621</v>
      </c>
      <c r="F950" s="38"/>
      <c r="G950" s="51"/>
      <c r="H950" s="4">
        <f>F273*50%</f>
        <v>3038.35</v>
      </c>
      <c r="I950" s="120"/>
      <c r="J950" s="4">
        <f>(G950+H950)-I950</f>
        <v>3038.35</v>
      </c>
      <c r="K950" s="4">
        <f>J950+O949</f>
        <v>35802.64</v>
      </c>
      <c r="L950" s="3"/>
      <c r="M950" s="3"/>
      <c r="N950" s="33">
        <f>I950+M950</f>
        <v>0</v>
      </c>
      <c r="O950" s="28">
        <f>K950-M950</f>
        <v>35802.64</v>
      </c>
      <c r="P950" s="9" t="s">
        <v>13</v>
      </c>
      <c r="Q950" s="2">
        <v>45621</v>
      </c>
      <c r="R950" s="38"/>
      <c r="S950" s="52"/>
      <c r="T950" s="4">
        <f>R273*45%</f>
        <v>3162.15</v>
      </c>
      <c r="U950" s="5"/>
      <c r="V950" s="4">
        <f>(S950+T950)-U950</f>
        <v>3162.15</v>
      </c>
      <c r="W950" s="4">
        <f>V950+AA949</f>
        <v>5449.935</v>
      </c>
      <c r="X950" s="3"/>
      <c r="Y950" s="3"/>
      <c r="Z950" s="25">
        <f>U950+Y950</f>
        <v>0</v>
      </c>
      <c r="AA950" s="76">
        <f>W950-Y950</f>
        <v>5449.935</v>
      </c>
      <c r="AB950" s="9" t="s">
        <v>13</v>
      </c>
      <c r="AC950" s="19">
        <v>45621</v>
      </c>
      <c r="AD950" s="66" t="s">
        <v>317</v>
      </c>
      <c r="AE950" s="67">
        <v>1989.12</v>
      </c>
      <c r="AF950" s="4">
        <f>AD273-H950-T950</f>
        <v>6903.2</v>
      </c>
      <c r="AG950" s="3" t="s">
        <v>260</v>
      </c>
      <c r="AH950" s="8">
        <v>641</v>
      </c>
      <c r="AI950" s="4">
        <f>(AE950+AF950)-AH950</f>
        <v>8251.32</v>
      </c>
      <c r="AJ950" s="4">
        <f>AI950+BP949</f>
        <v>10818.6095</v>
      </c>
      <c r="AK950" s="8" t="s">
        <v>328</v>
      </c>
      <c r="AL950" s="8">
        <v>5420</v>
      </c>
      <c r="AM950" s="47"/>
      <c r="AN950" s="47"/>
      <c r="AO950" s="8"/>
      <c r="AP950" s="8"/>
      <c r="AQ950" s="47"/>
      <c r="AR950" s="47"/>
      <c r="AS950" s="8" t="s">
        <v>333</v>
      </c>
      <c r="AT950" s="8">
        <v>104</v>
      </c>
      <c r="AU950" s="47"/>
      <c r="AV950" s="47"/>
      <c r="AW950" s="8"/>
      <c r="AX950" s="8"/>
      <c r="AY950" s="47"/>
      <c r="AZ950" s="47"/>
      <c r="BA950" s="8"/>
      <c r="BB950" s="8"/>
      <c r="BC950" s="47" t="s">
        <v>334</v>
      </c>
      <c r="BD950" s="47">
        <v>250</v>
      </c>
      <c r="BE950" s="8"/>
      <c r="BF950" s="8"/>
      <c r="BG950" s="47"/>
      <c r="BH950" s="47">
        <v>7000</v>
      </c>
      <c r="BI950" s="8"/>
      <c r="BJ950" s="3"/>
      <c r="BK950" s="47"/>
      <c r="BL950" s="47"/>
      <c r="BM950" s="46"/>
      <c r="BN950" s="46"/>
      <c r="BO950" s="24">
        <f>AL950+AN950+AP950+AR950+AT950+AV950+AX950+AZ950+BB950+BD950+BF950+BH950+BJ950+BL950</f>
        <v>12774</v>
      </c>
      <c r="BP950" s="28">
        <f>AJ950-BO950</f>
        <v>-1955.3905000001</v>
      </c>
      <c r="BQ950" s="2">
        <v>45621</v>
      </c>
    </row>
    <row r="951" spans="1:73" hidden="true">
      <c r="D951" s="9" t="s">
        <v>14</v>
      </c>
      <c r="E951" s="2">
        <v>45622</v>
      </c>
      <c r="F951" s="38"/>
      <c r="G951" s="51"/>
      <c r="H951" s="4">
        <f>F274*50%</f>
        <v>2301.3</v>
      </c>
      <c r="I951" s="120"/>
      <c r="J951" s="4">
        <f>(G951+H951)-I951</f>
        <v>2301.3</v>
      </c>
      <c r="K951" s="4">
        <f>J951+O950</f>
        <v>38103.94</v>
      </c>
      <c r="L951" s="3"/>
      <c r="M951" s="3"/>
      <c r="N951" s="33">
        <f>I951+M951</f>
        <v>0</v>
      </c>
      <c r="O951" s="28">
        <f>K951-M951</f>
        <v>38103.94</v>
      </c>
      <c r="P951" s="9" t="s">
        <v>14</v>
      </c>
      <c r="Q951" s="2">
        <v>45622</v>
      </c>
      <c r="R951" s="38"/>
      <c r="S951" s="52"/>
      <c r="T951" s="4">
        <f>R274*45%</f>
        <v>7193.7</v>
      </c>
      <c r="U951" s="5"/>
      <c r="V951" s="4">
        <f>(S951+T951)-U951</f>
        <v>7193.7</v>
      </c>
      <c r="W951" s="4">
        <f>V951+AA950</f>
        <v>12643.635</v>
      </c>
      <c r="X951" s="3" t="s">
        <v>269</v>
      </c>
      <c r="Y951" s="3">
        <v>15115</v>
      </c>
      <c r="Z951" s="25">
        <f>U951+Y951</f>
        <v>15115</v>
      </c>
      <c r="AA951" s="76">
        <f>W951-Y951</f>
        <v>-2471.365</v>
      </c>
      <c r="AB951" s="9" t="s">
        <v>14</v>
      </c>
      <c r="AC951" s="19">
        <v>45622</v>
      </c>
      <c r="AD951" s="66"/>
      <c r="AE951" s="67"/>
      <c r="AF951" s="4">
        <f>AD274-H951-T951</f>
        <v>11093.6</v>
      </c>
      <c r="AG951" s="3" t="s">
        <v>260</v>
      </c>
      <c r="AH951" s="8">
        <v>1448</v>
      </c>
      <c r="AI951" s="4">
        <f>(AE951+AF951)-AH951</f>
        <v>9645.6</v>
      </c>
      <c r="AJ951" s="4">
        <f>AI951+BP950</f>
        <v>7690.2094999999</v>
      </c>
      <c r="AK951" s="8" t="s">
        <v>41</v>
      </c>
      <c r="AL951" s="8">
        <v>4000</v>
      </c>
      <c r="AM951" s="47"/>
      <c r="AN951" s="47"/>
      <c r="AO951" s="8" t="s">
        <v>311</v>
      </c>
      <c r="AP951" s="8">
        <v>1</v>
      </c>
      <c r="AQ951" s="47" t="s">
        <v>335</v>
      </c>
      <c r="AR951" s="47">
        <v>720</v>
      </c>
      <c r="AS951" s="8"/>
      <c r="AT951" s="8"/>
      <c r="AU951" s="47"/>
      <c r="AV951" s="47"/>
      <c r="AW951" s="8"/>
      <c r="AX951" s="8"/>
      <c r="AY951" s="47"/>
      <c r="AZ951" s="47"/>
      <c r="BA951" s="8"/>
      <c r="BB951" s="8"/>
      <c r="BC951" s="47" t="s">
        <v>336</v>
      </c>
      <c r="BD951" s="47">
        <v>400</v>
      </c>
      <c r="BE951" s="8"/>
      <c r="BF951" s="8"/>
      <c r="BG951" s="47"/>
      <c r="BH951" s="47"/>
      <c r="BI951" s="8"/>
      <c r="BJ951" s="3"/>
      <c r="BK951" s="47"/>
      <c r="BL951" s="47"/>
      <c r="BM951" s="46"/>
      <c r="BN951" s="46"/>
      <c r="BO951" s="24">
        <f>AL951+AN951+AP951+AR951+AT951+AV951+AX951+AZ951+BB951+BD951+BF951+BH951+BJ951+BL951</f>
        <v>5121</v>
      </c>
      <c r="BP951" s="28">
        <f>AJ951-BO951</f>
        <v>2569.2094999999</v>
      </c>
      <c r="BQ951" s="2">
        <v>45622</v>
      </c>
    </row>
    <row r="952" spans="1:73" hidden="true">
      <c r="D952" s="9" t="s">
        <v>15</v>
      </c>
      <c r="E952" s="2">
        <v>45623</v>
      </c>
      <c r="F952" s="38"/>
      <c r="G952" s="51"/>
      <c r="H952" s="4">
        <f>F275*50%</f>
        <v>1926.6</v>
      </c>
      <c r="I952" s="120"/>
      <c r="J952" s="4">
        <f>(G952+H952)-I952</f>
        <v>1926.6</v>
      </c>
      <c r="K952" s="4">
        <f>J952+O951</f>
        <v>40030.54</v>
      </c>
      <c r="L952" s="3" t="s">
        <v>337</v>
      </c>
      <c r="M952" s="3">
        <v>2451</v>
      </c>
      <c r="N952" s="33">
        <f>I952+M952</f>
        <v>2451</v>
      </c>
      <c r="O952" s="28">
        <f>K952-M952</f>
        <v>37579.54</v>
      </c>
      <c r="P952" s="9" t="s">
        <v>15</v>
      </c>
      <c r="Q952" s="2">
        <v>45623</v>
      </c>
      <c r="R952" s="38"/>
      <c r="S952" s="52"/>
      <c r="T952" s="4">
        <f>R275*45%</f>
        <v>2522.16</v>
      </c>
      <c r="U952" s="5"/>
      <c r="V952" s="4">
        <f>(S952+T952)-U952</f>
        <v>2522.16</v>
      </c>
      <c r="W952" s="4">
        <f>V952+AA951</f>
        <v>50.795000000021</v>
      </c>
      <c r="X952" s="3" t="s">
        <v>269</v>
      </c>
      <c r="Y952" s="3">
        <v>3000</v>
      </c>
      <c r="Z952" s="25">
        <f>U952+Y952</f>
        <v>3000</v>
      </c>
      <c r="AA952" s="76">
        <f>W952-Y952</f>
        <v>-2949.205</v>
      </c>
      <c r="AB952" s="9" t="s">
        <v>15</v>
      </c>
      <c r="AC952" s="19">
        <v>45623</v>
      </c>
      <c r="AD952" s="66"/>
      <c r="AE952" s="67"/>
      <c r="AF952" s="4">
        <f>AD275-H952-T952</f>
        <v>5009.24</v>
      </c>
      <c r="AG952" s="3" t="s">
        <v>260</v>
      </c>
      <c r="AH952" s="8">
        <v>516.5</v>
      </c>
      <c r="AI952" s="4">
        <f>(AE952+AF952)-AH952</f>
        <v>4492.74</v>
      </c>
      <c r="AJ952" s="4">
        <f>AI952+BP951</f>
        <v>7061.9494999999</v>
      </c>
      <c r="AK952" s="8"/>
      <c r="AL952" s="8"/>
      <c r="AM952" s="47"/>
      <c r="AN952" s="47"/>
      <c r="AO952" s="8"/>
      <c r="AP952" s="8"/>
      <c r="AQ952" s="47"/>
      <c r="AR952" s="47"/>
      <c r="AS952" s="8"/>
      <c r="AT952" s="8"/>
      <c r="AU952" s="47"/>
      <c r="AV952" s="47"/>
      <c r="AW952" s="8"/>
      <c r="AX952" s="8"/>
      <c r="AY952" s="47"/>
      <c r="AZ952" s="47"/>
      <c r="BA952" s="8"/>
      <c r="BB952" s="8"/>
      <c r="BC952" s="47"/>
      <c r="BD952" s="47"/>
      <c r="BE952" s="8"/>
      <c r="BF952" s="8"/>
      <c r="BG952" s="47"/>
      <c r="BH952" s="47"/>
      <c r="BI952" s="8"/>
      <c r="BJ952" s="3"/>
      <c r="BK952" s="47" t="s">
        <v>338</v>
      </c>
      <c r="BL952" s="47">
        <v>5000</v>
      </c>
      <c r="BM952" s="46"/>
      <c r="BN952" s="46"/>
      <c r="BO952" s="24">
        <f>AL952+AN952+AP952+AR952+AT952+AV952+AX952+AZ952+BB952+BD952+BF952+BH952+BJ952+BL952</f>
        <v>5000</v>
      </c>
      <c r="BP952" s="28">
        <f>AJ952-BO952</f>
        <v>2061.9494999999</v>
      </c>
      <c r="BQ952" s="2">
        <v>45623</v>
      </c>
    </row>
    <row r="953" spans="1:73" hidden="true">
      <c r="D953" s="9" t="s">
        <v>16</v>
      </c>
      <c r="E953" s="2">
        <v>45624</v>
      </c>
      <c r="F953" s="38"/>
      <c r="G953" s="51"/>
      <c r="H953" s="4">
        <f>F276*50%</f>
        <v>1920.825</v>
      </c>
      <c r="I953" s="120">
        <v>1496</v>
      </c>
      <c r="J953" s="4">
        <f>(G953+H953)-I953</f>
        <v>424.825</v>
      </c>
      <c r="K953" s="4">
        <f>J953+O952</f>
        <v>38004.365</v>
      </c>
      <c r="L953" s="3"/>
      <c r="M953" s="3"/>
      <c r="N953" s="33">
        <f>I953+M953</f>
        <v>1496</v>
      </c>
      <c r="O953" s="28">
        <f>K953-M953</f>
        <v>38004.365</v>
      </c>
      <c r="P953" s="9" t="s">
        <v>16</v>
      </c>
      <c r="Q953" s="2">
        <v>45624</v>
      </c>
      <c r="R953" s="38"/>
      <c r="S953" s="52"/>
      <c r="T953" s="4">
        <f>R276*45%</f>
        <v>1934.055</v>
      </c>
      <c r="U953" s="5"/>
      <c r="V953" s="4">
        <f>(S953+T953)-U953</f>
        <v>1934.055</v>
      </c>
      <c r="W953" s="4">
        <f>V953+AA952</f>
        <v>-1015.15</v>
      </c>
      <c r="X953" s="3"/>
      <c r="Y953" s="3"/>
      <c r="Z953" s="25">
        <f>U953+Y953</f>
        <v>0</v>
      </c>
      <c r="AA953" s="76">
        <f>W953-Y953</f>
        <v>-1015.15</v>
      </c>
      <c r="AB953" s="9" t="s">
        <v>16</v>
      </c>
      <c r="AC953" s="19">
        <v>45624</v>
      </c>
      <c r="AD953" s="66"/>
      <c r="AE953" s="67"/>
      <c r="AF953" s="4">
        <f>AD276-H953-T953</f>
        <v>4284.67</v>
      </c>
      <c r="AG953" s="3" t="s">
        <v>260</v>
      </c>
      <c r="AH953" s="8">
        <v>553.45</v>
      </c>
      <c r="AI953" s="4">
        <f>(AE953+AF953)-AH953</f>
        <v>3731.22</v>
      </c>
      <c r="AJ953" s="4">
        <f>AI953+BP952</f>
        <v>5793.1694999999</v>
      </c>
      <c r="AK953" s="8"/>
      <c r="AL953" s="8"/>
      <c r="AM953" s="47"/>
      <c r="AN953" s="47"/>
      <c r="AO953" s="8"/>
      <c r="AP953" s="8"/>
      <c r="AQ953" s="47"/>
      <c r="AR953" s="47"/>
      <c r="AS953" s="8"/>
      <c r="AT953" s="8"/>
      <c r="AU953" s="47"/>
      <c r="AV953" s="47"/>
      <c r="AW953" s="8"/>
      <c r="AX953" s="8"/>
      <c r="AY953" s="47"/>
      <c r="AZ953" s="47"/>
      <c r="BA953" s="8"/>
      <c r="BB953" s="8"/>
      <c r="BC953" s="47"/>
      <c r="BD953" s="47"/>
      <c r="BE953" s="8"/>
      <c r="BF953" s="8"/>
      <c r="BG953" s="47"/>
      <c r="BH953" s="47"/>
      <c r="BI953" s="8"/>
      <c r="BJ953" s="3"/>
      <c r="BK953" s="47"/>
      <c r="BL953" s="47"/>
      <c r="BM953" s="46"/>
      <c r="BN953" s="46"/>
      <c r="BO953" s="24">
        <f>AL953+AN953+AP953+AR953+AT953+AV953+AX953+AZ953+BB953+BD953+BF953+BH953+BJ953+BL953</f>
        <v>0</v>
      </c>
      <c r="BP953" s="28">
        <f>AJ953-BO953</f>
        <v>5793.1694999999</v>
      </c>
      <c r="BQ953" s="2">
        <v>45624</v>
      </c>
    </row>
    <row r="954" spans="1:73" hidden="true">
      <c r="D954" s="9" t="s">
        <v>10</v>
      </c>
      <c r="E954" s="2">
        <v>45625</v>
      </c>
      <c r="F954" s="38"/>
      <c r="G954" s="51"/>
      <c r="H954" s="4">
        <f>F277*50%</f>
        <v>2276.325</v>
      </c>
      <c r="I954" s="120">
        <v>1471</v>
      </c>
      <c r="J954" s="4">
        <f>(G954+H954)-I954</f>
        <v>805.325</v>
      </c>
      <c r="K954" s="4">
        <f>J954+O953</f>
        <v>38809.69</v>
      </c>
      <c r="L954" s="3"/>
      <c r="M954" s="3"/>
      <c r="N954" s="33">
        <f>I954+M954</f>
        <v>1471</v>
      </c>
      <c r="O954" s="28">
        <f>K954-M954</f>
        <v>38809.69</v>
      </c>
      <c r="P954" s="9" t="s">
        <v>10</v>
      </c>
      <c r="Q954" s="2">
        <v>45625</v>
      </c>
      <c r="R954" s="38"/>
      <c r="S954" s="52"/>
      <c r="T954" s="4">
        <f>R277*45%</f>
        <v>2586.555</v>
      </c>
      <c r="U954" s="5"/>
      <c r="V954" s="4">
        <f>(S954+T954)-U954</f>
        <v>2586.555</v>
      </c>
      <c r="W954" s="4">
        <f>V954+AA953</f>
        <v>1571.405</v>
      </c>
      <c r="X954" s="3"/>
      <c r="Y954" s="3"/>
      <c r="Z954" s="25">
        <f>U954+Y954</f>
        <v>0</v>
      </c>
      <c r="AA954" s="76">
        <f>W954-Y954</f>
        <v>1571.405</v>
      </c>
      <c r="AB954" s="9" t="s">
        <v>10</v>
      </c>
      <c r="AC954" s="19">
        <v>45625</v>
      </c>
      <c r="AD954" s="66"/>
      <c r="AE954" s="67"/>
      <c r="AF954" s="4">
        <f>AD277-H954-T954</f>
        <v>5437.67</v>
      </c>
      <c r="AG954" s="3" t="s">
        <v>260</v>
      </c>
      <c r="AH954" s="8">
        <v>679</v>
      </c>
      <c r="AI954" s="4">
        <f>(AE954+AF954)-AH954</f>
        <v>4758.67</v>
      </c>
      <c r="AJ954" s="4">
        <f>AI954+BP953</f>
        <v>10551.8395</v>
      </c>
      <c r="AK954" s="8"/>
      <c r="AL954" s="8"/>
      <c r="AM954" s="47"/>
      <c r="AN954" s="47"/>
      <c r="AO954" s="8"/>
      <c r="AP954" s="8"/>
      <c r="AQ954" s="47"/>
      <c r="AR954" s="47"/>
      <c r="AS954" s="8"/>
      <c r="AT954" s="8"/>
      <c r="AU954" s="47"/>
      <c r="AV954" s="47"/>
      <c r="AW954" s="8"/>
      <c r="AX954" s="8"/>
      <c r="AY954" s="47"/>
      <c r="AZ954" s="47"/>
      <c r="BA954" s="8"/>
      <c r="BB954" s="8"/>
      <c r="BC954" s="47"/>
      <c r="BD954" s="47"/>
      <c r="BE954" s="8"/>
      <c r="BF954" s="8"/>
      <c r="BG954" s="47"/>
      <c r="BH954" s="47"/>
      <c r="BI954" s="8"/>
      <c r="BJ954" s="3"/>
      <c r="BK954" s="47"/>
      <c r="BL954" s="47"/>
      <c r="BM954" s="46"/>
      <c r="BN954" s="46"/>
      <c r="BO954" s="24">
        <f>AL954+AN954+AP954+AR954+AT954+AV954+AX954+AZ954+BB954+BD954+BF954+BH954+BJ954+BL954</f>
        <v>0</v>
      </c>
      <c r="BP954" s="28">
        <f>AJ954-BO954</f>
        <v>10551.8395</v>
      </c>
      <c r="BQ954" s="2">
        <v>45625</v>
      </c>
    </row>
    <row r="955" spans="1:73" hidden="true" s="13" customFormat="1">
      <c r="D955" s="13" t="s">
        <v>11</v>
      </c>
      <c r="E955" s="10">
        <v>45626</v>
      </c>
      <c r="F955" s="10"/>
      <c r="G955" s="54"/>
      <c r="H955" s="11">
        <f>F278*50%</f>
        <v>2763.525</v>
      </c>
      <c r="I955" s="121"/>
      <c r="J955" s="11">
        <f>(G955+H955)-I955</f>
        <v>2763.525</v>
      </c>
      <c r="K955" s="11">
        <f>J955+O954</f>
        <v>41573.215</v>
      </c>
      <c r="L955" s="11"/>
      <c r="M955" s="11"/>
      <c r="N955" s="26">
        <f>I955+M955</f>
        <v>0</v>
      </c>
      <c r="O955" s="11">
        <f>K955-M955</f>
        <v>41573.215</v>
      </c>
      <c r="P955" s="13" t="s">
        <v>11</v>
      </c>
      <c r="Q955" s="10">
        <v>45626</v>
      </c>
      <c r="R955" s="10"/>
      <c r="S955" s="53"/>
      <c r="T955" s="11">
        <f>R278*45%</f>
        <v>4899.15</v>
      </c>
      <c r="U955" s="12"/>
      <c r="V955" s="11">
        <f>(S955+T955)-U955</f>
        <v>4899.15</v>
      </c>
      <c r="W955" s="11">
        <f>V955+AA954</f>
        <v>6470.555</v>
      </c>
      <c r="X955" s="11"/>
      <c r="Y955" s="11"/>
      <c r="Z955" s="26">
        <f>U955+Y955</f>
        <v>0</v>
      </c>
      <c r="AA955" s="53">
        <f>W955-Y955</f>
        <v>6470.555</v>
      </c>
      <c r="AB955" s="13" t="s">
        <v>11</v>
      </c>
      <c r="AC955" s="20">
        <v>45626</v>
      </c>
      <c r="AD955" s="14"/>
      <c r="AE955" s="27"/>
      <c r="AF955" s="11">
        <f>AD278-H955-T955</f>
        <v>8751.375</v>
      </c>
      <c r="AG955" s="3" t="s">
        <v>260</v>
      </c>
      <c r="AH955" s="15">
        <v>890</v>
      </c>
      <c r="AI955" s="11">
        <f>(AE955+AF955)-AH955</f>
        <v>7861.375</v>
      </c>
      <c r="AJ955" s="11">
        <f>AI955+BP954</f>
        <v>18413.2145</v>
      </c>
      <c r="AK955" s="15"/>
      <c r="AL955" s="15"/>
      <c r="AM955" s="86" t="s">
        <v>339</v>
      </c>
      <c r="AN955" s="47">
        <v>8363.4</v>
      </c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1"/>
      <c r="BK955" s="15"/>
      <c r="BL955" s="15"/>
      <c r="BM955" s="23"/>
      <c r="BN955" s="23"/>
      <c r="BO955" s="23">
        <f>AL955+AN955+AP955+AR955+AT955+AV955+AX955+AZ955+BB955+BD955+BF955+BH955+BJ955+BL955</f>
        <v>8363.4</v>
      </c>
      <c r="BP955" s="11">
        <f>AJ955-BO955</f>
        <v>10049.8145</v>
      </c>
      <c r="BQ955" s="10">
        <v>45626</v>
      </c>
    </row>
    <row r="956" spans="1:73" hidden="true">
      <c r="D956" s="9" t="s">
        <v>12</v>
      </c>
      <c r="E956" s="2">
        <v>45627</v>
      </c>
      <c r="F956" s="38"/>
      <c r="G956" s="51"/>
      <c r="H956" s="4">
        <f>F279*50%</f>
        <v>2999.675</v>
      </c>
      <c r="I956" s="120"/>
      <c r="J956" s="4">
        <f>(G956+H956)-I956</f>
        <v>2999.675</v>
      </c>
      <c r="K956" s="4">
        <f>J956+O955</f>
        <v>44572.89</v>
      </c>
      <c r="L956" s="3"/>
      <c r="M956" s="3"/>
      <c r="N956" s="33">
        <f>I956+M956</f>
        <v>0</v>
      </c>
      <c r="O956" s="28">
        <f>K956-M956</f>
        <v>44572.89</v>
      </c>
      <c r="P956" s="9" t="s">
        <v>12</v>
      </c>
      <c r="Q956" s="2">
        <v>45627</v>
      </c>
      <c r="R956" s="38"/>
      <c r="S956" s="52"/>
      <c r="T956" s="4">
        <f>R279*45%</f>
        <v>4342.5</v>
      </c>
      <c r="U956" s="5"/>
      <c r="V956" s="4">
        <f>(S956+T956)-U956</f>
        <v>4342.5</v>
      </c>
      <c r="W956" s="4">
        <f>V956+AA955</f>
        <v>10813.055</v>
      </c>
      <c r="X956" s="3"/>
      <c r="Y956" s="3"/>
      <c r="Z956" s="25">
        <f>U956+Y956</f>
        <v>0</v>
      </c>
      <c r="AA956" s="76">
        <f>W956-Y956</f>
        <v>10813.055</v>
      </c>
      <c r="AB956" s="9" t="s">
        <v>12</v>
      </c>
      <c r="AC956" s="19">
        <v>45627</v>
      </c>
      <c r="AD956" s="41"/>
      <c r="AE956" s="42"/>
      <c r="AF956" s="4">
        <f>AD279-H956-T956</f>
        <v>8307.175</v>
      </c>
      <c r="AG956" s="3"/>
      <c r="AH956" s="8"/>
      <c r="AI956" s="4">
        <f>(AE956+AF956)-AH956</f>
        <v>8307.175</v>
      </c>
      <c r="AJ956" s="4">
        <f>AI956+BP955</f>
        <v>18356.9895</v>
      </c>
      <c r="AK956" s="8"/>
      <c r="AL956" s="8"/>
      <c r="AM956" s="47" t="s">
        <v>340</v>
      </c>
      <c r="AN956" s="47">
        <f>(15000+5861.25)</f>
        <v>20861.25</v>
      </c>
      <c r="AO956" s="8"/>
      <c r="AP956" s="8"/>
      <c r="AQ956" s="47"/>
      <c r="AR956" s="47"/>
      <c r="AS956" s="8"/>
      <c r="AT956" s="8"/>
      <c r="AU956" s="47"/>
      <c r="AV956" s="47"/>
      <c r="AW956" s="8"/>
      <c r="AX956" s="8"/>
      <c r="AY956" s="47"/>
      <c r="AZ956" s="47"/>
      <c r="BA956" s="8" t="s">
        <v>341</v>
      </c>
      <c r="BB956" s="8">
        <v>890</v>
      </c>
      <c r="BC956" s="47"/>
      <c r="BD956" s="47"/>
      <c r="BE956" s="8"/>
      <c r="BF956" s="8"/>
      <c r="BG956" s="47" t="s">
        <v>98</v>
      </c>
      <c r="BH956" s="47">
        <v>7000</v>
      </c>
      <c r="BI956" s="8"/>
      <c r="BJ956" s="3"/>
      <c r="BK956" s="47"/>
      <c r="BL956" s="47"/>
      <c r="BM956" s="46"/>
      <c r="BN956" s="46"/>
      <c r="BO956" s="24">
        <f>AL956+AN956+AP956+AR956+AT956+AV956+AX956+AZ956+BB956+BD956+BF956+BH956+BJ956+BL956</f>
        <v>28751.25</v>
      </c>
      <c r="BP956" s="28">
        <f>AJ956-BO956</f>
        <v>-10394.2605</v>
      </c>
      <c r="BQ956" s="2">
        <v>45627</v>
      </c>
    </row>
    <row r="957" spans="1:73" hidden="true">
      <c r="D957" s="9" t="s">
        <v>13</v>
      </c>
      <c r="E957" s="2">
        <v>45628</v>
      </c>
      <c r="F957" s="38"/>
      <c r="G957" s="51"/>
      <c r="H957" s="4">
        <f>F280*50%</f>
        <v>2575.225</v>
      </c>
      <c r="I957" s="120"/>
      <c r="J957" s="4">
        <f>(G957+H957)-I957</f>
        <v>2575.225</v>
      </c>
      <c r="K957" s="4">
        <f>J957+O956</f>
        <v>47148.115</v>
      </c>
      <c r="L957" s="3"/>
      <c r="M957" s="3"/>
      <c r="N957" s="33">
        <f>I957+M957</f>
        <v>0</v>
      </c>
      <c r="O957" s="28">
        <f>K957-M957</f>
        <v>47148.115</v>
      </c>
      <c r="P957" s="9" t="s">
        <v>13</v>
      </c>
      <c r="Q957" s="2">
        <v>45628</v>
      </c>
      <c r="R957" s="38"/>
      <c r="S957" s="52"/>
      <c r="T957" s="4">
        <f>R280*45%</f>
        <v>4735.8</v>
      </c>
      <c r="U957" s="5">
        <v>287.75</v>
      </c>
      <c r="V957" s="4">
        <f>(S957+T957)-U957</f>
        <v>4448.05</v>
      </c>
      <c r="W957" s="4">
        <f>V957+AA956</f>
        <v>15261.105</v>
      </c>
      <c r="X957" s="3"/>
      <c r="Y957" s="3"/>
      <c r="Z957" s="25">
        <f>U957+Y957</f>
        <v>287.75</v>
      </c>
      <c r="AA957" s="76">
        <f>W957-Y957</f>
        <v>15261.105</v>
      </c>
      <c r="AB957" s="9" t="s">
        <v>13</v>
      </c>
      <c r="AC957" s="19">
        <v>45628</v>
      </c>
      <c r="AD957" s="41"/>
      <c r="AE957" s="42"/>
      <c r="AF957" s="4">
        <f>AD280-H957-T957</f>
        <v>8363.425</v>
      </c>
      <c r="AG957" s="3"/>
      <c r="AH957" s="8"/>
      <c r="AI957" s="4">
        <f>(AE957+AF957)-AH957</f>
        <v>8363.425</v>
      </c>
      <c r="AJ957" s="4">
        <f>AI957+BP956</f>
        <v>-2030.8355000001</v>
      </c>
      <c r="AK957" s="8"/>
      <c r="AL957" s="8"/>
      <c r="AM957" s="47"/>
      <c r="AN957" s="47"/>
      <c r="AO957" s="8"/>
      <c r="AP957" s="8"/>
      <c r="AQ957" s="47"/>
      <c r="AR957" s="47"/>
      <c r="AS957" s="8"/>
      <c r="AT957" s="8"/>
      <c r="AU957" s="47"/>
      <c r="AV957" s="47"/>
      <c r="AW957" s="8"/>
      <c r="AX957" s="8"/>
      <c r="AY957" s="47"/>
      <c r="AZ957" s="47"/>
      <c r="BA957" s="8" t="s">
        <v>342</v>
      </c>
      <c r="BB957" s="8">
        <v>880.2</v>
      </c>
      <c r="BC957" s="47"/>
      <c r="BD957" s="47"/>
      <c r="BE957" s="8"/>
      <c r="BF957" s="8"/>
      <c r="BG957" s="47"/>
      <c r="BH957" s="47"/>
      <c r="BI957" s="8"/>
      <c r="BJ957" s="3"/>
      <c r="BK957" s="47"/>
      <c r="BL957" s="47"/>
      <c r="BM957" s="46"/>
      <c r="BN957" s="46"/>
      <c r="BO957" s="24">
        <f>AL957+AN957+AP957+AR957+AT957+AV957+AX957+AZ957+BB957+BD957+BF957+BH957+BJ957+BL957</f>
        <v>880.2</v>
      </c>
      <c r="BP957" s="28">
        <f>AJ957-BO957</f>
        <v>-2911.0355000001</v>
      </c>
      <c r="BQ957" s="2">
        <v>45628</v>
      </c>
    </row>
    <row r="958" spans="1:73" hidden="true">
      <c r="D958" s="9" t="s">
        <v>14</v>
      </c>
      <c r="E958" s="2">
        <v>45629</v>
      </c>
      <c r="F958" s="38"/>
      <c r="G958" s="51"/>
      <c r="H958" s="4">
        <f>F281*50%</f>
        <v>1496.65</v>
      </c>
      <c r="I958" s="120"/>
      <c r="J958" s="4">
        <f>(G958+H958)-I958</f>
        <v>1496.65</v>
      </c>
      <c r="K958" s="4">
        <f>J958+O957</f>
        <v>48644.765</v>
      </c>
      <c r="L958" s="3"/>
      <c r="M958" s="3"/>
      <c r="N958" s="33">
        <f>I958+M958</f>
        <v>0</v>
      </c>
      <c r="O958" s="28">
        <f>K958-M958</f>
        <v>48644.765</v>
      </c>
      <c r="P958" s="9" t="s">
        <v>14</v>
      </c>
      <c r="Q958" s="2">
        <v>45629</v>
      </c>
      <c r="R958" s="38"/>
      <c r="S958" s="52"/>
      <c r="T958" s="4">
        <f>R281*45%</f>
        <v>2398.05</v>
      </c>
      <c r="U958" s="5"/>
      <c r="V958" s="4">
        <f>(S958+T958)-U958</f>
        <v>2398.05</v>
      </c>
      <c r="W958" s="4">
        <f>V958+AA957</f>
        <v>17659.155</v>
      </c>
      <c r="X958" s="3"/>
      <c r="Y958" s="3"/>
      <c r="Z958" s="25">
        <f>U958+Y958</f>
        <v>0</v>
      </c>
      <c r="AA958" s="76">
        <f>W958-Y958</f>
        <v>17659.155</v>
      </c>
      <c r="AB958" s="9" t="s">
        <v>14</v>
      </c>
      <c r="AC958" s="19">
        <v>45629</v>
      </c>
      <c r="AD958" s="41"/>
      <c r="AE958" s="42"/>
      <c r="AF958" s="4">
        <f>AD281-H958-T958</f>
        <v>4427.6</v>
      </c>
      <c r="AG958" s="3"/>
      <c r="AH958" s="8"/>
      <c r="AI958" s="4">
        <f>(AE958+AF958)-AH958</f>
        <v>4427.6</v>
      </c>
      <c r="AJ958" s="4">
        <f>AI958+BP957</f>
        <v>1516.5644999999</v>
      </c>
      <c r="AK958" s="3"/>
      <c r="AL958" s="8"/>
      <c r="AM958" s="47" t="s">
        <v>343</v>
      </c>
      <c r="AN958" s="47">
        <v>2000</v>
      </c>
      <c r="AO958" s="8"/>
      <c r="AP958" s="8"/>
      <c r="AQ958" s="47" t="s">
        <v>344</v>
      </c>
      <c r="AR958" s="47">
        <v>287.75</v>
      </c>
      <c r="AS958" s="8"/>
      <c r="AT958" s="8"/>
      <c r="AU958" s="47"/>
      <c r="AV958" s="47"/>
      <c r="AW958" s="8"/>
      <c r="AX958" s="8"/>
      <c r="AY958" s="47"/>
      <c r="AZ958" s="47"/>
      <c r="BA958" s="8" t="s">
        <v>342</v>
      </c>
      <c r="BB958" s="8">
        <f>(527.8)</f>
        <v>527.8</v>
      </c>
      <c r="BC958" s="47"/>
      <c r="BD958" s="47"/>
      <c r="BE958" s="8" t="s">
        <v>345</v>
      </c>
      <c r="BF958" s="8">
        <v>1000</v>
      </c>
      <c r="BG958" s="47"/>
      <c r="BH958" s="47"/>
      <c r="BI958" s="8"/>
      <c r="BJ958" s="3"/>
      <c r="BK958" s="47" t="s">
        <v>346</v>
      </c>
      <c r="BL958" s="47">
        <v>3000</v>
      </c>
      <c r="BM958" s="46"/>
      <c r="BN958" s="46"/>
      <c r="BO958" s="24">
        <f>AL958+AN958+AP958+AR958+AT958+AV958+AX958+AZ958+BB958+BD958+BF958+BH958+BJ958+BL958</f>
        <v>6815.55</v>
      </c>
      <c r="BP958" s="28">
        <f>AJ958-BO958</f>
        <v>-5298.9855000001</v>
      </c>
      <c r="BQ958" s="2">
        <v>45629</v>
      </c>
    </row>
    <row r="959" spans="1:73" hidden="true">
      <c r="D959" s="9" t="s">
        <v>15</v>
      </c>
      <c r="E959" s="2">
        <v>45630</v>
      </c>
      <c r="F959" s="38"/>
      <c r="G959" s="51"/>
      <c r="H959" s="4">
        <f>F282*50%</f>
        <v>2439.825</v>
      </c>
      <c r="I959" s="120"/>
      <c r="J959" s="4">
        <f>(G959+H959)-I959</f>
        <v>2439.825</v>
      </c>
      <c r="K959" s="4">
        <f>J959+O958</f>
        <v>51084.59</v>
      </c>
      <c r="L959" s="3"/>
      <c r="M959" s="3"/>
      <c r="N959" s="33">
        <f>I959+M959</f>
        <v>0</v>
      </c>
      <c r="O959" s="28">
        <f>K959-M959</f>
        <v>51084.59</v>
      </c>
      <c r="P959" s="9" t="s">
        <v>15</v>
      </c>
      <c r="Q959" s="2">
        <v>45630</v>
      </c>
      <c r="R959" s="38"/>
      <c r="S959" s="52"/>
      <c r="T959" s="4">
        <f>R282*45%</f>
        <v>3164.85</v>
      </c>
      <c r="U959" s="5"/>
      <c r="V959" s="4">
        <f>(S959+T959)-U959</f>
        <v>3164.85</v>
      </c>
      <c r="W959" s="4">
        <f>V959+AA958</f>
        <v>20824.005</v>
      </c>
      <c r="X959" s="3"/>
      <c r="Y959" s="3"/>
      <c r="Z959" s="25">
        <f>U959+Y959</f>
        <v>0</v>
      </c>
      <c r="AA959" s="76">
        <f>W959-Y959</f>
        <v>20824.005</v>
      </c>
      <c r="AB959" s="9" t="s">
        <v>15</v>
      </c>
      <c r="AC959" s="19">
        <v>45630</v>
      </c>
      <c r="AD959" s="41"/>
      <c r="AE959" s="42"/>
      <c r="AF959" s="4">
        <f>AD282-H959-T959</f>
        <v>6307.975</v>
      </c>
      <c r="AG959" s="3"/>
      <c r="AH959" s="8"/>
      <c r="AI959" s="4">
        <f>(AE959+AF959)-AH959</f>
        <v>6307.975</v>
      </c>
      <c r="AJ959" s="4">
        <f>AI959+BP958</f>
        <v>1008.9894999999</v>
      </c>
      <c r="AK959" s="8"/>
      <c r="AL959" s="8"/>
      <c r="AM959" s="47" t="s">
        <v>347</v>
      </c>
      <c r="AN959" s="47">
        <f>(1900+8363.4)</f>
        <v>10263.4</v>
      </c>
      <c r="AO959" s="8"/>
      <c r="AP959" s="8"/>
      <c r="AQ959" s="47"/>
      <c r="AR959" s="47"/>
      <c r="AS959" s="8"/>
      <c r="AT959" s="8"/>
      <c r="AU959" s="47"/>
      <c r="AV959" s="47"/>
      <c r="AW959" s="8"/>
      <c r="AX959" s="8"/>
      <c r="AY959" s="47"/>
      <c r="AZ959" s="47"/>
      <c r="BA959" s="3" t="s">
        <v>342</v>
      </c>
      <c r="BB959" s="8">
        <f>(603.4+40)</f>
        <v>643.4</v>
      </c>
      <c r="BC959" s="47"/>
      <c r="BD959" s="47"/>
      <c r="BE959" s="8"/>
      <c r="BF959" s="8"/>
      <c r="BG959" s="47"/>
      <c r="BH959" s="47"/>
      <c r="BI959" s="8"/>
      <c r="BJ959" s="3"/>
      <c r="BK959" s="47"/>
      <c r="BL959" s="47"/>
      <c r="BM959" s="46"/>
      <c r="BN959" s="46"/>
      <c r="BO959" s="24">
        <f>AL959+AN959+AP959+AR959+AT959+AV959+AX959+AZ959+BB959+BD959+BF959+BH959+BJ959+BL959</f>
        <v>10906.8</v>
      </c>
      <c r="BP959" s="28">
        <f>AJ959-BO959</f>
        <v>-9897.8105000001</v>
      </c>
      <c r="BQ959" s="2">
        <v>45630</v>
      </c>
    </row>
    <row r="960" spans="1:73" hidden="true">
      <c r="D960" s="9" t="s">
        <v>16</v>
      </c>
      <c r="E960" s="2">
        <v>45631</v>
      </c>
      <c r="F960" s="38"/>
      <c r="G960" s="51"/>
      <c r="H960" s="4">
        <f>F283*50%</f>
        <v>1611.7</v>
      </c>
      <c r="I960" s="120">
        <v>2712</v>
      </c>
      <c r="J960" s="4">
        <f>(G960+H960)-I960</f>
        <v>-1100.3</v>
      </c>
      <c r="K960" s="4">
        <f>J960+O959</f>
        <v>49984.29</v>
      </c>
      <c r="L960" s="3"/>
      <c r="M960" s="3"/>
      <c r="N960" s="33">
        <f>I960+M960</f>
        <v>2712</v>
      </c>
      <c r="O960" s="28">
        <f>K960-M960</f>
        <v>49984.29</v>
      </c>
      <c r="P960" s="9" t="s">
        <v>16</v>
      </c>
      <c r="Q960" s="2">
        <v>45631</v>
      </c>
      <c r="R960" s="38"/>
      <c r="S960" s="52"/>
      <c r="T960" s="4">
        <f>R283*45%</f>
        <v>3438.9</v>
      </c>
      <c r="U960" s="5"/>
      <c r="V960" s="4">
        <f>(S960+T960)-U960</f>
        <v>3438.9</v>
      </c>
      <c r="W960" s="4">
        <f>V960+AA959</f>
        <v>24262.905</v>
      </c>
      <c r="X960" s="3"/>
      <c r="Y960" s="3"/>
      <c r="Z960" s="25">
        <f>U960+Y960</f>
        <v>0</v>
      </c>
      <c r="AA960" s="76">
        <f>W960-Y960</f>
        <v>24262.905</v>
      </c>
      <c r="AB960" s="9" t="s">
        <v>16</v>
      </c>
      <c r="AC960" s="19">
        <v>45631</v>
      </c>
      <c r="AD960" s="41"/>
      <c r="AE960" s="42"/>
      <c r="AF960" s="4">
        <f>AD283-H960-T960</f>
        <v>5814.8</v>
      </c>
      <c r="AG960" s="3"/>
      <c r="AH960" s="8"/>
      <c r="AI960" s="4">
        <f>(AE960+AF960)-AH960</f>
        <v>5814.8</v>
      </c>
      <c r="AJ960" s="4">
        <f>AI960+BP959</f>
        <v>-4083.0105000001</v>
      </c>
      <c r="AK960" s="8"/>
      <c r="AL960" s="8"/>
      <c r="AM960" s="47" t="s">
        <v>348</v>
      </c>
      <c r="AN960" s="47">
        <v>1705</v>
      </c>
      <c r="AO960" s="8"/>
      <c r="AP960" s="8"/>
      <c r="AQ960" s="47"/>
      <c r="AR960" s="47"/>
      <c r="AS960" s="8"/>
      <c r="AT960" s="8"/>
      <c r="AU960" s="47"/>
      <c r="AV960" s="47"/>
      <c r="AW960" s="8"/>
      <c r="AX960" s="8"/>
      <c r="AY960" s="47"/>
      <c r="AZ960" s="47"/>
      <c r="BA960" s="8" t="s">
        <v>342</v>
      </c>
      <c r="BB960" s="8">
        <v>537</v>
      </c>
      <c r="BC960" s="47"/>
      <c r="BD960" s="47"/>
      <c r="BE960" s="8"/>
      <c r="BF960" s="8"/>
      <c r="BG960" s="47"/>
      <c r="BH960" s="47"/>
      <c r="BI960" s="8"/>
      <c r="BJ960" s="3"/>
      <c r="BK960" s="47"/>
      <c r="BL960" s="47"/>
      <c r="BM960" s="46"/>
      <c r="BN960" s="46"/>
      <c r="BO960" s="24">
        <f>AL960+AN960+AP960+AR960+AT960+AV960+AX960+AZ960+BB960+BD960+BF960+BH960+BJ960+BL960</f>
        <v>2242</v>
      </c>
      <c r="BP960" s="28">
        <f>AJ960-BO960</f>
        <v>-6325.0105000001</v>
      </c>
      <c r="BQ960" s="2">
        <v>45631</v>
      </c>
    </row>
    <row r="961" spans="1:73" hidden="true">
      <c r="D961" s="9" t="s">
        <v>10</v>
      </c>
      <c r="E961" s="2">
        <v>45632</v>
      </c>
      <c r="F961" s="38"/>
      <c r="G961" s="51"/>
      <c r="H961" s="4">
        <f>F284*50%</f>
        <v>2799.9</v>
      </c>
      <c r="I961" s="120">
        <v>1932</v>
      </c>
      <c r="J961" s="4">
        <f>(G961+H961)-I961</f>
        <v>867.9</v>
      </c>
      <c r="K961" s="4">
        <f>J961+O960</f>
        <v>50852.19</v>
      </c>
      <c r="L961" s="3"/>
      <c r="M961" s="3"/>
      <c r="N961" s="33">
        <f>I961+M961</f>
        <v>1932</v>
      </c>
      <c r="O961" s="28">
        <f>K961-M961</f>
        <v>50852.19</v>
      </c>
      <c r="P961" s="9" t="s">
        <v>10</v>
      </c>
      <c r="Q961" s="2">
        <v>45632</v>
      </c>
      <c r="R961" s="38"/>
      <c r="S961" s="52"/>
      <c r="T961" s="4">
        <f>R284*45%</f>
        <v>4006.8</v>
      </c>
      <c r="U961" s="5"/>
      <c r="V961" s="4">
        <f>(S961+T961)-U961</f>
        <v>4006.8</v>
      </c>
      <c r="W961" s="4">
        <f>V961+AA960</f>
        <v>28269.705</v>
      </c>
      <c r="X961" s="3" t="s">
        <v>349</v>
      </c>
      <c r="Y961" s="3">
        <v>15560</v>
      </c>
      <c r="Z961" s="25">
        <f>U961+Y961</f>
        <v>15560</v>
      </c>
      <c r="AA961" s="76">
        <f>W961-Y961</f>
        <v>12709.705</v>
      </c>
      <c r="AB961" s="9" t="s">
        <v>10</v>
      </c>
      <c r="AC961" s="19">
        <v>45632</v>
      </c>
      <c r="AD961" s="41"/>
      <c r="AE961" s="42"/>
      <c r="AF961" s="4">
        <f>AD284-H961-T961</f>
        <v>7697.1</v>
      </c>
      <c r="AG961" s="3"/>
      <c r="AH961" s="8"/>
      <c r="AI961" s="4">
        <f>(AE961+AF961)-AH961</f>
        <v>7697.1</v>
      </c>
      <c r="AJ961" s="4">
        <f>AI961+BP960</f>
        <v>1372.0894999999</v>
      </c>
      <c r="AK961" s="8" t="s">
        <v>350</v>
      </c>
      <c r="AL961" s="8">
        <v>13080</v>
      </c>
      <c r="AM961" s="47"/>
      <c r="AN961" s="47"/>
      <c r="AO961" s="8"/>
      <c r="AP961" s="8"/>
      <c r="AQ961" s="47"/>
      <c r="AR961" s="47"/>
      <c r="AS961" s="8"/>
      <c r="AT961" s="8"/>
      <c r="AU961" s="47"/>
      <c r="AV961" s="47"/>
      <c r="AW961" s="8"/>
      <c r="AX961" s="8"/>
      <c r="AY961" s="47"/>
      <c r="AZ961" s="47"/>
      <c r="BA961" s="8" t="s">
        <v>342</v>
      </c>
      <c r="BB961" s="8">
        <v>847</v>
      </c>
      <c r="BC961" s="47" t="s">
        <v>351</v>
      </c>
      <c r="BD961" s="47">
        <v>550</v>
      </c>
      <c r="BE961" s="8"/>
      <c r="BF961" s="8"/>
      <c r="BG961" s="47"/>
      <c r="BH961" s="47"/>
      <c r="BI961" s="8"/>
      <c r="BJ961" s="3"/>
      <c r="BK961" s="47"/>
      <c r="BL961" s="47"/>
      <c r="BM961" s="46"/>
      <c r="BN961" s="46"/>
      <c r="BO961" s="24">
        <f>AL961+AN961+AP961+AR961+AT961+AV961+AX961+AZ961+BB961+BD961+BF961+BH961+BJ961+BL961</f>
        <v>14477</v>
      </c>
      <c r="BP961" s="28">
        <f>AJ961-BO961</f>
        <v>-13104.9105</v>
      </c>
      <c r="BQ961" s="2">
        <v>45632</v>
      </c>
    </row>
    <row r="962" spans="1:73" hidden="true">
      <c r="D962" s="9" t="s">
        <v>11</v>
      </c>
      <c r="E962" s="2">
        <v>45633</v>
      </c>
      <c r="F962" s="38"/>
      <c r="G962" s="51"/>
      <c r="H962" s="4">
        <f>F285*50%</f>
        <v>2292</v>
      </c>
      <c r="I962" s="120"/>
      <c r="J962" s="4">
        <f>(G962+H962)-I962</f>
        <v>2292</v>
      </c>
      <c r="K962" s="4">
        <f>J962+O961</f>
        <v>53144.19</v>
      </c>
      <c r="L962" s="3"/>
      <c r="M962" s="3"/>
      <c r="N962" s="33">
        <f>I962+M962</f>
        <v>0</v>
      </c>
      <c r="O962" s="28">
        <f>K962-M962</f>
        <v>53144.19</v>
      </c>
      <c r="P962" s="9" t="s">
        <v>11</v>
      </c>
      <c r="Q962" s="2">
        <v>45633</v>
      </c>
      <c r="R962" s="38"/>
      <c r="S962" s="52"/>
      <c r="T962" s="4">
        <f>R285*45%</f>
        <v>4473.45</v>
      </c>
      <c r="U962" s="5"/>
      <c r="V962" s="4">
        <f>(S962+T962)-U962</f>
        <v>4473.45</v>
      </c>
      <c r="W962" s="4">
        <f>V962+AA961</f>
        <v>17183.155</v>
      </c>
      <c r="X962" s="3"/>
      <c r="Y962" s="3"/>
      <c r="Z962" s="25">
        <f>U962+Y962</f>
        <v>0</v>
      </c>
      <c r="AA962" s="76">
        <f>W962-Y962</f>
        <v>17183.155</v>
      </c>
      <c r="AB962" s="9" t="s">
        <v>11</v>
      </c>
      <c r="AC962" s="19">
        <v>45633</v>
      </c>
      <c r="AD962" s="41"/>
      <c r="AE962" s="42"/>
      <c r="AF962" s="4">
        <f>AD285-H962-T962</f>
        <v>7759.55</v>
      </c>
      <c r="AG962" s="3"/>
      <c r="AH962" s="8"/>
      <c r="AI962" s="4">
        <f>(AE962+AF962)-AH962</f>
        <v>7759.55</v>
      </c>
      <c r="AJ962" s="4">
        <f>AI962+BP961</f>
        <v>-5345.3605000001</v>
      </c>
      <c r="AK962" s="8"/>
      <c r="AL962" s="47"/>
      <c r="AM962" s="47"/>
      <c r="AN962" s="47"/>
      <c r="AO962" s="8"/>
      <c r="AP962" s="8"/>
      <c r="AQ962" s="47"/>
      <c r="AR962" s="47"/>
      <c r="AS962" s="8"/>
      <c r="AT962" s="8"/>
      <c r="AU962" s="47"/>
      <c r="AV962" s="47"/>
      <c r="AW962" s="8"/>
      <c r="AX962" s="8"/>
      <c r="AY962" s="47"/>
      <c r="AZ962" s="47"/>
      <c r="BA962" s="8" t="s">
        <v>342</v>
      </c>
      <c r="BB962" s="8">
        <v>1110</v>
      </c>
      <c r="BC962" s="47"/>
      <c r="BD962" s="47"/>
      <c r="BE962" s="8"/>
      <c r="BF962" s="8"/>
      <c r="BG962" s="47"/>
      <c r="BH962" s="47"/>
      <c r="BI962" s="8" t="s">
        <v>352</v>
      </c>
      <c r="BJ962" s="3">
        <v>1000</v>
      </c>
      <c r="BK962" s="47"/>
      <c r="BL962" s="47"/>
      <c r="BM962" s="46"/>
      <c r="BN962" s="46"/>
      <c r="BO962" s="24">
        <f>AL962+AN962+AP962+AR962+AT962+AV962+AX962+AZ962+BB962+BD962+BF962+BH962+BJ962+BL962</f>
        <v>2110</v>
      </c>
      <c r="BP962" s="28">
        <f>AJ962-BO962</f>
        <v>-7455.3605000001</v>
      </c>
      <c r="BQ962" s="2">
        <v>45633</v>
      </c>
    </row>
    <row r="963" spans="1:73" hidden="true">
      <c r="D963" s="9" t="s">
        <v>12</v>
      </c>
      <c r="E963" s="2">
        <v>45634</v>
      </c>
      <c r="F963" s="38"/>
      <c r="G963" s="51"/>
      <c r="H963" s="4">
        <f>F286*50%</f>
        <v>1872.475</v>
      </c>
      <c r="I963" s="120"/>
      <c r="J963" s="4">
        <f>(G963+H963)-I963</f>
        <v>1872.475</v>
      </c>
      <c r="K963" s="4">
        <f>J963+O962</f>
        <v>55016.665</v>
      </c>
      <c r="L963" s="3"/>
      <c r="M963" s="3"/>
      <c r="N963" s="33">
        <f>I963+M963</f>
        <v>0</v>
      </c>
      <c r="O963" s="28">
        <f>K963-M963</f>
        <v>55016.665</v>
      </c>
      <c r="P963" s="9" t="s">
        <v>12</v>
      </c>
      <c r="Q963" s="2">
        <v>45634</v>
      </c>
      <c r="R963" s="38"/>
      <c r="S963" s="52"/>
      <c r="T963" s="4">
        <f>R286*45%</f>
        <v>3545.55</v>
      </c>
      <c r="U963" s="5"/>
      <c r="V963" s="4">
        <f>(S963+T963)-U963</f>
        <v>3545.55</v>
      </c>
      <c r="W963" s="4">
        <f>V963+AA962</f>
        <v>20728.705</v>
      </c>
      <c r="X963" s="3"/>
      <c r="Y963" s="3"/>
      <c r="Z963" s="25">
        <f>U963+Y963</f>
        <v>0</v>
      </c>
      <c r="AA963" s="76">
        <f>W963-Y963</f>
        <v>20728.705</v>
      </c>
      <c r="AB963" s="9" t="s">
        <v>12</v>
      </c>
      <c r="AC963" s="19">
        <v>45634</v>
      </c>
      <c r="AD963" s="41"/>
      <c r="AE963" s="42"/>
      <c r="AF963" s="4">
        <f>AD286-H963-T963</f>
        <v>6205.925</v>
      </c>
      <c r="AG963" s="3"/>
      <c r="AH963" s="8"/>
      <c r="AI963" s="4">
        <f>(AE963+AF963)-AH963</f>
        <v>6205.925</v>
      </c>
      <c r="AJ963" s="4">
        <f>AI963+BP962</f>
        <v>-1249.4355000001</v>
      </c>
      <c r="AK963" s="8" t="s">
        <v>353</v>
      </c>
      <c r="AL963" s="47">
        <v>15240.6</v>
      </c>
      <c r="AM963" s="47"/>
      <c r="AN963" s="47"/>
      <c r="AO963" s="8" t="s">
        <v>354</v>
      </c>
      <c r="AP963" s="8">
        <v>300</v>
      </c>
      <c r="AQ963" s="47"/>
      <c r="AR963" s="47"/>
      <c r="AS963" s="8" t="s">
        <v>355</v>
      </c>
      <c r="AT963" s="8">
        <v>500</v>
      </c>
      <c r="AU963" s="47"/>
      <c r="AV963" s="47"/>
      <c r="AW963" s="8"/>
      <c r="AX963" s="8"/>
      <c r="AY963" s="47"/>
      <c r="AZ963" s="47"/>
      <c r="BA963" s="3" t="s">
        <v>342</v>
      </c>
      <c r="BB963" s="8">
        <f>(627.3)</f>
        <v>627.3</v>
      </c>
      <c r="BC963" s="47"/>
      <c r="BD963" s="47"/>
      <c r="BE963" s="8"/>
      <c r="BF963" s="8"/>
      <c r="BG963" s="47"/>
      <c r="BH963" s="47"/>
      <c r="BI963" s="8"/>
      <c r="BJ963" s="3"/>
      <c r="BK963" s="47"/>
      <c r="BL963" s="47"/>
      <c r="BM963" s="46"/>
      <c r="BN963" s="46"/>
      <c r="BO963" s="24">
        <f>AL963+AN963+AP963+AR963+AT963+AV963+AX963+AZ963+BB963+BD963+BF963+BH963+BJ963+BL963</f>
        <v>16667.9</v>
      </c>
      <c r="BP963" s="28">
        <f>AJ963-BO963</f>
        <v>-17917.3355</v>
      </c>
      <c r="BQ963" s="2">
        <v>45634</v>
      </c>
    </row>
    <row r="964" spans="1:73" hidden="true">
      <c r="D964" s="9" t="s">
        <v>13</v>
      </c>
      <c r="E964" s="2">
        <v>45635</v>
      </c>
      <c r="F964" s="38"/>
      <c r="G964" s="51"/>
      <c r="H964" s="4">
        <f>F287*50%</f>
        <v>2047.725</v>
      </c>
      <c r="I964" s="120"/>
      <c r="J964" s="4">
        <f>(G964+H964)-I964</f>
        <v>2047.725</v>
      </c>
      <c r="K964" s="4">
        <f>J964+O963</f>
        <v>57064.39</v>
      </c>
      <c r="L964" s="3"/>
      <c r="M964" s="3"/>
      <c r="N964" s="33">
        <f>I964+M964</f>
        <v>0</v>
      </c>
      <c r="O964" s="28">
        <f>K964-M964</f>
        <v>57064.39</v>
      </c>
      <c r="P964" s="9" t="s">
        <v>13</v>
      </c>
      <c r="Q964" s="2">
        <v>45635</v>
      </c>
      <c r="R964" s="38"/>
      <c r="S964" s="52"/>
      <c r="T964" s="4">
        <f>R287*45%</f>
        <v>2537.55</v>
      </c>
      <c r="U964" s="5"/>
      <c r="V964" s="4">
        <f>(S964+T964)-U964</f>
        <v>2537.55</v>
      </c>
      <c r="W964" s="4">
        <f>V964+AA963</f>
        <v>23266.255</v>
      </c>
      <c r="X964" s="3"/>
      <c r="Y964" s="3"/>
      <c r="Z964" s="25">
        <f>U964+Y964</f>
        <v>0</v>
      </c>
      <c r="AA964" s="76">
        <f>W964-Y964</f>
        <v>23266.255</v>
      </c>
      <c r="AB964" s="9" t="s">
        <v>13</v>
      </c>
      <c r="AC964" s="19">
        <v>45635</v>
      </c>
      <c r="AD964" s="41"/>
      <c r="AE964" s="42"/>
      <c r="AF964" s="4">
        <f>AD287-H964-T964</f>
        <v>5149.175</v>
      </c>
      <c r="AG964" s="3"/>
      <c r="AH964" s="8"/>
      <c r="AI964" s="4">
        <f>(AE964+AF964)-AH964</f>
        <v>5149.175</v>
      </c>
      <c r="AJ964" s="4">
        <f>AI964+BP963</f>
        <v>-12768.1605</v>
      </c>
      <c r="AK964" s="8"/>
      <c r="AL964" s="8"/>
      <c r="AM964" s="47"/>
      <c r="AN964" s="47"/>
      <c r="AO964" s="8"/>
      <c r="AP964" s="8"/>
      <c r="AQ964" s="47"/>
      <c r="AR964" s="47"/>
      <c r="AS964" s="8"/>
      <c r="AT964" s="8"/>
      <c r="AU964" s="47"/>
      <c r="AV964" s="47"/>
      <c r="AW964" s="8"/>
      <c r="AX964" s="8"/>
      <c r="AY964" s="47"/>
      <c r="AZ964" s="47"/>
      <c r="BA964" s="8" t="s">
        <v>342</v>
      </c>
      <c r="BB964" s="8">
        <v>588</v>
      </c>
      <c r="BC964" s="47"/>
      <c r="BD964" s="47"/>
      <c r="BE964" s="8"/>
      <c r="BF964" s="8"/>
      <c r="BG964" s="47"/>
      <c r="BH964" s="47"/>
      <c r="BI964" s="8" t="s">
        <v>281</v>
      </c>
      <c r="BJ964" s="3">
        <v>11710</v>
      </c>
      <c r="BK964" s="47"/>
      <c r="BL964" s="47"/>
      <c r="BM964" s="46"/>
      <c r="BN964" s="46"/>
      <c r="BO964" s="24">
        <f>AL964+AN964+AP964+AR964+AT964+AV964+AX964+AZ964+BB964+BD964+BF964+BH964+BJ964+BL964</f>
        <v>12298</v>
      </c>
      <c r="BP964" s="28">
        <f>AJ964-BO964</f>
        <v>-25066.1605</v>
      </c>
      <c r="BQ964" s="2">
        <v>45635</v>
      </c>
    </row>
    <row r="965" spans="1:73" hidden="true">
      <c r="D965" s="9" t="s">
        <v>14</v>
      </c>
      <c r="E965" s="2">
        <v>45636</v>
      </c>
      <c r="F965" s="38"/>
      <c r="G965" s="51"/>
      <c r="H965" s="4">
        <f>F288*50%</f>
        <v>1695.7</v>
      </c>
      <c r="I965" s="120"/>
      <c r="J965" s="4">
        <f>(G965+H965)-I965</f>
        <v>1695.7</v>
      </c>
      <c r="K965" s="4">
        <f>J965+O964</f>
        <v>58760.09</v>
      </c>
      <c r="L965" s="3" t="s">
        <v>356</v>
      </c>
      <c r="M965" s="3">
        <v>4662</v>
      </c>
      <c r="N965" s="33">
        <f>I965+M965</f>
        <v>4662</v>
      </c>
      <c r="O965" s="28">
        <f>K965-M965</f>
        <v>54098.09</v>
      </c>
      <c r="P965" s="9" t="s">
        <v>14</v>
      </c>
      <c r="Q965" s="2">
        <v>45636</v>
      </c>
      <c r="R965" s="38"/>
      <c r="S965" s="52"/>
      <c r="T965" s="4">
        <f>R288*45%</f>
        <v>2767.05</v>
      </c>
      <c r="U965" s="5"/>
      <c r="V965" s="4">
        <f>(S965+T965)-U965</f>
        <v>2767.05</v>
      </c>
      <c r="W965" s="4">
        <f>V965+AA964</f>
        <v>26033.305</v>
      </c>
      <c r="X965" s="3" t="s">
        <v>174</v>
      </c>
      <c r="Y965" s="3">
        <v>14994</v>
      </c>
      <c r="Z965" s="25">
        <f>U965+Y965</f>
        <v>14994</v>
      </c>
      <c r="AA965" s="76">
        <f>W965-Y965</f>
        <v>11039.305</v>
      </c>
      <c r="AB965" s="9" t="s">
        <v>14</v>
      </c>
      <c r="AC965" s="19">
        <v>45636</v>
      </c>
      <c r="AD965" s="41"/>
      <c r="AE965" s="42"/>
      <c r="AF965" s="4">
        <f>AD288-H965-T965</f>
        <v>5077.65</v>
      </c>
      <c r="AG965" s="3"/>
      <c r="AH965" s="8"/>
      <c r="AI965" s="4">
        <f>(AE965+AF965)-AH965</f>
        <v>5077.65</v>
      </c>
      <c r="AJ965" s="4">
        <f>AI965+BP964</f>
        <v>-19988.5105</v>
      </c>
      <c r="AK965" s="8" t="s">
        <v>41</v>
      </c>
      <c r="AL965" s="8">
        <v>7155</v>
      </c>
      <c r="AM965" s="113" t="s">
        <v>357</v>
      </c>
      <c r="AN965" s="47">
        <v>20000</v>
      </c>
      <c r="AO965" s="8"/>
      <c r="AP965" s="8"/>
      <c r="AQ965" s="47"/>
      <c r="AR965" s="47"/>
      <c r="AS965" s="8"/>
      <c r="AT965" s="8"/>
      <c r="AU965" s="47"/>
      <c r="AV965" s="47"/>
      <c r="AW965" s="8"/>
      <c r="AX965" s="8"/>
      <c r="AY965" s="47"/>
      <c r="AZ965" s="47"/>
      <c r="BA965" s="8" t="s">
        <v>342</v>
      </c>
      <c r="BB965" s="8">
        <v>506</v>
      </c>
      <c r="BC965" s="47"/>
      <c r="BD965" s="47"/>
      <c r="BE965" s="8"/>
      <c r="BF965" s="8"/>
      <c r="BG965" s="47" t="s">
        <v>98</v>
      </c>
      <c r="BH965" s="47">
        <v>4000</v>
      </c>
      <c r="BI965" s="8"/>
      <c r="BJ965" s="3"/>
      <c r="BK965" s="47"/>
      <c r="BL965" s="47"/>
      <c r="BM965" s="46"/>
      <c r="BN965" s="46"/>
      <c r="BO965" s="24">
        <f>AL965+AN965+AP965+AR965+AT965+AV965+AX965+AZ965+BB965+BD965+BF965+BH965+BJ965+BL965</f>
        <v>31661</v>
      </c>
      <c r="BP965" s="28">
        <f>AJ965-BO965</f>
        <v>-51649.5105</v>
      </c>
      <c r="BQ965" s="2">
        <v>45636</v>
      </c>
    </row>
    <row r="966" spans="1:73" hidden="true">
      <c r="D966" s="9" t="s">
        <v>15</v>
      </c>
      <c r="E966" s="2">
        <v>45637</v>
      </c>
      <c r="F966" s="38"/>
      <c r="G966" s="51"/>
      <c r="H966" s="4">
        <f>F289*50%</f>
        <v>1954.4</v>
      </c>
      <c r="I966" s="120"/>
      <c r="J966" s="4">
        <f>(G966+H966)-I966</f>
        <v>1954.4</v>
      </c>
      <c r="K966" s="4">
        <f>J966+O965</f>
        <v>56052.49</v>
      </c>
      <c r="L966" s="3"/>
      <c r="M966" s="3"/>
      <c r="N966" s="33">
        <f>I966+M966</f>
        <v>0</v>
      </c>
      <c r="O966" s="28">
        <f>K966-M966</f>
        <v>56052.49</v>
      </c>
      <c r="P966" s="9" t="s">
        <v>15</v>
      </c>
      <c r="Q966" s="2">
        <v>45637</v>
      </c>
      <c r="R966" s="38"/>
      <c r="S966" s="52"/>
      <c r="T966" s="4">
        <f>R289*45%</f>
        <v>2733.3</v>
      </c>
      <c r="U966" s="5"/>
      <c r="V966" s="4">
        <f>(S966+T966)-U966</f>
        <v>2733.3</v>
      </c>
      <c r="W966" s="4">
        <f>V966+AA965</f>
        <v>13772.605</v>
      </c>
      <c r="X966" s="3"/>
      <c r="Y966" s="3"/>
      <c r="Z966" s="25">
        <f>U966+Y966</f>
        <v>0</v>
      </c>
      <c r="AA966" s="76">
        <f>W966-Y966</f>
        <v>13772.605</v>
      </c>
      <c r="AB966" s="9" t="s">
        <v>15</v>
      </c>
      <c r="AC966" s="19">
        <v>45637</v>
      </c>
      <c r="AD966" s="41"/>
      <c r="AE966" s="42"/>
      <c r="AF966" s="4">
        <f>AD289-H966-T966</f>
        <v>5295.1</v>
      </c>
      <c r="AG966" s="3"/>
      <c r="AH966" s="8"/>
      <c r="AI966" s="4">
        <f>(AE966+AF966)-AH966</f>
        <v>5295.1</v>
      </c>
      <c r="AJ966" s="4">
        <f>AI966+BP965</f>
        <v>-46354.4105</v>
      </c>
      <c r="AK966" s="8"/>
      <c r="AL966" s="8"/>
      <c r="AM966" s="47"/>
      <c r="AN966" s="47"/>
      <c r="AO966" s="8"/>
      <c r="AP966" s="8"/>
      <c r="AQ966" s="47"/>
      <c r="AR966" s="47"/>
      <c r="AS966" s="8"/>
      <c r="AT966" s="8"/>
      <c r="AU966" s="47"/>
      <c r="AV966" s="47"/>
      <c r="AW966" s="8"/>
      <c r="AX966" s="8"/>
      <c r="AY966" s="47"/>
      <c r="AZ966" s="47"/>
      <c r="BA966" s="8" t="s">
        <v>342</v>
      </c>
      <c r="BB966" s="8">
        <v>607</v>
      </c>
      <c r="BC966" s="47"/>
      <c r="BD966" s="47"/>
      <c r="BE966" s="8"/>
      <c r="BF966" s="8"/>
      <c r="BG966" s="47"/>
      <c r="BH966" s="47"/>
      <c r="BI966" s="8"/>
      <c r="BJ966" s="3"/>
      <c r="BK966" s="47"/>
      <c r="BL966" s="47"/>
      <c r="BM966" s="46"/>
      <c r="BN966" s="46"/>
      <c r="BO966" s="24">
        <f>AL966+AN966+AP966+AR966+AT966+AV966+AX966+AZ966+BB966+BD966+BF966+BH966+BJ966+BL966</f>
        <v>607</v>
      </c>
      <c r="BP966" s="28">
        <f>AJ966-BO966</f>
        <v>-46961.4105</v>
      </c>
      <c r="BQ966" s="2">
        <v>45637</v>
      </c>
    </row>
    <row r="967" spans="1:73" hidden="true">
      <c r="D967" s="9" t="s">
        <v>16</v>
      </c>
      <c r="E967" s="2">
        <v>45638</v>
      </c>
      <c r="F967" s="38"/>
      <c r="G967" s="51"/>
      <c r="H967" s="4">
        <f>F290*50%</f>
        <v>1636.6</v>
      </c>
      <c r="I967" s="120"/>
      <c r="J967" s="4">
        <f>(G967+H967)-I967</f>
        <v>1636.6</v>
      </c>
      <c r="K967" s="4">
        <f>J967+O966</f>
        <v>57689.09</v>
      </c>
      <c r="L967" s="3"/>
      <c r="M967" s="3"/>
      <c r="N967" s="33">
        <f>I967+M967</f>
        <v>0</v>
      </c>
      <c r="O967" s="28">
        <f>K967-M967</f>
        <v>57689.09</v>
      </c>
      <c r="P967" s="9" t="s">
        <v>16</v>
      </c>
      <c r="Q967" s="2">
        <v>45638</v>
      </c>
      <c r="R967" s="38"/>
      <c r="S967" s="52"/>
      <c r="T967" s="4">
        <f>R290*45%</f>
        <v>2034.9</v>
      </c>
      <c r="U967" s="5"/>
      <c r="V967" s="4">
        <f>(S967+T967)-U967</f>
        <v>2034.9</v>
      </c>
      <c r="W967" s="4">
        <f>V967+AA966</f>
        <v>15807.505</v>
      </c>
      <c r="X967" s="3"/>
      <c r="Y967" s="3"/>
      <c r="Z967" s="25">
        <f>U967+Y967</f>
        <v>0</v>
      </c>
      <c r="AA967" s="76">
        <f>W967-Y967</f>
        <v>15807.505</v>
      </c>
      <c r="AB967" s="9" t="s">
        <v>16</v>
      </c>
      <c r="AC967" s="19">
        <v>45638</v>
      </c>
      <c r="AD967" s="41"/>
      <c r="AE967" s="42"/>
      <c r="AF967" s="4">
        <f>AD290-H967-T967</f>
        <v>4123.7</v>
      </c>
      <c r="AG967" s="3"/>
      <c r="AH967" s="8"/>
      <c r="AI967" s="4">
        <f>(AE967+AF967)-AH967</f>
        <v>4123.7</v>
      </c>
      <c r="AJ967" s="4">
        <f>AI967+BP966</f>
        <v>-42837.7105</v>
      </c>
      <c r="AK967" s="8" t="s">
        <v>41</v>
      </c>
      <c r="AL967" s="8">
        <v>800</v>
      </c>
      <c r="AM967" s="47"/>
      <c r="AN967" s="47"/>
      <c r="AO967" s="8" t="s">
        <v>358</v>
      </c>
      <c r="AP967" s="8">
        <v>7.5</v>
      </c>
      <c r="AQ967" s="47" t="s">
        <v>359</v>
      </c>
      <c r="AR967" s="47">
        <v>720</v>
      </c>
      <c r="AS967" s="8"/>
      <c r="AT967" s="8"/>
      <c r="AU967" s="47"/>
      <c r="AV967" s="47"/>
      <c r="AW967" s="8"/>
      <c r="AX967" s="8"/>
      <c r="AY967" s="47"/>
      <c r="AZ967" s="47"/>
      <c r="BA967" s="8" t="s">
        <v>342</v>
      </c>
      <c r="BB967" s="8">
        <f>423</f>
        <v>423</v>
      </c>
      <c r="BC967" s="47"/>
      <c r="BD967" s="47"/>
      <c r="BE967" s="8"/>
      <c r="BF967" s="8"/>
      <c r="BG967" s="47"/>
      <c r="BH967" s="47"/>
      <c r="BI967" s="8"/>
      <c r="BJ967" s="3"/>
      <c r="BK967" s="47"/>
      <c r="BL967" s="47"/>
      <c r="BM967" s="46"/>
      <c r="BN967" s="46"/>
      <c r="BO967" s="24">
        <f>AL967+AN967+AP967+AR967+AT967+AV967+AX967+AZ967+BB967+BD967+BF967+BH967+BJ967+BL967</f>
        <v>1950.5</v>
      </c>
      <c r="BP967" s="28">
        <f>AJ967-BO967</f>
        <v>-44788.2105</v>
      </c>
      <c r="BQ967" s="2">
        <v>45638</v>
      </c>
    </row>
    <row r="968" spans="1:73" hidden="true">
      <c r="D968" s="9" t="s">
        <v>10</v>
      </c>
      <c r="E968" s="2">
        <v>45639</v>
      </c>
      <c r="F968" s="38"/>
      <c r="G968" s="51"/>
      <c r="H968" s="4">
        <f>F291*50%</f>
        <v>2059.775</v>
      </c>
      <c r="I968" s="120"/>
      <c r="J968" s="4">
        <f>(G968+H968)-I968</f>
        <v>2059.775</v>
      </c>
      <c r="K968" s="4">
        <f>J968+O967</f>
        <v>59748.865</v>
      </c>
      <c r="L968" s="3" t="s">
        <v>360</v>
      </c>
      <c r="M968" s="3">
        <v>2160</v>
      </c>
      <c r="N968" s="33">
        <f>I968+M968</f>
        <v>2160</v>
      </c>
      <c r="O968" s="28">
        <f>K968-M968</f>
        <v>57588.865</v>
      </c>
      <c r="P968" s="9" t="s">
        <v>10</v>
      </c>
      <c r="Q968" s="2">
        <v>45639</v>
      </c>
      <c r="R968" s="38"/>
      <c r="S968" s="52"/>
      <c r="T968" s="4">
        <f>R291*45%</f>
        <v>2824.2</v>
      </c>
      <c r="U968" s="5"/>
      <c r="V968" s="4">
        <f>(S968+T968)-U968</f>
        <v>2824.2</v>
      </c>
      <c r="W968" s="4">
        <f>V968+AA967</f>
        <v>18631.705</v>
      </c>
      <c r="X968" s="3"/>
      <c r="Y968" s="3"/>
      <c r="Z968" s="25">
        <f>U968+Y968</f>
        <v>0</v>
      </c>
      <c r="AA968" s="76">
        <f>W968-Y968</f>
        <v>18631.705</v>
      </c>
      <c r="AB968" s="9" t="s">
        <v>10</v>
      </c>
      <c r="AC968" s="19">
        <v>45639</v>
      </c>
      <c r="AD968" s="41"/>
      <c r="AE968" s="42"/>
      <c r="AF968" s="4">
        <f>AD291-H968-T968</f>
        <v>5511.575</v>
      </c>
      <c r="AG968" s="3"/>
      <c r="AH968" s="8"/>
      <c r="AI968" s="4">
        <f>(AE968+AF968)-AH968</f>
        <v>5511.575</v>
      </c>
      <c r="AJ968" s="4">
        <f>AI968+BP967</f>
        <v>-39276.6355</v>
      </c>
      <c r="AK968" s="8"/>
      <c r="AL968" s="8"/>
      <c r="AM968" s="47" t="s">
        <v>361</v>
      </c>
      <c r="AN968" s="47">
        <f>2000+20000+1970</f>
        <v>23970</v>
      </c>
      <c r="AO968" s="8"/>
      <c r="AP968" s="8"/>
      <c r="AQ968" s="47"/>
      <c r="AR968" s="47"/>
      <c r="AS968" s="8"/>
      <c r="AT968" s="8"/>
      <c r="AU968" s="47"/>
      <c r="AV968" s="47"/>
      <c r="AW968" s="8"/>
      <c r="AX968" s="8"/>
      <c r="AY968" s="47"/>
      <c r="AZ968" s="47"/>
      <c r="BA968" s="8" t="s">
        <v>342</v>
      </c>
      <c r="BB968" s="8">
        <v>570</v>
      </c>
      <c r="BC968" s="47"/>
      <c r="BD968" s="47"/>
      <c r="BE968" s="8"/>
      <c r="BF968" s="8"/>
      <c r="BG968" s="47"/>
      <c r="BH968" s="47"/>
      <c r="BI968" s="8"/>
      <c r="BJ968" s="3"/>
      <c r="BK968" s="47"/>
      <c r="BL968" s="47"/>
      <c r="BM968" s="46"/>
      <c r="BN968" s="46"/>
      <c r="BO968" s="24">
        <f>AL968+AN968+AP968+AR968+AT968+AV968+AX968+AZ968+BB968+BD968+BF968+BH968+BJ968+BL968</f>
        <v>24540</v>
      </c>
      <c r="BP968" s="28">
        <f>AJ968-BO968</f>
        <v>-63816.6355</v>
      </c>
      <c r="BQ968" s="2">
        <v>45639</v>
      </c>
    </row>
    <row r="969" spans="1:73" hidden="true">
      <c r="D969" s="9" t="s">
        <v>11</v>
      </c>
      <c r="E969" s="2">
        <v>45640</v>
      </c>
      <c r="F969" s="38"/>
      <c r="G969" s="51"/>
      <c r="H969" s="4">
        <f>F292*50%</f>
        <v>2048.6</v>
      </c>
      <c r="I969" s="120"/>
      <c r="J969" s="4">
        <f>(G969+H969)-I969</f>
        <v>2048.6</v>
      </c>
      <c r="K969" s="4">
        <f>J969+O968</f>
        <v>59637.465</v>
      </c>
      <c r="L969" s="3"/>
      <c r="M969" s="3"/>
      <c r="N969" s="33">
        <f>I969+M969</f>
        <v>0</v>
      </c>
      <c r="O969" s="28">
        <f>K969-M969</f>
        <v>59637.465</v>
      </c>
      <c r="P969" s="9" t="s">
        <v>11</v>
      </c>
      <c r="Q969" s="2">
        <v>45640</v>
      </c>
      <c r="R969" s="38"/>
      <c r="S969" s="52"/>
      <c r="T969" s="4">
        <f>R292*45%</f>
        <v>2596.95</v>
      </c>
      <c r="U969" s="5"/>
      <c r="V969" s="4">
        <f>(S969+T969)-U969</f>
        <v>2596.95</v>
      </c>
      <c r="W969" s="4">
        <f>V969+AA968</f>
        <v>21228.655</v>
      </c>
      <c r="X969" s="3"/>
      <c r="Y969" s="3"/>
      <c r="Z969" s="25">
        <f>U969+Y969</f>
        <v>0</v>
      </c>
      <c r="AA969" s="76">
        <f>W969-Y969</f>
        <v>21228.655</v>
      </c>
      <c r="AB969" s="9" t="s">
        <v>11</v>
      </c>
      <c r="AC969" s="19">
        <v>45640</v>
      </c>
      <c r="AD969" s="41"/>
      <c r="AE969" s="42"/>
      <c r="AF969" s="4">
        <f>AD292-H969-T969</f>
        <v>5222.65</v>
      </c>
      <c r="AG969" s="3"/>
      <c r="AH969" s="8"/>
      <c r="AI969" s="4">
        <f>(AE969+AF969)-AH969</f>
        <v>5222.65</v>
      </c>
      <c r="AJ969" s="4">
        <f>AI969+BP968</f>
        <v>-58593.9855</v>
      </c>
      <c r="AK969" s="8"/>
      <c r="AL969" s="8"/>
      <c r="AM969" s="47"/>
      <c r="AN969" s="47"/>
      <c r="AO969" s="8"/>
      <c r="AP969" s="8"/>
      <c r="AQ969" s="47"/>
      <c r="AR969" s="47"/>
      <c r="AS969" s="8"/>
      <c r="AT969" s="8"/>
      <c r="AU969" s="47"/>
      <c r="AV969" s="47"/>
      <c r="AW969" s="8"/>
      <c r="AX969" s="8"/>
      <c r="AY969" s="47"/>
      <c r="AZ969" s="47"/>
      <c r="BA969" s="8" t="s">
        <v>342</v>
      </c>
      <c r="BB969" s="8">
        <v>693.1</v>
      </c>
      <c r="BC969" s="47"/>
      <c r="BD969" s="47"/>
      <c r="BE969" s="8"/>
      <c r="BF969" s="8"/>
      <c r="BG969" s="47"/>
      <c r="BH969" s="47"/>
      <c r="BI969" s="8"/>
      <c r="BJ969" s="3"/>
      <c r="BK969" s="47"/>
      <c r="BL969" s="47"/>
      <c r="BM969" s="46"/>
      <c r="BN969" s="46"/>
      <c r="BO969" s="24">
        <f>AL969+AN969+AP969+AR969+AT969+AV969+AX969+AZ969+BB969+BD969+BF969+BH969+BJ969+BL969</f>
        <v>693.1</v>
      </c>
      <c r="BP969" s="28">
        <f>AJ969-BO969</f>
        <v>-59287.0855</v>
      </c>
      <c r="BQ969" s="2">
        <v>45640</v>
      </c>
    </row>
    <row r="970" spans="1:73" hidden="true">
      <c r="D970" s="9" t="s">
        <v>12</v>
      </c>
      <c r="E970" s="2">
        <v>45641</v>
      </c>
      <c r="F970" s="38"/>
      <c r="G970" s="51"/>
      <c r="H970" s="4">
        <f>F293*50%</f>
        <v>2437</v>
      </c>
      <c r="I970" s="120"/>
      <c r="J970" s="4">
        <f>(G970+H970)-I970</f>
        <v>2437</v>
      </c>
      <c r="K970" s="4">
        <f>J970+O969</f>
        <v>62074.465</v>
      </c>
      <c r="L970" s="3"/>
      <c r="M970" s="3"/>
      <c r="N970" s="33">
        <f>I970+M970</f>
        <v>0</v>
      </c>
      <c r="O970" s="28">
        <f>K970-M970</f>
        <v>62074.465</v>
      </c>
      <c r="P970" s="9" t="s">
        <v>12</v>
      </c>
      <c r="Q970" s="2">
        <v>45641</v>
      </c>
      <c r="R970" s="38"/>
      <c r="S970" s="52"/>
      <c r="T970" s="4">
        <f>R293*45%</f>
        <v>3273.75</v>
      </c>
      <c r="U970" s="5"/>
      <c r="V970" s="4">
        <f>(S970+T970)-U970</f>
        <v>3273.75</v>
      </c>
      <c r="W970" s="4">
        <f>V970+AA969</f>
        <v>24502.405</v>
      </c>
      <c r="X970" s="3" t="s">
        <v>269</v>
      </c>
      <c r="Y970" s="3">
        <v>12200</v>
      </c>
      <c r="Z970" s="25">
        <f>U970+Y970</f>
        <v>12200</v>
      </c>
      <c r="AA970" s="76">
        <f>W970-Y970</f>
        <v>12302.405</v>
      </c>
      <c r="AB970" s="9" t="s">
        <v>12</v>
      </c>
      <c r="AC970" s="19">
        <v>45641</v>
      </c>
      <c r="AD970" s="41"/>
      <c r="AE970" s="42"/>
      <c r="AF970" s="4">
        <f>AD293-H970-T970</f>
        <v>6438.25</v>
      </c>
      <c r="AG970" s="3"/>
      <c r="AH970" s="8"/>
      <c r="AI970" s="4">
        <f>(AE970+AF970)-AH970</f>
        <v>6438.25</v>
      </c>
      <c r="AJ970" s="4">
        <f>AI970+BP969</f>
        <v>-52848.8355</v>
      </c>
      <c r="AK970" s="8"/>
      <c r="AL970" s="8"/>
      <c r="AM970" s="47"/>
      <c r="AN970" s="47"/>
      <c r="AO970" s="8"/>
      <c r="AP970" s="8"/>
      <c r="AQ970" s="47" t="s">
        <v>362</v>
      </c>
      <c r="AR970" s="47">
        <v>2000</v>
      </c>
      <c r="AS970" s="8"/>
      <c r="AT970" s="8"/>
      <c r="AU970" s="47"/>
      <c r="AV970" s="47"/>
      <c r="AW970" s="8"/>
      <c r="AX970" s="8"/>
      <c r="AY970" s="47"/>
      <c r="AZ970" s="47"/>
      <c r="BA970" s="8" t="s">
        <v>342</v>
      </c>
      <c r="BB970" s="8">
        <v>466</v>
      </c>
      <c r="BC970" s="47"/>
      <c r="BD970" s="47"/>
      <c r="BE970" s="8"/>
      <c r="BF970" s="8"/>
      <c r="BG970" s="47" t="s">
        <v>98</v>
      </c>
      <c r="BH970" s="47">
        <v>2072</v>
      </c>
      <c r="BI970" s="8"/>
      <c r="BJ970" s="3"/>
      <c r="BK970" s="47"/>
      <c r="BL970" s="47"/>
      <c r="BM970" s="46"/>
      <c r="BN970" s="46"/>
      <c r="BO970" s="24">
        <f>AL970+AN970+AP970+AR970+AT970+AV970+AX970+AZ970+BB970+BD970+BF970+BH970+BJ970+BL970</f>
        <v>4538</v>
      </c>
      <c r="BP970" s="28">
        <f>AJ970-BO970</f>
        <v>-57386.8355</v>
      </c>
      <c r="BQ970" s="2">
        <v>45641</v>
      </c>
    </row>
    <row r="971" spans="1:73" hidden="true">
      <c r="D971" s="9" t="s">
        <v>13</v>
      </c>
      <c r="E971" s="2">
        <v>45642</v>
      </c>
      <c r="F971" s="38"/>
      <c r="G971" s="51"/>
      <c r="H971" s="4">
        <f>F294*50%</f>
        <v>2630.15</v>
      </c>
      <c r="I971" s="120"/>
      <c r="J971" s="4">
        <f>(G971+H971)-I971</f>
        <v>2630.15</v>
      </c>
      <c r="K971" s="4">
        <f>J971+O970</f>
        <v>64704.615</v>
      </c>
      <c r="L971" s="114" t="s">
        <v>360</v>
      </c>
      <c r="M971" s="3">
        <v>8004</v>
      </c>
      <c r="N971" s="33">
        <f>I971+M971</f>
        <v>8004</v>
      </c>
      <c r="O971" s="28">
        <f>K971-M971</f>
        <v>56700.615</v>
      </c>
      <c r="P971" s="9" t="s">
        <v>13</v>
      </c>
      <c r="Q971" s="2">
        <v>45642</v>
      </c>
      <c r="R971" s="38"/>
      <c r="S971" s="52"/>
      <c r="T971" s="4">
        <f>R294*45%</f>
        <v>3593.7</v>
      </c>
      <c r="U971" s="5"/>
      <c r="V971" s="4">
        <f>(S971+T971)-U971</f>
        <v>3593.7</v>
      </c>
      <c r="W971" s="4">
        <f>V971+AA970</f>
        <v>15896.105</v>
      </c>
      <c r="X971" s="3"/>
      <c r="Y971" s="3"/>
      <c r="Z971" s="25">
        <f>U971+Y971</f>
        <v>0</v>
      </c>
      <c r="AA971" s="76">
        <f>W971-Y971</f>
        <v>15896.105</v>
      </c>
      <c r="AB971" s="9" t="s">
        <v>13</v>
      </c>
      <c r="AC971" s="19">
        <v>45642</v>
      </c>
      <c r="AD971" s="41"/>
      <c r="AE971" s="42"/>
      <c r="AF971" s="4">
        <f>AD294-H971-T971</f>
        <v>7022.45</v>
      </c>
      <c r="AG971" s="3"/>
      <c r="AH971" s="8"/>
      <c r="AI971" s="4">
        <f>(AE971+AF971)-AH971</f>
        <v>7022.45</v>
      </c>
      <c r="AJ971" s="4">
        <f>AI971+BP970</f>
        <v>-50364.3855</v>
      </c>
      <c r="AK971" s="8"/>
      <c r="AL971" s="8"/>
      <c r="AM971" s="86" t="s">
        <v>329</v>
      </c>
      <c r="AN971" s="47">
        <v>8000</v>
      </c>
      <c r="AO971" s="8"/>
      <c r="AP971" s="8"/>
      <c r="AQ971" s="47" t="s">
        <v>344</v>
      </c>
      <c r="AR971" s="47">
        <v>387.15</v>
      </c>
      <c r="AS971" s="8"/>
      <c r="AT971" s="8"/>
      <c r="AU971" s="47"/>
      <c r="AV971" s="47"/>
      <c r="AW971" s="8"/>
      <c r="AX971" s="8"/>
      <c r="AY971" s="47"/>
      <c r="AZ971" s="47"/>
      <c r="BA971" s="8" t="s">
        <v>341</v>
      </c>
      <c r="BB971" s="8">
        <v>708.4</v>
      </c>
      <c r="BC971" s="47"/>
      <c r="BD971" s="47"/>
      <c r="BE971" s="8"/>
      <c r="BF971" s="8"/>
      <c r="BG971" s="47"/>
      <c r="BH971" s="47"/>
      <c r="BI971" s="8"/>
      <c r="BJ971" s="3"/>
      <c r="BK971" s="47"/>
      <c r="BL971" s="47"/>
      <c r="BM971" s="46"/>
      <c r="BN971" s="46"/>
      <c r="BO971" s="24">
        <f>AL971+AN971+AP971+AR971+AT971+AV971+AX971+AZ971+BB971+BD971+BF971+BH971+BJ971+BL971</f>
        <v>9095.55</v>
      </c>
      <c r="BP971" s="28">
        <f>AJ971-BO971</f>
        <v>-59459.9355</v>
      </c>
      <c r="BQ971" s="2">
        <v>45642</v>
      </c>
    </row>
    <row r="972" spans="1:73" hidden="true">
      <c r="D972" s="9" t="s">
        <v>14</v>
      </c>
      <c r="E972" s="2">
        <v>45643</v>
      </c>
      <c r="F972" s="38"/>
      <c r="G972" s="51"/>
      <c r="H972" s="4">
        <f>F295*50%</f>
        <v>1630.95</v>
      </c>
      <c r="I972" s="120"/>
      <c r="J972" s="4">
        <f>(G972+H972)-I972</f>
        <v>1630.95</v>
      </c>
      <c r="K972" s="4">
        <f>J972+O971</f>
        <v>58331.565</v>
      </c>
      <c r="L972" s="3"/>
      <c r="M972" s="3"/>
      <c r="N972" s="33">
        <f>I972+M972</f>
        <v>0</v>
      </c>
      <c r="O972" s="28">
        <f>K972-M972</f>
        <v>58331.565</v>
      </c>
      <c r="P972" s="9" t="s">
        <v>14</v>
      </c>
      <c r="Q972" s="2">
        <v>45643</v>
      </c>
      <c r="R972" s="38"/>
      <c r="S972" s="52"/>
      <c r="T972" s="4">
        <f>R295*45%</f>
        <v>2044.35</v>
      </c>
      <c r="U972" s="5"/>
      <c r="V972" s="4">
        <f>(S972+T972)-U972</f>
        <v>2044.35</v>
      </c>
      <c r="W972" s="4">
        <f>V972+AA971</f>
        <v>17940.455</v>
      </c>
      <c r="X972" s="3"/>
      <c r="Y972" s="3"/>
      <c r="Z972" s="25">
        <f>U972+Y972</f>
        <v>0</v>
      </c>
      <c r="AA972" s="76">
        <f>W972-Y972</f>
        <v>17940.455</v>
      </c>
      <c r="AB972" s="9" t="s">
        <v>14</v>
      </c>
      <c r="AC972" s="19">
        <v>45643</v>
      </c>
      <c r="AD972" s="41" t="s">
        <v>363</v>
      </c>
      <c r="AE972" s="42">
        <v>4200</v>
      </c>
      <c r="AF972" s="4">
        <f>AD295-H972-T972</f>
        <v>4129.6</v>
      </c>
      <c r="AG972" s="3"/>
      <c r="AH972" s="8"/>
      <c r="AI972" s="4">
        <f>(AE972+AF972)-AH972</f>
        <v>8329.6</v>
      </c>
      <c r="AJ972" s="4">
        <f>AI972+BP971</f>
        <v>-51130.3355</v>
      </c>
      <c r="AK972" s="8" t="s">
        <v>41</v>
      </c>
      <c r="AL972" s="8">
        <v>4500</v>
      </c>
      <c r="AM972" s="47"/>
      <c r="AN972" s="47"/>
      <c r="AO972" s="8"/>
      <c r="AP972" s="8"/>
      <c r="AQ972" s="47"/>
      <c r="AR972" s="47"/>
      <c r="AS972" s="8"/>
      <c r="AT972" s="8"/>
      <c r="AU972" s="47"/>
      <c r="AV972" s="47"/>
      <c r="AW972" s="8"/>
      <c r="AX972" s="8"/>
      <c r="AY972" s="47"/>
      <c r="AZ972" s="47"/>
      <c r="BA972" s="8" t="s">
        <v>342</v>
      </c>
      <c r="BB972" s="8">
        <v>480.9</v>
      </c>
      <c r="BC972" s="47"/>
      <c r="BD972" s="47"/>
      <c r="BE972" s="8"/>
      <c r="BF972" s="8"/>
      <c r="BG972" s="47"/>
      <c r="BH972" s="47"/>
      <c r="BI972" s="8"/>
      <c r="BJ972" s="3"/>
      <c r="BK972" s="47"/>
      <c r="BL972" s="47"/>
      <c r="BM972" s="46"/>
      <c r="BN972" s="46"/>
      <c r="BO972" s="24">
        <f>AL972+AN972+AP972+AR972+AT972+AV972+AX972+AZ972+BB972+BD972+BF972+BH972+BJ972+BL972</f>
        <v>4980.9</v>
      </c>
      <c r="BP972" s="28">
        <f>AJ972-BO972</f>
        <v>-56111.2355</v>
      </c>
      <c r="BQ972" s="2">
        <v>45643</v>
      </c>
    </row>
    <row r="973" spans="1:73" hidden="true">
      <c r="D973" s="9" t="s">
        <v>15</v>
      </c>
      <c r="E973" s="2">
        <v>45644</v>
      </c>
      <c r="F973" s="38"/>
      <c r="G973" s="51"/>
      <c r="H973" s="4">
        <f>F296*50%</f>
        <v>2945.725</v>
      </c>
      <c r="I973" s="120"/>
      <c r="J973" s="4">
        <f>(G973+H973)-I973</f>
        <v>2945.725</v>
      </c>
      <c r="K973" s="4">
        <f>J973+O972</f>
        <v>61277.29</v>
      </c>
      <c r="L973" s="3"/>
      <c r="M973" s="3"/>
      <c r="N973" s="33">
        <f>I973+M973</f>
        <v>0</v>
      </c>
      <c r="O973" s="28">
        <f>K973-M973</f>
        <v>61277.29</v>
      </c>
      <c r="P973" s="9" t="s">
        <v>15</v>
      </c>
      <c r="Q973" s="2">
        <v>45644</v>
      </c>
      <c r="R973" s="38"/>
      <c r="S973" s="52"/>
      <c r="T973" s="4">
        <f>R296*45%</f>
        <v>2080.35</v>
      </c>
      <c r="U973" s="5"/>
      <c r="V973" s="4">
        <f>(S973+T973)-U973</f>
        <v>2080.35</v>
      </c>
      <c r="W973" s="4">
        <f>V973+AA972</f>
        <v>20020.805</v>
      </c>
      <c r="X973" s="3"/>
      <c r="Y973" s="3"/>
      <c r="Z973" s="25">
        <f>U973+Y973</f>
        <v>0</v>
      </c>
      <c r="AA973" s="76">
        <f>W973-Y973</f>
        <v>20020.805</v>
      </c>
      <c r="AB973" s="9" t="s">
        <v>15</v>
      </c>
      <c r="AC973" s="19">
        <v>45644</v>
      </c>
      <c r="AD973" s="41"/>
      <c r="AE973" s="42"/>
      <c r="AF973" s="4">
        <f>AD296-H973-T973</f>
        <v>5488.375</v>
      </c>
      <c r="AG973" s="3"/>
      <c r="AH973" s="8"/>
      <c r="AI973" s="4">
        <f>(AE973+AF973)-AH973</f>
        <v>5488.375</v>
      </c>
      <c r="AJ973" s="4">
        <f>AI973+BP972</f>
        <v>-50622.8605</v>
      </c>
      <c r="AK973" s="8" t="s">
        <v>41</v>
      </c>
      <c r="AL973" s="8">
        <v>5000</v>
      </c>
      <c r="AM973" s="47" t="s">
        <v>364</v>
      </c>
      <c r="AN973" s="47">
        <v>2000</v>
      </c>
      <c r="AO973" s="8"/>
      <c r="AP973" s="8"/>
      <c r="AQ973" s="47" t="s">
        <v>365</v>
      </c>
      <c r="AR973" s="47">
        <v>1800</v>
      </c>
      <c r="AS973" s="8"/>
      <c r="AT973" s="8"/>
      <c r="AU973" s="47"/>
      <c r="AV973" s="47"/>
      <c r="AW973" s="8"/>
      <c r="AX973" s="8"/>
      <c r="AY973" s="47"/>
      <c r="AZ973" s="47"/>
      <c r="BA973" s="8" t="s">
        <v>366</v>
      </c>
      <c r="BB973" s="8">
        <f>894+590</f>
        <v>1484</v>
      </c>
      <c r="BC973" s="47"/>
      <c r="BD973" s="47"/>
      <c r="BE973" s="8" t="s">
        <v>367</v>
      </c>
      <c r="BF973" s="8">
        <v>1371</v>
      </c>
      <c r="BG973" s="47"/>
      <c r="BH973" s="47"/>
      <c r="BI973" s="8"/>
      <c r="BJ973" s="3"/>
      <c r="BK973" s="47"/>
      <c r="BL973" s="47"/>
      <c r="BM973" s="46"/>
      <c r="BN973" s="46"/>
      <c r="BO973" s="24">
        <f>AL973+AN973+AP973+AR973+AT973+AV973+AX973+AZ973+BB973+BD973+BF973+BH973+BJ973+BL973</f>
        <v>11655</v>
      </c>
      <c r="BP973" s="28">
        <f>AJ973-BO973</f>
        <v>-62277.8605</v>
      </c>
      <c r="BQ973" s="2">
        <v>45644</v>
      </c>
    </row>
    <row r="974" spans="1:73" hidden="true">
      <c r="D974" s="9" t="s">
        <v>16</v>
      </c>
      <c r="E974" s="2">
        <v>45645</v>
      </c>
      <c r="F974" s="38"/>
      <c r="G974" s="51"/>
      <c r="H974" s="4">
        <f>F297*50%</f>
        <v>1833.95</v>
      </c>
      <c r="I974" s="120"/>
      <c r="J974" s="4">
        <f>(G974+H974)-I974</f>
        <v>1833.95</v>
      </c>
      <c r="K974" s="4">
        <f>J974+O973</f>
        <v>63111.24</v>
      </c>
      <c r="L974" s="3"/>
      <c r="M974" s="3"/>
      <c r="N974" s="33">
        <f>I974+M974</f>
        <v>0</v>
      </c>
      <c r="O974" s="28">
        <f>K974-M974</f>
        <v>63111.24</v>
      </c>
      <c r="P974" s="9" t="s">
        <v>16</v>
      </c>
      <c r="Q974" s="2">
        <v>45645</v>
      </c>
      <c r="R974" s="38"/>
      <c r="S974" s="52"/>
      <c r="T974" s="4">
        <f>R297*45%</f>
        <v>4685.4</v>
      </c>
      <c r="U974" s="5"/>
      <c r="V974" s="4">
        <f>(S974+T974)-U974</f>
        <v>4685.4</v>
      </c>
      <c r="W974" s="4">
        <f>V974+AA973</f>
        <v>24706.205</v>
      </c>
      <c r="X974" s="3"/>
      <c r="Y974" s="3"/>
      <c r="Z974" s="25">
        <f>U974+Y974</f>
        <v>0</v>
      </c>
      <c r="AA974" s="76">
        <f>W974-Y974</f>
        <v>24706.205</v>
      </c>
      <c r="AB974" s="9" t="s">
        <v>16</v>
      </c>
      <c r="AC974" s="19">
        <v>45645</v>
      </c>
      <c r="AD974" s="41"/>
      <c r="AE974" s="42"/>
      <c r="AF974" s="4">
        <f>AD297-H974-T974</f>
        <v>7560.55</v>
      </c>
      <c r="AG974" s="3"/>
      <c r="AH974" s="8"/>
      <c r="AI974" s="4">
        <f>(AE974+AF974)-AH974</f>
        <v>7560.55</v>
      </c>
      <c r="AJ974" s="4">
        <f>AI974+BP973</f>
        <v>-54717.3105</v>
      </c>
      <c r="AK974" s="8"/>
      <c r="AL974" s="8"/>
      <c r="AM974" s="47" t="s">
        <v>357</v>
      </c>
      <c r="AN974" s="47">
        <v>20000</v>
      </c>
      <c r="AO974" s="8"/>
      <c r="AP974" s="8"/>
      <c r="AQ974" s="47"/>
      <c r="AR974" s="47"/>
      <c r="AS974" s="8"/>
      <c r="AT974" s="8"/>
      <c r="AU974" s="47"/>
      <c r="AV974" s="47"/>
      <c r="AW974" s="8"/>
      <c r="AX974" s="8"/>
      <c r="AY974" s="47"/>
      <c r="AZ974" s="47"/>
      <c r="BA974" s="8" t="s">
        <v>368</v>
      </c>
      <c r="BB974" s="8">
        <f>4500+850.4</f>
        <v>5350.4</v>
      </c>
      <c r="BC974" s="47"/>
      <c r="BD974" s="47"/>
      <c r="BE974" s="8"/>
      <c r="BF974" s="8"/>
      <c r="BG974" s="47" t="s">
        <v>98</v>
      </c>
      <c r="BH974" s="47">
        <v>2000</v>
      </c>
      <c r="BI974" s="8"/>
      <c r="BJ974" s="3"/>
      <c r="BK974" s="47"/>
      <c r="BL974" s="47"/>
      <c r="BM974" s="46"/>
      <c r="BN974" s="46"/>
      <c r="BO974" s="24">
        <f>AL974+AN974+AP974+AR974+AT974+AV974+AX974+AZ974+BB974+BD974+BF974+BH974+BJ974+BL974</f>
        <v>27350.4</v>
      </c>
      <c r="BP974" s="28">
        <f>AJ974-BO974</f>
        <v>-82067.7105</v>
      </c>
      <c r="BQ974" s="2">
        <v>45645</v>
      </c>
    </row>
    <row r="975" spans="1:73" hidden="true">
      <c r="D975" s="9" t="s">
        <v>10</v>
      </c>
      <c r="E975" s="2">
        <v>45646</v>
      </c>
      <c r="F975" s="38"/>
      <c r="G975" s="51"/>
      <c r="H975" s="4">
        <f>F298*50%</f>
        <v>1897.425</v>
      </c>
      <c r="I975" s="120"/>
      <c r="J975" s="4">
        <f>(G975+H975)-I975</f>
        <v>1897.425</v>
      </c>
      <c r="K975" s="4">
        <f>J975+O974</f>
        <v>65008.665</v>
      </c>
      <c r="L975" s="3"/>
      <c r="M975" s="3"/>
      <c r="N975" s="33">
        <f>I975+M975</f>
        <v>0</v>
      </c>
      <c r="O975" s="28">
        <f>K975-M975</f>
        <v>65008.665</v>
      </c>
      <c r="P975" s="9" t="s">
        <v>10</v>
      </c>
      <c r="Q975" s="2">
        <v>45646</v>
      </c>
      <c r="R975" s="38"/>
      <c r="S975" s="52"/>
      <c r="T975" s="4">
        <f>R298*45%</f>
        <v>3231.45</v>
      </c>
      <c r="U975" s="5"/>
      <c r="V975" s="4">
        <f>(S975+T975)-U975</f>
        <v>3231.45</v>
      </c>
      <c r="W975" s="4">
        <f>V975+AA974</f>
        <v>27937.655</v>
      </c>
      <c r="X975" s="3"/>
      <c r="Y975" s="3"/>
      <c r="Z975" s="25">
        <f>U975+Y975</f>
        <v>0</v>
      </c>
      <c r="AA975" s="76">
        <f>W975-Y975</f>
        <v>27937.655</v>
      </c>
      <c r="AB975" s="9" t="s">
        <v>10</v>
      </c>
      <c r="AC975" s="19">
        <v>45646</v>
      </c>
      <c r="AD975" s="41"/>
      <c r="AE975" s="42"/>
      <c r="AF975" s="4">
        <f>AD298-H975-T975</f>
        <v>5846.975</v>
      </c>
      <c r="AG975" s="3"/>
      <c r="AH975" s="8"/>
      <c r="AI975" s="4">
        <f>(AE975+AF975)-AH975</f>
        <v>5846.975</v>
      </c>
      <c r="AJ975" s="4">
        <f>AI975+BP974</f>
        <v>-76220.7355</v>
      </c>
      <c r="AK975" s="8"/>
      <c r="AL975" s="8"/>
      <c r="AM975" s="47"/>
      <c r="AN975" s="47"/>
      <c r="AO975" s="8"/>
      <c r="AP975" s="8"/>
      <c r="AQ975" s="47"/>
      <c r="AR975" s="47"/>
      <c r="AS975" s="8"/>
      <c r="AT975" s="8"/>
      <c r="AU975" s="47"/>
      <c r="AV975" s="47"/>
      <c r="AW975" s="8"/>
      <c r="AX975" s="8"/>
      <c r="AY975" s="47"/>
      <c r="AZ975" s="47"/>
      <c r="BA975" s="8" t="s">
        <v>342</v>
      </c>
      <c r="BB975" s="8">
        <v>707.2</v>
      </c>
      <c r="BC975" s="47"/>
      <c r="BD975" s="47"/>
      <c r="BE975" s="8"/>
      <c r="BF975" s="8"/>
      <c r="BG975" s="47"/>
      <c r="BH975" s="47"/>
      <c r="BI975" s="8"/>
      <c r="BJ975" s="3"/>
      <c r="BK975" s="47"/>
      <c r="BL975" s="47"/>
      <c r="BM975" s="46"/>
      <c r="BN975" s="46"/>
      <c r="BO975" s="24">
        <f>AL975+AN975+AP975+AR975+AT975+AV975+AX975+AZ975+BB975+BD975+BF975+BH975+BJ975+BL975</f>
        <v>707.2</v>
      </c>
      <c r="BP975" s="28">
        <f>AJ975-BO975</f>
        <v>-76927.9355</v>
      </c>
      <c r="BQ975" s="2">
        <v>45646</v>
      </c>
    </row>
    <row r="976" spans="1:73" hidden="true">
      <c r="D976" s="9" t="s">
        <v>11</v>
      </c>
      <c r="E976" s="2">
        <v>45647</v>
      </c>
      <c r="F976" s="38"/>
      <c r="G976" s="51"/>
      <c r="H976" s="4">
        <f>F299*50%</f>
        <v>2637.65</v>
      </c>
      <c r="I976" s="120"/>
      <c r="J976" s="4">
        <f>(G976+H976)-I976</f>
        <v>2637.65</v>
      </c>
      <c r="K976" s="4">
        <f>J976+O975</f>
        <v>67646.315</v>
      </c>
      <c r="L976" s="3"/>
      <c r="M976" s="3"/>
      <c r="N976" s="33">
        <f>I976+M976</f>
        <v>0</v>
      </c>
      <c r="O976" s="28">
        <f>K976-M976</f>
        <v>67646.315</v>
      </c>
      <c r="P976" s="9" t="s">
        <v>11</v>
      </c>
      <c r="Q976" s="2">
        <v>45647</v>
      </c>
      <c r="R976" s="38"/>
      <c r="S976" s="52"/>
      <c r="T976" s="4">
        <f>R299*45%</f>
        <v>4523.4</v>
      </c>
      <c r="U976" s="5"/>
      <c r="V976" s="4">
        <f>(S976+T976)-U976</f>
        <v>4523.4</v>
      </c>
      <c r="W976" s="4">
        <f>V976+AA975</f>
        <v>32461.055</v>
      </c>
      <c r="X976" s="3" t="s">
        <v>369</v>
      </c>
      <c r="Y976" s="3">
        <v>10000</v>
      </c>
      <c r="Z976" s="25">
        <f>U976+Y976</f>
        <v>10000</v>
      </c>
      <c r="AA976" s="76">
        <f>W976-Y976</f>
        <v>22461.055</v>
      </c>
      <c r="AB976" s="9" t="s">
        <v>11</v>
      </c>
      <c r="AC976" s="19">
        <v>45647</v>
      </c>
      <c r="AD976" s="41"/>
      <c r="AE976" s="42"/>
      <c r="AF976" s="4">
        <f>AD299-H976-T976</f>
        <v>8166.25</v>
      </c>
      <c r="AG976" s="3"/>
      <c r="AH976" s="8"/>
      <c r="AI976" s="4">
        <f>(AE976+AF976)-AH976</f>
        <v>8166.25</v>
      </c>
      <c r="AJ976" s="4">
        <f>AI976+BP975</f>
        <v>-68761.6855</v>
      </c>
      <c r="AK976" s="8" t="s">
        <v>41</v>
      </c>
      <c r="AL976" s="8">
        <v>4498.78</v>
      </c>
      <c r="AM976" s="47"/>
      <c r="AN976" s="47"/>
      <c r="AO976" s="8"/>
      <c r="AP976" s="8"/>
      <c r="AQ976" s="47"/>
      <c r="AR976" s="47"/>
      <c r="AS976" s="8"/>
      <c r="AT976" s="8"/>
      <c r="AU976" s="47"/>
      <c r="AV976" s="47"/>
      <c r="AW976" s="8"/>
      <c r="AX976" s="8"/>
      <c r="AY976" s="47"/>
      <c r="AZ976" s="47"/>
      <c r="BA976" s="8" t="s">
        <v>342</v>
      </c>
      <c r="BB976" s="8">
        <v>508</v>
      </c>
      <c r="BC976" s="47"/>
      <c r="BD976" s="47"/>
      <c r="BE976" s="8"/>
      <c r="BF976" s="8"/>
      <c r="BG976" s="47"/>
      <c r="BH976" s="47"/>
      <c r="BI976" s="8"/>
      <c r="BJ976" s="3"/>
      <c r="BK976" s="47"/>
      <c r="BL976" s="47"/>
      <c r="BM976" s="46"/>
      <c r="BN976" s="46"/>
      <c r="BO976" s="24">
        <f>AL976+AN976+AP976+AR976+AT976+AV976+AX976+AZ976+BB976+BD976+BF976+BH976+BJ976+BL976</f>
        <v>5006.78</v>
      </c>
      <c r="BP976" s="28">
        <f>AJ976-BO976</f>
        <v>-73768.4655</v>
      </c>
      <c r="BQ976" s="2">
        <v>45647</v>
      </c>
    </row>
    <row r="977" spans="1:73" hidden="true">
      <c r="D977" s="9" t="s">
        <v>12</v>
      </c>
      <c r="E977" s="2">
        <v>45648</v>
      </c>
      <c r="F977" s="38"/>
      <c r="G977" s="51"/>
      <c r="H977" s="4">
        <f>F300*50%</f>
        <v>1590.1</v>
      </c>
      <c r="I977" s="120"/>
      <c r="J977" s="4">
        <f>(G977+H977)-I977</f>
        <v>1590.1</v>
      </c>
      <c r="K977" s="4">
        <f>J977+O976</f>
        <v>69236.415</v>
      </c>
      <c r="L977" s="3"/>
      <c r="M977" s="3"/>
      <c r="N977" s="33">
        <f>I977+M977</f>
        <v>0</v>
      </c>
      <c r="O977" s="28">
        <f>K977-M977</f>
        <v>69236.415</v>
      </c>
      <c r="P977" s="9" t="s">
        <v>12</v>
      </c>
      <c r="Q977" s="2">
        <v>45648</v>
      </c>
      <c r="R977" s="38"/>
      <c r="S977" s="52"/>
      <c r="T977" s="4">
        <f>R300*45%</f>
        <v>2925</v>
      </c>
      <c r="U977" s="5"/>
      <c r="V977" s="4">
        <f>(S977+T977)-U977</f>
        <v>2925</v>
      </c>
      <c r="W977" s="4">
        <f>V977+AA976</f>
        <v>25386.055</v>
      </c>
      <c r="X977" s="3"/>
      <c r="Y977" s="3"/>
      <c r="Z977" s="25">
        <f>U977+Y977</f>
        <v>0</v>
      </c>
      <c r="AA977" s="76">
        <f>W977-Y977</f>
        <v>25386.055</v>
      </c>
      <c r="AB977" s="9" t="s">
        <v>12</v>
      </c>
      <c r="AC977" s="19">
        <v>45648</v>
      </c>
      <c r="AD977" s="41"/>
      <c r="AE977" s="42"/>
      <c r="AF977" s="4">
        <f>AD300-H977-T977</f>
        <v>5165.1</v>
      </c>
      <c r="AG977" s="3"/>
      <c r="AH977" s="8"/>
      <c r="AI977" s="4">
        <f>(AE977+AF977)-AH977</f>
        <v>5165.1</v>
      </c>
      <c r="AJ977" s="4">
        <f>AI977+BP976</f>
        <v>-68603.3655</v>
      </c>
      <c r="AK977" s="8" t="s">
        <v>41</v>
      </c>
      <c r="AL977" s="8">
        <v>5238</v>
      </c>
      <c r="AM977" s="47"/>
      <c r="AN977" s="47"/>
      <c r="AO977" s="8"/>
      <c r="AP977" s="8"/>
      <c r="AQ977" s="47"/>
      <c r="AR977" s="47"/>
      <c r="AS977" s="8"/>
      <c r="AT977" s="8"/>
      <c r="AU977" s="47"/>
      <c r="AV977" s="47"/>
      <c r="AW977" s="8"/>
      <c r="AX977" s="8"/>
      <c r="AY977" s="47"/>
      <c r="AZ977" s="47"/>
      <c r="BA977" s="8" t="s">
        <v>342</v>
      </c>
      <c r="BB977" s="8">
        <v>606</v>
      </c>
      <c r="BC977" s="47"/>
      <c r="BD977" s="47"/>
      <c r="BE977" s="8"/>
      <c r="BF977" s="8"/>
      <c r="BG977" s="47" t="s">
        <v>98</v>
      </c>
      <c r="BH977" s="47">
        <v>2000</v>
      </c>
      <c r="BI977" s="8"/>
      <c r="BJ977" s="3"/>
      <c r="BK977" s="47"/>
      <c r="BL977" s="47"/>
      <c r="BM977" s="46"/>
      <c r="BN977" s="46"/>
      <c r="BO977" s="24">
        <f>AL977+AN977+AP977+AR977+AT977+AV977+AX977+AZ977+BB977+BD977+BF977+BH977+BJ977+BL977</f>
        <v>7844</v>
      </c>
      <c r="BP977" s="28">
        <f>AJ977-BO977</f>
        <v>-76447.3655</v>
      </c>
      <c r="BQ977" s="2">
        <v>45648</v>
      </c>
    </row>
    <row r="978" spans="1:73" hidden="true">
      <c r="D978" s="9" t="s">
        <v>13</v>
      </c>
      <c r="E978" s="2">
        <v>45649</v>
      </c>
      <c r="F978" s="38"/>
      <c r="G978" s="51"/>
      <c r="H978" s="4">
        <f>F301*50%</f>
        <v>1439.575</v>
      </c>
      <c r="I978" s="120">
        <f>1975+1567</f>
        <v>3542</v>
      </c>
      <c r="J978" s="4">
        <f>(G978+H978)-I978</f>
        <v>-2102.425</v>
      </c>
      <c r="K978" s="4">
        <f>J978+O977</f>
        <v>67133.99</v>
      </c>
      <c r="L978" s="3"/>
      <c r="M978" s="3"/>
      <c r="N978" s="33">
        <f>I978+M978</f>
        <v>3542</v>
      </c>
      <c r="O978" s="28">
        <f>K978-M978</f>
        <v>67133.99</v>
      </c>
      <c r="P978" s="9" t="s">
        <v>13</v>
      </c>
      <c r="Q978" s="2">
        <v>45649</v>
      </c>
      <c r="R978" s="38"/>
      <c r="S978" s="52"/>
      <c r="T978" s="4">
        <f>R301*45%</f>
        <v>2935.35</v>
      </c>
      <c r="U978" s="5">
        <v>718</v>
      </c>
      <c r="V978" s="4">
        <f>(S978+T978)-U978</f>
        <v>2217.35</v>
      </c>
      <c r="W978" s="4">
        <f>V978+AA977</f>
        <v>27603.405</v>
      </c>
      <c r="X978" s="3"/>
      <c r="Y978" s="3"/>
      <c r="Z978" s="25">
        <f>U978+Y978</f>
        <v>718</v>
      </c>
      <c r="AA978" s="76">
        <f>W978-Y978</f>
        <v>27603.405</v>
      </c>
      <c r="AB978" s="9" t="s">
        <v>13</v>
      </c>
      <c r="AC978" s="19">
        <v>45649</v>
      </c>
      <c r="AD978" s="41"/>
      <c r="AE978" s="42"/>
      <c r="AF978" s="4">
        <f>AD301-H978-T978</f>
        <v>5027.225</v>
      </c>
      <c r="AG978" s="3"/>
      <c r="AH978" s="8"/>
      <c r="AI978" s="4">
        <f>(AE978+AF978)-AH978</f>
        <v>5027.225</v>
      </c>
      <c r="AJ978" s="4">
        <f>AI978+BP977</f>
        <v>-71420.1405</v>
      </c>
      <c r="AK978" s="8" t="s">
        <v>370</v>
      </c>
      <c r="AL978" s="8">
        <f>7500+2225</f>
        <v>9725</v>
      </c>
      <c r="AM978" s="47"/>
      <c r="AN978" s="47"/>
      <c r="AO978" s="8"/>
      <c r="AP978" s="8"/>
      <c r="AQ978" s="47"/>
      <c r="AR978" s="47"/>
      <c r="AS978" s="8"/>
      <c r="AT978" s="8"/>
      <c r="AU978" s="47"/>
      <c r="AV978" s="47"/>
      <c r="AW978" s="8"/>
      <c r="AX978" s="8"/>
      <c r="AY978" s="47"/>
      <c r="AZ978" s="47"/>
      <c r="BA978" s="8" t="s">
        <v>342</v>
      </c>
      <c r="BB978" s="8">
        <v>756.6</v>
      </c>
      <c r="BC978" s="47"/>
      <c r="BD978" s="47"/>
      <c r="BE978" s="8"/>
      <c r="BF978" s="8"/>
      <c r="BG978" s="47" t="s">
        <v>98</v>
      </c>
      <c r="BH978" s="47">
        <v>1000</v>
      </c>
      <c r="BI978" s="8"/>
      <c r="BJ978" s="3"/>
      <c r="BK978" s="47"/>
      <c r="BL978" s="47"/>
      <c r="BM978" s="46"/>
      <c r="BN978" s="46"/>
      <c r="BO978" s="24">
        <f>AL978+AN978+AP978+AR978+AT978+AV978+AX978+AZ978+BB978+BD978+BF978+BH978+BJ978+BL978</f>
        <v>11481.6</v>
      </c>
      <c r="BP978" s="28">
        <f>AJ978-BO978</f>
        <v>-82901.7405</v>
      </c>
      <c r="BQ978" s="2">
        <v>45649</v>
      </c>
    </row>
    <row r="979" spans="1:73" hidden="true">
      <c r="D979" s="9" t="s">
        <v>14</v>
      </c>
      <c r="E979" s="2">
        <v>45650</v>
      </c>
      <c r="F979" s="38"/>
      <c r="G979" s="51"/>
      <c r="H979" s="4">
        <f>F302*50%</f>
        <v>1654.125</v>
      </c>
      <c r="I979" s="120">
        <v>1503</v>
      </c>
      <c r="J979" s="4">
        <f>(G979+H979)-I979</f>
        <v>151.125</v>
      </c>
      <c r="K979" s="4">
        <f>J979+O978</f>
        <v>67285.115</v>
      </c>
      <c r="L979" s="3"/>
      <c r="M979" s="3"/>
      <c r="N979" s="33">
        <f>I979+M979</f>
        <v>1503</v>
      </c>
      <c r="O979" s="28">
        <f>K979-M979</f>
        <v>67285.115</v>
      </c>
      <c r="P979" s="9" t="s">
        <v>14</v>
      </c>
      <c r="Q979" s="2">
        <v>45650</v>
      </c>
      <c r="R979" s="38"/>
      <c r="S979" s="52"/>
      <c r="T979" s="4">
        <f>R302*45%</f>
        <v>4520.25</v>
      </c>
      <c r="U979" s="5">
        <v>436</v>
      </c>
      <c r="V979" s="4">
        <f>(S979+T979)-U979</f>
        <v>4084.25</v>
      </c>
      <c r="W979" s="4">
        <f>V979+AA978</f>
        <v>31687.655</v>
      </c>
      <c r="X979" s="3"/>
      <c r="Y979" s="3"/>
      <c r="Z979" s="25">
        <f>U979+Y979</f>
        <v>436</v>
      </c>
      <c r="AA979" s="76">
        <f>W979-Y979</f>
        <v>31687.655</v>
      </c>
      <c r="AB979" s="9" t="s">
        <v>14</v>
      </c>
      <c r="AC979" s="19">
        <v>45650</v>
      </c>
      <c r="AD979" s="41"/>
      <c r="AE979" s="42"/>
      <c r="AF979" s="4">
        <f>AD302-H979-T979</f>
        <v>7178.875</v>
      </c>
      <c r="AG979" s="3"/>
      <c r="AH979" s="8"/>
      <c r="AI979" s="4">
        <f>(AE979+AF979)-AH979</f>
        <v>7178.875</v>
      </c>
      <c r="AJ979" s="4">
        <f>AI979+BP978</f>
        <v>-75722.8655</v>
      </c>
      <c r="AK979" s="8" t="s">
        <v>41</v>
      </c>
      <c r="AL979" s="8">
        <v>4000</v>
      </c>
      <c r="AM979" s="47"/>
      <c r="AN979" s="47"/>
      <c r="AO979" s="8"/>
      <c r="AP979" s="8"/>
      <c r="AQ979" s="47"/>
      <c r="AR979" s="47"/>
      <c r="AS979" s="8"/>
      <c r="AT979" s="8"/>
      <c r="AU979" s="47"/>
      <c r="AV979" s="47"/>
      <c r="AW979" s="8"/>
      <c r="AX979" s="8"/>
      <c r="AY979" s="47"/>
      <c r="AZ979" s="47"/>
      <c r="BA979" s="8" t="s">
        <v>371</v>
      </c>
      <c r="BB979" s="8">
        <f>488+2000</f>
        <v>2488</v>
      </c>
      <c r="BC979" s="47"/>
      <c r="BD979" s="47"/>
      <c r="BE979" s="8"/>
      <c r="BF979" s="8"/>
      <c r="BG979" s="47" t="s">
        <v>98</v>
      </c>
      <c r="BH979" s="47">
        <v>1000</v>
      </c>
      <c r="BI979" s="8"/>
      <c r="BJ979" s="3"/>
      <c r="BK979" s="47"/>
      <c r="BL979" s="47"/>
      <c r="BM979" s="46"/>
      <c r="BN979" s="46"/>
      <c r="BO979" s="24">
        <f>AL979+AN979+AP979+AR979+AT979+AV979+AX979+AZ979+BB979+BD979+BF979+BH979+BJ979+BL979</f>
        <v>7488</v>
      </c>
      <c r="BP979" s="28">
        <f>AJ979-BO979</f>
        <v>-83210.8655</v>
      </c>
      <c r="BQ979" s="2">
        <v>45650</v>
      </c>
    </row>
    <row r="980" spans="1:73" hidden="true">
      <c r="D980" s="9" t="s">
        <v>15</v>
      </c>
      <c r="E980" s="2">
        <v>45651</v>
      </c>
      <c r="F980" s="38"/>
      <c r="G980" s="51"/>
      <c r="H980" s="4">
        <f>F303*50%</f>
        <v>2235.075</v>
      </c>
      <c r="I980" s="120"/>
      <c r="J980" s="4">
        <f>(G980+H980)-I980</f>
        <v>2235.075</v>
      </c>
      <c r="K980" s="4">
        <f>J980+O979</f>
        <v>69520.19</v>
      </c>
      <c r="L980" s="3"/>
      <c r="M980" s="3"/>
      <c r="N980" s="33">
        <f>I980+M980</f>
        <v>0</v>
      </c>
      <c r="O980" s="28">
        <f>K980-M980</f>
        <v>69520.19</v>
      </c>
      <c r="P980" s="9" t="s">
        <v>15</v>
      </c>
      <c r="Q980" s="2">
        <v>45651</v>
      </c>
      <c r="R980" s="38"/>
      <c r="S980" s="52"/>
      <c r="T980" s="4">
        <f>R303*45%</f>
        <v>4558.5</v>
      </c>
      <c r="U980" s="5"/>
      <c r="V980" s="4">
        <f>(S980+T980)-U980</f>
        <v>4558.5</v>
      </c>
      <c r="W980" s="4">
        <f>V980+AA979</f>
        <v>36246.155</v>
      </c>
      <c r="X980" s="3"/>
      <c r="Y980" s="3"/>
      <c r="Z980" s="25">
        <f>U980+Y980</f>
        <v>0</v>
      </c>
      <c r="AA980" s="76">
        <f>W980-Y980</f>
        <v>36246.155</v>
      </c>
      <c r="AB980" s="9" t="s">
        <v>15</v>
      </c>
      <c r="AC980" s="19">
        <v>45651</v>
      </c>
      <c r="AD980" s="41"/>
      <c r="AE980" s="42"/>
      <c r="AF980" s="4">
        <f>AD303-H980-T980</f>
        <v>7806.575</v>
      </c>
      <c r="AG980" s="3"/>
      <c r="AH980" s="8"/>
      <c r="AI980" s="4">
        <f>(AE980+AF980)-AH980</f>
        <v>7806.575</v>
      </c>
      <c r="AJ980" s="4">
        <f>AI980+BP979</f>
        <v>-75404.2905</v>
      </c>
      <c r="AK980" s="8"/>
      <c r="AL980" s="8"/>
      <c r="AM980" s="47"/>
      <c r="AN980" s="47"/>
      <c r="AO980" s="8"/>
      <c r="AP980" s="8"/>
      <c r="AQ980" s="47"/>
      <c r="AR980" s="47"/>
      <c r="AS980" s="8"/>
      <c r="AT980" s="8"/>
      <c r="AU980" s="47"/>
      <c r="AV980" s="47"/>
      <c r="AW980" s="8"/>
      <c r="AX980" s="8"/>
      <c r="AY980" s="47"/>
      <c r="AZ980" s="47"/>
      <c r="BA980" s="8" t="s">
        <v>341</v>
      </c>
      <c r="BB980" s="8">
        <v>726</v>
      </c>
      <c r="BC980" s="47"/>
      <c r="BD980" s="47"/>
      <c r="BE980" s="8"/>
      <c r="BF980" s="8"/>
      <c r="BG980" s="47" t="s">
        <v>372</v>
      </c>
      <c r="BH980" s="47">
        <f>1000+4821.06</f>
        <v>5821.06</v>
      </c>
      <c r="BI980" s="8"/>
      <c r="BJ980" s="3"/>
      <c r="BK980" s="47"/>
      <c r="BL980" s="47"/>
      <c r="BM980" s="46"/>
      <c r="BN980" s="46"/>
      <c r="BO980" s="24">
        <f>AL980+AN980+AP980+AR980+AT980+AV980+AX980+AZ980+BB980+BD980+BF980+BH980+BJ980+BL980</f>
        <v>6547.06</v>
      </c>
      <c r="BP980" s="28">
        <f>AJ980-BO980</f>
        <v>-81951.3505</v>
      </c>
      <c r="BQ980" s="2">
        <v>45651</v>
      </c>
    </row>
    <row r="981" spans="1:73" hidden="true">
      <c r="D981" s="9" t="s">
        <v>16</v>
      </c>
      <c r="E981" s="2">
        <v>45652</v>
      </c>
      <c r="F981" s="38"/>
      <c r="G981" s="51"/>
      <c r="H981" s="4">
        <f>F304*50%</f>
        <v>1920.4</v>
      </c>
      <c r="I981" s="120"/>
      <c r="J981" s="4">
        <f>(G981+H981)-I981</f>
        <v>1920.4</v>
      </c>
      <c r="K981" s="4">
        <f>J981+O980</f>
        <v>71440.59</v>
      </c>
      <c r="L981" s="3"/>
      <c r="M981" s="3"/>
      <c r="N981" s="33">
        <f>I981+M981</f>
        <v>0</v>
      </c>
      <c r="O981" s="28">
        <f>K981-M981</f>
        <v>71440.59</v>
      </c>
      <c r="P981" s="9" t="s">
        <v>16</v>
      </c>
      <c r="Q981" s="2">
        <v>45652</v>
      </c>
      <c r="R981" s="38"/>
      <c r="S981" s="52"/>
      <c r="T981" s="4">
        <f>R304*45%</f>
        <v>3520.35</v>
      </c>
      <c r="U981" s="5"/>
      <c r="V981" s="4">
        <f>(S981+T981)-U981</f>
        <v>3520.35</v>
      </c>
      <c r="W981" s="4">
        <f>V981+AA980</f>
        <v>39766.505</v>
      </c>
      <c r="X981" s="3" t="s">
        <v>373</v>
      </c>
      <c r="Y981" s="3">
        <v>20000</v>
      </c>
      <c r="Z981" s="25">
        <f>U981+Y981</f>
        <v>20000</v>
      </c>
      <c r="AA981" s="76">
        <f>W981-Y981</f>
        <v>19766.505</v>
      </c>
      <c r="AB981" s="9" t="s">
        <v>16</v>
      </c>
      <c r="AC981" s="19">
        <v>45652</v>
      </c>
      <c r="AD981" s="41"/>
      <c r="AE981" s="42"/>
      <c r="AF981" s="4">
        <f>AD304-H981-T981</f>
        <v>6223.05</v>
      </c>
      <c r="AG981" s="3"/>
      <c r="AH981" s="8"/>
      <c r="AI981" s="4">
        <f>(AE981+AF981)-AH981</f>
        <v>6223.05</v>
      </c>
      <c r="AJ981" s="4">
        <f>AI981+BP980</f>
        <v>-75728.3005</v>
      </c>
      <c r="AK981" s="8"/>
      <c r="AL981" s="8"/>
      <c r="AM981" s="47"/>
      <c r="AN981" s="47"/>
      <c r="AO981" s="8"/>
      <c r="AP981" s="8"/>
      <c r="AQ981" s="47"/>
      <c r="AR981" s="47"/>
      <c r="AS981" s="8"/>
      <c r="AT981" s="8"/>
      <c r="AU981" s="47"/>
      <c r="AV981" s="47"/>
      <c r="AW981" s="8"/>
      <c r="AX981" s="8"/>
      <c r="AY981" s="47"/>
      <c r="AZ981" s="47"/>
      <c r="BA981" s="8" t="s">
        <v>341</v>
      </c>
      <c r="BB981" s="8">
        <v>458</v>
      </c>
      <c r="BC981" s="47"/>
      <c r="BD981" s="47"/>
      <c r="BE981" s="8"/>
      <c r="BF981" s="8"/>
      <c r="BG981" s="47" t="s">
        <v>98</v>
      </c>
      <c r="BH981" s="47">
        <v>1000</v>
      </c>
      <c r="BI981" s="8"/>
      <c r="BJ981" s="3"/>
      <c r="BK981" s="47"/>
      <c r="BL981" s="47"/>
      <c r="BM981" s="46"/>
      <c r="BN981" s="46"/>
      <c r="BO981" s="24">
        <f>AL981+AN981+AP981+AR981+AT981+AV981+AX981+AZ981+BB981+BD981+BF981+BH981+BJ981+BL981</f>
        <v>1458</v>
      </c>
      <c r="BP981" s="28">
        <f>AJ981-BO981</f>
        <v>-77186.3005</v>
      </c>
      <c r="BQ981" s="2">
        <v>45652</v>
      </c>
    </row>
    <row r="982" spans="1:73" hidden="true">
      <c r="D982" s="9" t="s">
        <v>10</v>
      </c>
      <c r="E982" s="2">
        <v>45653</v>
      </c>
      <c r="F982" s="38"/>
      <c r="G982" s="51"/>
      <c r="H982" s="4">
        <f>F305*50%</f>
        <v>2103.9</v>
      </c>
      <c r="I982" s="120">
        <v>1510</v>
      </c>
      <c r="J982" s="4">
        <f>(G982+H982)-I982</f>
        <v>593.9</v>
      </c>
      <c r="K982" s="4">
        <f>J982+O981</f>
        <v>72034.49</v>
      </c>
      <c r="L982" s="3"/>
      <c r="M982" s="3"/>
      <c r="N982" s="33">
        <f>I982+M982</f>
        <v>1510</v>
      </c>
      <c r="O982" s="28">
        <f>K982-M982</f>
        <v>72034.49</v>
      </c>
      <c r="P982" s="9" t="s">
        <v>10</v>
      </c>
      <c r="Q982" s="2">
        <v>45653</v>
      </c>
      <c r="R982" s="38"/>
      <c r="S982" s="52"/>
      <c r="T982" s="4">
        <f>R305*45%</f>
        <v>4112.55</v>
      </c>
      <c r="U982" s="5"/>
      <c r="V982" s="4">
        <f>(S982+T982)-U982</f>
        <v>4112.55</v>
      </c>
      <c r="W982" s="4">
        <f>V982+AA981</f>
        <v>23879.055</v>
      </c>
      <c r="X982" s="3"/>
      <c r="Y982" s="3"/>
      <c r="Z982" s="25">
        <f>U982+Y982</f>
        <v>0</v>
      </c>
      <c r="AA982" s="76">
        <f>W982-Y982</f>
        <v>23879.055</v>
      </c>
      <c r="AB982" s="9" t="s">
        <v>10</v>
      </c>
      <c r="AC982" s="19">
        <v>45653</v>
      </c>
      <c r="AD982" s="41"/>
      <c r="AE982" s="42"/>
      <c r="AF982" s="4">
        <f>AD305-H982-T982</f>
        <v>7130.35</v>
      </c>
      <c r="AG982" s="3"/>
      <c r="AH982" s="8"/>
      <c r="AI982" s="4">
        <f>(AE982+AF982)-AH982</f>
        <v>7130.35</v>
      </c>
      <c r="AJ982" s="4">
        <f>AI982+BP981</f>
        <v>-70055.9505</v>
      </c>
      <c r="AK982" s="8" t="s">
        <v>374</v>
      </c>
      <c r="AL982" s="8">
        <v>100</v>
      </c>
      <c r="AM982" s="47" t="s">
        <v>357</v>
      </c>
      <c r="AN982" s="47">
        <v>20000</v>
      </c>
      <c r="AO982" s="8"/>
      <c r="AP982" s="8"/>
      <c r="AQ982" s="47"/>
      <c r="AR982" s="47"/>
      <c r="AS982" s="8"/>
      <c r="AT982" s="8"/>
      <c r="AU982" s="47"/>
      <c r="AV982" s="47"/>
      <c r="AW982" s="8"/>
      <c r="AX982" s="8"/>
      <c r="AY982" s="47"/>
      <c r="AZ982" s="47"/>
      <c r="BA982" s="8" t="s">
        <v>341</v>
      </c>
      <c r="BB982" s="8">
        <v>668</v>
      </c>
      <c r="BC982" s="47"/>
      <c r="BD982" s="47"/>
      <c r="BE982" s="8"/>
      <c r="BF982" s="8"/>
      <c r="BG982" s="47" t="s">
        <v>98</v>
      </c>
      <c r="BH982" s="47">
        <v>1000</v>
      </c>
      <c r="BI982" s="8"/>
      <c r="BJ982" s="3"/>
      <c r="BK982" s="47"/>
      <c r="BL982" s="47"/>
      <c r="BM982" s="46"/>
      <c r="BN982" s="46"/>
      <c r="BO982" s="24">
        <f>AL982+AN982+AP982+AR982+AT982+AV982+AX982+AZ982+BB982+BD982+BF982+BH982+BJ982+BL982</f>
        <v>21768</v>
      </c>
      <c r="BP982" s="28">
        <f>AJ982-BO982</f>
        <v>-91823.9505</v>
      </c>
      <c r="BQ982" s="2">
        <v>45653</v>
      </c>
    </row>
    <row r="983" spans="1:73" hidden="true">
      <c r="D983" s="9" t="s">
        <v>11</v>
      </c>
      <c r="E983" s="2">
        <v>45654</v>
      </c>
      <c r="F983" s="38"/>
      <c r="G983" s="51"/>
      <c r="H983" s="4">
        <f>F306*50%</f>
        <v>2000.6</v>
      </c>
      <c r="I983" s="120"/>
      <c r="J983" s="4">
        <f>(G983+H983)-I983</f>
        <v>2000.6</v>
      </c>
      <c r="K983" s="4">
        <f>J983+O982</f>
        <v>74035.09</v>
      </c>
      <c r="L983" s="3"/>
      <c r="M983" s="3"/>
      <c r="N983" s="33">
        <f>I983+M983</f>
        <v>0</v>
      </c>
      <c r="O983" s="28">
        <f>K983-M983</f>
        <v>74035.09</v>
      </c>
      <c r="P983" s="9" t="s">
        <v>11</v>
      </c>
      <c r="Q983" s="2">
        <v>45654</v>
      </c>
      <c r="R983" s="38"/>
      <c r="S983" s="52"/>
      <c r="T983" s="4">
        <f>R306*45%</f>
        <v>5346</v>
      </c>
      <c r="U983" s="5">
        <v>1197</v>
      </c>
      <c r="V983" s="4">
        <f>(S983+T983)-U983</f>
        <v>4149</v>
      </c>
      <c r="W983" s="4">
        <f>V983+AA982</f>
        <v>28028.055</v>
      </c>
      <c r="X983" s="3" t="s">
        <v>369</v>
      </c>
      <c r="Y983" s="3">
        <v>9000</v>
      </c>
      <c r="Z983" s="25">
        <f>U983+Y983</f>
        <v>10197</v>
      </c>
      <c r="AA983" s="76">
        <f>W983-Y983</f>
        <v>19028.055</v>
      </c>
      <c r="AB983" s="9" t="s">
        <v>11</v>
      </c>
      <c r="AC983" s="19">
        <v>45654</v>
      </c>
      <c r="AD983" s="41"/>
      <c r="AE983" s="42"/>
      <c r="AF983" s="4">
        <f>AD306-H983-T983</f>
        <v>8534.6</v>
      </c>
      <c r="AG983" s="3"/>
      <c r="AH983" s="8"/>
      <c r="AI983" s="4">
        <f>(AE983+AF983)-AH983</f>
        <v>8534.6</v>
      </c>
      <c r="AJ983" s="4">
        <f>AI983+BP982</f>
        <v>-83289.3505</v>
      </c>
      <c r="AK983" s="8"/>
      <c r="AL983" s="8"/>
      <c r="AM983" s="47"/>
      <c r="AN983" s="47"/>
      <c r="AO983" s="8"/>
      <c r="AP983" s="8"/>
      <c r="AQ983" s="47"/>
      <c r="AR983" s="47"/>
      <c r="AS983" s="8"/>
      <c r="AT983" s="8"/>
      <c r="AU983" s="47"/>
      <c r="AV983" s="47"/>
      <c r="AW983" s="8"/>
      <c r="AX983" s="8"/>
      <c r="AY983" s="47"/>
      <c r="AZ983" s="47"/>
      <c r="BA983" s="8" t="s">
        <v>341</v>
      </c>
      <c r="BB983" s="8">
        <v>750</v>
      </c>
      <c r="BC983" s="47"/>
      <c r="BD983" s="47"/>
      <c r="BE983" s="8"/>
      <c r="BF983" s="8"/>
      <c r="BG983" s="47" t="s">
        <v>98</v>
      </c>
      <c r="BH983" s="47">
        <v>1000</v>
      </c>
      <c r="BI983" s="8"/>
      <c r="BJ983" s="3"/>
      <c r="BK983" s="47"/>
      <c r="BL983" s="47"/>
      <c r="BM983" s="46"/>
      <c r="BN983" s="46"/>
      <c r="BO983" s="24">
        <f>AL983+AN983+AP983+AR983+AT983+AV983+AX983+AZ983+BB983+BD983+BF983+BH983+BJ983+BL983</f>
        <v>1750</v>
      </c>
      <c r="BP983" s="28">
        <f>AJ983-BO983</f>
        <v>-85039.3505</v>
      </c>
      <c r="BQ983" s="2">
        <v>45654</v>
      </c>
    </row>
    <row r="984" spans="1:73" hidden="true">
      <c r="D984" s="9" t="s">
        <v>12</v>
      </c>
      <c r="E984" s="2">
        <v>45655</v>
      </c>
      <c r="F984" s="38"/>
      <c r="G984" s="51"/>
      <c r="H984" s="4">
        <f>F307*50%</f>
        <v>1860.125</v>
      </c>
      <c r="I984" s="120"/>
      <c r="J984" s="4">
        <f>(G984+H984)-I984</f>
        <v>1860.125</v>
      </c>
      <c r="K984" s="4">
        <f>J984+O983</f>
        <v>75895.215</v>
      </c>
      <c r="L984" s="3"/>
      <c r="M984" s="3"/>
      <c r="N984" s="33">
        <f>I984+M984</f>
        <v>0</v>
      </c>
      <c r="O984" s="28">
        <f>K984-M984</f>
        <v>75895.215</v>
      </c>
      <c r="P984" s="9" t="s">
        <v>12</v>
      </c>
      <c r="Q984" s="2">
        <v>45655</v>
      </c>
      <c r="R984" s="38"/>
      <c r="S984" s="52"/>
      <c r="T984" s="4">
        <f>R307*45%</f>
        <v>5464.35</v>
      </c>
      <c r="U984" s="5"/>
      <c r="V984" s="4">
        <f>(S984+T984)-U984</f>
        <v>5464.35</v>
      </c>
      <c r="W984" s="4">
        <f>V984+AA983</f>
        <v>24492.405</v>
      </c>
      <c r="X984" s="3"/>
      <c r="Y984" s="3"/>
      <c r="Z984" s="25">
        <f>U984+Y984</f>
        <v>0</v>
      </c>
      <c r="AA984" s="76">
        <f>W984-Y984</f>
        <v>24492.405</v>
      </c>
      <c r="AB984" s="9" t="s">
        <v>12</v>
      </c>
      <c r="AC984" s="19">
        <v>45655</v>
      </c>
      <c r="AD984" s="41"/>
      <c r="AE984" s="42"/>
      <c r="AF984" s="4">
        <f>AD307-H984-T984</f>
        <v>8538.775</v>
      </c>
      <c r="AG984" s="3"/>
      <c r="AH984" s="8"/>
      <c r="AI984" s="4">
        <f>(AE984+AF984)-AH984</f>
        <v>8538.775</v>
      </c>
      <c r="AJ984" s="4">
        <f>AI984+BP983</f>
        <v>-76500.5755</v>
      </c>
      <c r="AK984" s="8" t="s">
        <v>375</v>
      </c>
      <c r="AL984" s="8">
        <v>4560</v>
      </c>
      <c r="AM984" s="47" t="s">
        <v>376</v>
      </c>
      <c r="AN984" s="47">
        <v>16000</v>
      </c>
      <c r="AO984" s="8"/>
      <c r="AP984" s="8"/>
      <c r="AQ984" s="47"/>
      <c r="AR984" s="47"/>
      <c r="AS984" s="8"/>
      <c r="AT984" s="8"/>
      <c r="AU984" s="47"/>
      <c r="AV984" s="47"/>
      <c r="AW984" s="8"/>
      <c r="AX984" s="8"/>
      <c r="AY984" s="47"/>
      <c r="AZ984" s="47"/>
      <c r="BA984" s="8" t="s">
        <v>341</v>
      </c>
      <c r="BB984" s="8">
        <v>476</v>
      </c>
      <c r="BC984" s="47"/>
      <c r="BD984" s="47"/>
      <c r="BE984" s="8"/>
      <c r="BF984" s="8"/>
      <c r="BG984" s="47" t="s">
        <v>98</v>
      </c>
      <c r="BH984" s="47">
        <v>1000</v>
      </c>
      <c r="BI984" s="8"/>
      <c r="BJ984" s="3"/>
      <c r="BK984" s="47"/>
      <c r="BL984" s="47"/>
      <c r="BM984" s="46"/>
      <c r="BN984" s="46"/>
      <c r="BO984" s="24">
        <f>AL984+AN984+AP984+AR984+AT984+AV984+AX984+AZ984+BB984+BD984+BF984+BH984+BJ984+BL984</f>
        <v>22036</v>
      </c>
      <c r="BP984" s="28">
        <f>AJ984-BO984</f>
        <v>-98536.5755</v>
      </c>
      <c r="BQ984" s="2">
        <v>45655</v>
      </c>
    </row>
    <row r="985" spans="1:73" hidden="true">
      <c r="D985" s="9" t="s">
        <v>13</v>
      </c>
      <c r="E985" s="2">
        <v>45656</v>
      </c>
      <c r="F985" s="38"/>
      <c r="G985" s="51"/>
      <c r="H985" s="4">
        <f>F308*50%</f>
        <v>1855.825</v>
      </c>
      <c r="I985" s="120">
        <v>1212.5</v>
      </c>
      <c r="J985" s="4">
        <f>(G985+H985)-I985</f>
        <v>643.325</v>
      </c>
      <c r="K985" s="4">
        <f>J985+O984</f>
        <v>76538.54</v>
      </c>
      <c r="L985" s="3"/>
      <c r="M985" s="3"/>
      <c r="N985" s="33">
        <f>I985+M985</f>
        <v>1212.5</v>
      </c>
      <c r="O985" s="28">
        <f>K985-M985</f>
        <v>76538.54</v>
      </c>
      <c r="P985" s="9" t="s">
        <v>13</v>
      </c>
      <c r="Q985" s="2">
        <v>45656</v>
      </c>
      <c r="R985" s="38"/>
      <c r="S985" s="52"/>
      <c r="T985" s="4">
        <f>R308*45%</f>
        <v>7893.9</v>
      </c>
      <c r="U985" s="5">
        <v>1813</v>
      </c>
      <c r="V985" s="4">
        <f>(S985+T985)-U985</f>
        <v>6080.9</v>
      </c>
      <c r="W985" s="4">
        <f>V985+AA984</f>
        <v>30573.305</v>
      </c>
      <c r="X985" s="3" t="s">
        <v>369</v>
      </c>
      <c r="Y985" s="3">
        <v>4000</v>
      </c>
      <c r="Z985" s="25">
        <f>U985+Y985</f>
        <v>5813</v>
      </c>
      <c r="AA985" s="76">
        <f>W985-Y985</f>
        <v>26573.305</v>
      </c>
      <c r="AB985" s="9" t="s">
        <v>13</v>
      </c>
      <c r="AC985" s="19">
        <v>45656</v>
      </c>
      <c r="AD985" s="41"/>
      <c r="AE985" s="42"/>
      <c r="AF985" s="4">
        <f>AD308-H985-T985</f>
        <v>11503.925</v>
      </c>
      <c r="AG985" s="3"/>
      <c r="AH985" s="8"/>
      <c r="AI985" s="4">
        <f>(AE985+AF985)-AH985</f>
        <v>11503.925</v>
      </c>
      <c r="AJ985" s="4">
        <f>AI985+BP984</f>
        <v>-87032.6505</v>
      </c>
      <c r="AK985" s="8"/>
      <c r="AL985" s="8"/>
      <c r="AM985" s="47"/>
      <c r="AN985" s="47"/>
      <c r="AO985" s="8"/>
      <c r="AP985" s="8"/>
      <c r="AQ985" s="47" t="s">
        <v>344</v>
      </c>
      <c r="AR985" s="47">
        <v>237.2</v>
      </c>
      <c r="AS985" s="8"/>
      <c r="AT985" s="8"/>
      <c r="AU985" s="47"/>
      <c r="AV985" s="47"/>
      <c r="AW985" s="8"/>
      <c r="AX985" s="8"/>
      <c r="AY985" s="47"/>
      <c r="AZ985" s="47"/>
      <c r="BA985" s="8" t="s">
        <v>341</v>
      </c>
      <c r="BB985" s="8">
        <v>1071</v>
      </c>
      <c r="BC985" s="47"/>
      <c r="BD985" s="47"/>
      <c r="BE985" s="8" t="s">
        <v>377</v>
      </c>
      <c r="BF985" s="8">
        <f>4000+236</f>
        <v>4236</v>
      </c>
      <c r="BG985" s="47" t="s">
        <v>372</v>
      </c>
      <c r="BH985" s="47">
        <f>1000+29096.5</f>
        <v>30096.5</v>
      </c>
      <c r="BI985" s="8"/>
      <c r="BJ985" s="3"/>
      <c r="BK985" s="47"/>
      <c r="BL985" s="47"/>
      <c r="BM985" s="46"/>
      <c r="BN985" s="46"/>
      <c r="BO985" s="24">
        <f>AL985+AN985+AP985+AR985+AT985+AV985+AX985+AZ985+BB985+BD985+BF985+BH985+BJ985+BL985</f>
        <v>35640.7</v>
      </c>
      <c r="BP985" s="28">
        <f>AJ985-BO985</f>
        <v>-122673.3505</v>
      </c>
      <c r="BQ985" s="2">
        <v>45656</v>
      </c>
    </row>
    <row r="986" spans="1:73" hidden="true" s="100" customFormat="1">
      <c r="D986" s="100" t="s">
        <v>14</v>
      </c>
      <c r="E986" s="101">
        <v>45657</v>
      </c>
      <c r="F986" s="101"/>
      <c r="G986" s="102"/>
      <c r="H986" s="103">
        <f>F309*50%</f>
        <v>1362.625</v>
      </c>
      <c r="I986" s="122"/>
      <c r="J986" s="103">
        <f>(G986+H986)-I986</f>
        <v>1362.625</v>
      </c>
      <c r="K986" s="103">
        <f>J986+O985</f>
        <v>77901.165</v>
      </c>
      <c r="L986" s="103"/>
      <c r="M986" s="103"/>
      <c r="N986" s="105">
        <f>I986+M986</f>
        <v>0</v>
      </c>
      <c r="O986" s="103">
        <f>K986-M986</f>
        <v>77901.165</v>
      </c>
      <c r="P986" s="100" t="s">
        <v>14</v>
      </c>
      <c r="Q986" s="101">
        <v>45657</v>
      </c>
      <c r="R986" s="101"/>
      <c r="S986" s="106"/>
      <c r="T986" s="103">
        <f>R309*45%</f>
        <v>4394.25</v>
      </c>
      <c r="U986" s="104"/>
      <c r="V986" s="103">
        <f>(S986+T986)-U986</f>
        <v>4394.25</v>
      </c>
      <c r="W986" s="103">
        <f>V986+AA985</f>
        <v>30967.555</v>
      </c>
      <c r="X986" s="103"/>
      <c r="Y986" s="103"/>
      <c r="Z986" s="105">
        <f>U986+Y986</f>
        <v>0</v>
      </c>
      <c r="AA986" s="106">
        <f>W986-Y986</f>
        <v>30967.555</v>
      </c>
      <c r="AB986" s="100" t="s">
        <v>14</v>
      </c>
      <c r="AC986" s="107">
        <v>45657</v>
      </c>
      <c r="AD986" s="108" t="s">
        <v>378</v>
      </c>
      <c r="AE986" s="42">
        <f>46854+50000</f>
        <v>96854</v>
      </c>
      <c r="AF986" s="103">
        <f>AD309-H986-T986</f>
        <v>6733.375</v>
      </c>
      <c r="AG986" s="103"/>
      <c r="AH986" s="109"/>
      <c r="AI986" s="103">
        <f>(AE986+AF986)-AH986</f>
        <v>103587.375</v>
      </c>
      <c r="AJ986" s="103">
        <f>AI986+BP985</f>
        <v>-19085.9755</v>
      </c>
      <c r="AK986" s="109"/>
      <c r="AL986" s="109"/>
      <c r="AM986" s="103" t="s">
        <v>379</v>
      </c>
      <c r="AN986" s="103">
        <f>20000+8000</f>
        <v>28000</v>
      </c>
      <c r="AO986" s="109" t="s">
        <v>380</v>
      </c>
      <c r="AP986" s="109">
        <v>40000</v>
      </c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 t="s">
        <v>372</v>
      </c>
      <c r="BH986" s="109">
        <f>1000+40000</f>
        <v>41000</v>
      </c>
      <c r="BI986" s="109"/>
      <c r="BJ986" s="103"/>
      <c r="BK986" s="109" t="s">
        <v>346</v>
      </c>
      <c r="BL986" s="109">
        <v>3000</v>
      </c>
      <c r="BM986" s="110"/>
      <c r="BN986" s="110"/>
      <c r="BO986" s="110">
        <f>AL986+AN986+AP986+AR986+AT986+AV986+AX986+AZ986+BB986+BD986+BF986+BH986+BJ986+BL986</f>
        <v>112000</v>
      </c>
      <c r="BP986" s="103">
        <f>AJ986-BO986</f>
        <v>-131085.9755</v>
      </c>
      <c r="BQ986" s="101">
        <v>45657</v>
      </c>
    </row>
    <row r="987" spans="1:73" hidden="true">
      <c r="D987" s="9" t="s">
        <v>15</v>
      </c>
      <c r="E987" s="2">
        <v>45658</v>
      </c>
      <c r="F987" s="38"/>
      <c r="G987" s="127"/>
      <c r="H987" s="4">
        <f>F310*50%</f>
        <v>1564.525</v>
      </c>
      <c r="I987" s="120">
        <v>3000.2</v>
      </c>
      <c r="J987" s="4">
        <f>(G987+H987)-I987</f>
        <v>-1435.675</v>
      </c>
      <c r="K987" s="4">
        <f>J987+O986</f>
        <v>76465.49</v>
      </c>
      <c r="L987" s="3"/>
      <c r="M987" s="3"/>
      <c r="N987" s="33">
        <f>I987+M987</f>
        <v>3000.2</v>
      </c>
      <c r="O987" s="28">
        <f>K987-M987</f>
        <v>76465.49</v>
      </c>
      <c r="P987" s="9" t="s">
        <v>15</v>
      </c>
      <c r="Q987" s="2">
        <v>45658</v>
      </c>
      <c r="R987" s="38"/>
      <c r="S987" s="52"/>
      <c r="T987" s="4">
        <f>R310*45%</f>
        <v>7383.42</v>
      </c>
      <c r="U987" s="5"/>
      <c r="V987" s="4">
        <f>(S987+T987)-U987</f>
        <v>7383.42</v>
      </c>
      <c r="W987" s="4">
        <f>V987+AA986</f>
        <v>38350.975</v>
      </c>
      <c r="X987" s="3"/>
      <c r="Y987" s="3"/>
      <c r="Z987" s="25">
        <f>U987+Y987</f>
        <v>0</v>
      </c>
      <c r="AA987" s="76">
        <f>W987-Y987</f>
        <v>38350.975</v>
      </c>
      <c r="AB987" s="9" t="s">
        <v>15</v>
      </c>
      <c r="AC987" s="19">
        <v>45658</v>
      </c>
      <c r="AD987" s="41"/>
      <c r="AE987" s="42"/>
      <c r="AF987" s="4">
        <f>AD310-H987-T987</f>
        <v>10588.705</v>
      </c>
      <c r="AG987" s="3"/>
      <c r="AH987" s="8"/>
      <c r="AI987" s="4">
        <f>(AE987+AF987)-AH987</f>
        <v>10588.705</v>
      </c>
      <c r="AJ987" s="4">
        <f>AI987+BP986</f>
        <v>-120497.2705</v>
      </c>
      <c r="AK987" s="8"/>
      <c r="AL987" s="8"/>
      <c r="AM987" s="47"/>
      <c r="AN987" s="47"/>
      <c r="AO987" s="8" t="s">
        <v>381</v>
      </c>
      <c r="AP987" s="8">
        <v>1142</v>
      </c>
      <c r="AQ987" s="47"/>
      <c r="AR987" s="47"/>
      <c r="AS987" s="8"/>
      <c r="AT987" s="8"/>
      <c r="AU987" s="47"/>
      <c r="AV987" s="47"/>
      <c r="AW987" s="8"/>
      <c r="AX987" s="8"/>
      <c r="AY987" s="47"/>
      <c r="AZ987" s="47"/>
      <c r="BA987" s="8" t="s">
        <v>341</v>
      </c>
      <c r="BB987" s="8">
        <v>1105</v>
      </c>
      <c r="BC987" s="47"/>
      <c r="BD987" s="47"/>
      <c r="BE987" s="8"/>
      <c r="BF987" s="8"/>
      <c r="BG987" s="47" t="s">
        <v>98</v>
      </c>
      <c r="BH987" s="47">
        <v>1000</v>
      </c>
      <c r="BI987" s="8"/>
      <c r="BJ987" s="3"/>
      <c r="BK987" s="47"/>
      <c r="BL987" s="47"/>
      <c r="BM987" s="46"/>
      <c r="BN987" s="46"/>
      <c r="BO987" s="24">
        <f>AL987+AN987+AP987+AR987+AT987+AV987+AX987+AZ987+BB987+BD987+BF987+BH987+BJ987+BL987</f>
        <v>3247</v>
      </c>
      <c r="BP987" s="103">
        <f>AJ987-BO987</f>
        <v>-123744.2705</v>
      </c>
      <c r="BQ987" s="2">
        <v>45658</v>
      </c>
    </row>
    <row r="988" spans="1:73" hidden="true">
      <c r="D988" s="9" t="s">
        <v>16</v>
      </c>
      <c r="E988" s="2">
        <v>45659</v>
      </c>
      <c r="F988" s="38"/>
      <c r="G988" s="127"/>
      <c r="H988" s="4">
        <f>F311*50%</f>
        <v>1477.6</v>
      </c>
      <c r="I988" s="120">
        <v>2139</v>
      </c>
      <c r="J988" s="4">
        <f>(G988+H988)-I988</f>
        <v>-661.4</v>
      </c>
      <c r="K988" s="4">
        <f>J988+O987</f>
        <v>75804.09</v>
      </c>
      <c r="L988" s="3"/>
      <c r="M988" s="3"/>
      <c r="N988" s="33">
        <f>I988+M988</f>
        <v>2139</v>
      </c>
      <c r="O988" s="28">
        <f>K988-M988</f>
        <v>75804.09</v>
      </c>
      <c r="P988" s="9" t="s">
        <v>16</v>
      </c>
      <c r="Q988" s="2">
        <v>45659</v>
      </c>
      <c r="R988" s="38"/>
      <c r="S988" s="52"/>
      <c r="T988" s="4">
        <f>R311*45%</f>
        <v>3999.15</v>
      </c>
      <c r="U988" s="5"/>
      <c r="V988" s="4">
        <f>(S988+T988)-U988</f>
        <v>3999.15</v>
      </c>
      <c r="W988" s="4">
        <f>V988+AA987</f>
        <v>42350.125</v>
      </c>
      <c r="X988" s="3"/>
      <c r="Y988" s="3"/>
      <c r="Z988" s="25">
        <f>U988+Y988</f>
        <v>0</v>
      </c>
      <c r="AA988" s="76">
        <f>W988-Y988</f>
        <v>42350.125</v>
      </c>
      <c r="AB988" s="9" t="s">
        <v>16</v>
      </c>
      <c r="AC988" s="19">
        <v>45659</v>
      </c>
      <c r="AD988" s="41"/>
      <c r="AE988" s="42"/>
      <c r="AF988" s="4">
        <f>AD311-H988-T988</f>
        <v>6365.45</v>
      </c>
      <c r="AG988" s="3"/>
      <c r="AH988" s="8"/>
      <c r="AI988" s="4">
        <f>(AE988+AF988)-AH988</f>
        <v>6365.45</v>
      </c>
      <c r="AJ988" s="4">
        <f>AI988+BP987</f>
        <v>-117378.8205</v>
      </c>
      <c r="AK988" s="8"/>
      <c r="AL988" s="8"/>
      <c r="AM988" s="47" t="s">
        <v>382</v>
      </c>
      <c r="AN988" s="47">
        <v>6000</v>
      </c>
      <c r="AO988" s="8" t="s">
        <v>55</v>
      </c>
      <c r="AP988" s="8">
        <v>1</v>
      </c>
      <c r="AQ988" s="47" t="s">
        <v>383</v>
      </c>
      <c r="AR988" s="47">
        <f>1900+500+107</f>
        <v>2507</v>
      </c>
      <c r="AS988" s="8" t="s">
        <v>384</v>
      </c>
      <c r="AT988" s="8">
        <v>4300</v>
      </c>
      <c r="AU988" s="47"/>
      <c r="AV988" s="47"/>
      <c r="AW988" s="8"/>
      <c r="AX988" s="8"/>
      <c r="AY988" s="47"/>
      <c r="AZ988" s="47"/>
      <c r="BA988" s="8" t="s">
        <v>341</v>
      </c>
      <c r="BB988" s="8">
        <v>476</v>
      </c>
      <c r="BC988" s="47"/>
      <c r="BD988" s="47"/>
      <c r="BE988" s="8"/>
      <c r="BF988" s="8"/>
      <c r="BG988" s="47" t="s">
        <v>98</v>
      </c>
      <c r="BH988" s="47">
        <v>1000</v>
      </c>
      <c r="BI988" s="8"/>
      <c r="BJ988" s="3"/>
      <c r="BK988" s="47" t="s">
        <v>385</v>
      </c>
      <c r="BL988" s="47">
        <v>1000</v>
      </c>
      <c r="BM988" s="46"/>
      <c r="BN988" s="46"/>
      <c r="BO988" s="24">
        <f>AL988+AN988+AP988+AR988+AT988+AV988+AX988+AZ988+BB988+BD988+BF988+BH988+BJ988+BL988</f>
        <v>15284</v>
      </c>
      <c r="BP988" s="103">
        <f>AJ988-BO988</f>
        <v>-132662.8205</v>
      </c>
      <c r="BQ988" s="2">
        <v>45659</v>
      </c>
    </row>
    <row r="989" spans="1:73" hidden="true">
      <c r="D989" s="9" t="s">
        <v>10</v>
      </c>
      <c r="E989" s="2">
        <v>45660</v>
      </c>
      <c r="F989" s="38"/>
      <c r="G989" s="127"/>
      <c r="H989" s="4">
        <f>F312*50%</f>
        <v>1762.225</v>
      </c>
      <c r="I989" s="120">
        <v>2085.5</v>
      </c>
      <c r="J989" s="4">
        <f>(G989+H989)-I989</f>
        <v>-323.275</v>
      </c>
      <c r="K989" s="4">
        <f>J989+O988</f>
        <v>75480.815</v>
      </c>
      <c r="L989" s="3"/>
      <c r="M989" s="3"/>
      <c r="N989" s="33">
        <f>I989+M989</f>
        <v>2085.5</v>
      </c>
      <c r="O989" s="28">
        <f>K989-M989</f>
        <v>75480.815</v>
      </c>
      <c r="P989" s="9" t="s">
        <v>10</v>
      </c>
      <c r="Q989" s="2">
        <v>45660</v>
      </c>
      <c r="R989" s="38"/>
      <c r="S989" s="52"/>
      <c r="T989" s="4">
        <f>R312*45%</f>
        <v>4513.95</v>
      </c>
      <c r="U989" s="5">
        <v>1266</v>
      </c>
      <c r="V989" s="4">
        <f>(S989+T989)-U989</f>
        <v>3247.95</v>
      </c>
      <c r="W989" s="4">
        <f>V989+AA988</f>
        <v>45598.075</v>
      </c>
      <c r="X989" s="3"/>
      <c r="Y989" s="3"/>
      <c r="Z989" s="25">
        <f>U989+Y989</f>
        <v>1266</v>
      </c>
      <c r="AA989" s="76">
        <f>W989-Y989</f>
        <v>45598.075</v>
      </c>
      <c r="AB989" s="9" t="s">
        <v>10</v>
      </c>
      <c r="AC989" s="19">
        <v>45660</v>
      </c>
      <c r="AD989" s="41"/>
      <c r="AE989" s="42"/>
      <c r="AF989" s="4">
        <f>AD312-H989-T989</f>
        <v>7279.275</v>
      </c>
      <c r="AG989" s="3"/>
      <c r="AH989" s="8"/>
      <c r="AI989" s="4">
        <f>(AE989+AF989)-AH989</f>
        <v>7279.275</v>
      </c>
      <c r="AJ989" s="4">
        <f>AI989+BP988</f>
        <v>-125383.5455</v>
      </c>
      <c r="AK989" s="8"/>
      <c r="AL989" s="8"/>
      <c r="AM989" s="47"/>
      <c r="AN989" s="47"/>
      <c r="AO989" s="8"/>
      <c r="AP989" s="8"/>
      <c r="AQ989" s="47"/>
      <c r="AR989" s="47"/>
      <c r="AS989" s="8"/>
      <c r="AT989" s="8"/>
      <c r="AU989" s="47"/>
      <c r="AV989" s="47"/>
      <c r="AW989" s="8"/>
      <c r="AX989" s="8"/>
      <c r="AY989" s="47"/>
      <c r="AZ989" s="47"/>
      <c r="BA989" s="8" t="s">
        <v>341</v>
      </c>
      <c r="BB989" s="8">
        <v>762.5</v>
      </c>
      <c r="BC989" s="47"/>
      <c r="BD989" s="47"/>
      <c r="BE989" s="8"/>
      <c r="BF989" s="8"/>
      <c r="BG989" s="47" t="s">
        <v>98</v>
      </c>
      <c r="BH989" s="47">
        <v>1000</v>
      </c>
      <c r="BI989" s="8"/>
      <c r="BJ989" s="3"/>
      <c r="BK989" s="47"/>
      <c r="BL989" s="47"/>
      <c r="BM989" s="46"/>
      <c r="BN989" s="46"/>
      <c r="BO989" s="24">
        <f>AL989+AN989+AP989+AR989+AT989+AV989+AX989+AZ989+BB989+BD989+BF989+BH989+BJ989+BL989</f>
        <v>1762.5</v>
      </c>
      <c r="BP989" s="103">
        <f>AJ989-BO989</f>
        <v>-127146.0455</v>
      </c>
      <c r="BQ989" s="2">
        <v>45660</v>
      </c>
    </row>
    <row r="990" spans="1:73" hidden="true">
      <c r="D990" s="9" t="s">
        <v>11</v>
      </c>
      <c r="E990" s="2">
        <v>45661</v>
      </c>
      <c r="F990" s="38"/>
      <c r="G990" s="127"/>
      <c r="H990" s="4">
        <f>F313*50%</f>
        <v>1844.875</v>
      </c>
      <c r="I990" s="120">
        <v>2347.5</v>
      </c>
      <c r="J990" s="4">
        <f>(G990+H990)-I990</f>
        <v>-502.625</v>
      </c>
      <c r="K990" s="4">
        <f>J990+O989</f>
        <v>74978.19</v>
      </c>
      <c r="L990" s="3"/>
      <c r="M990" s="3"/>
      <c r="N990" s="33">
        <f>I990+M990</f>
        <v>2347.5</v>
      </c>
      <c r="O990" s="28">
        <f>K990-M990</f>
        <v>74978.19</v>
      </c>
      <c r="P990" s="9" t="s">
        <v>11</v>
      </c>
      <c r="Q990" s="2">
        <v>45661</v>
      </c>
      <c r="R990" s="38"/>
      <c r="S990" s="52"/>
      <c r="T990" s="4">
        <f>R313*45%</f>
        <v>4002.3</v>
      </c>
      <c r="U990" s="5"/>
      <c r="V990" s="4">
        <f>(S990+T990)-U990</f>
        <v>4002.3</v>
      </c>
      <c r="W990" s="4">
        <f>V990+AA989</f>
        <v>49600.375</v>
      </c>
      <c r="X990" s="113" t="s">
        <v>386</v>
      </c>
      <c r="Y990" s="3">
        <v>20850</v>
      </c>
      <c r="Z990" s="25">
        <f>U990+Y990</f>
        <v>20850</v>
      </c>
      <c r="AA990" s="76">
        <f>W990-Y990</f>
        <v>28750.375</v>
      </c>
      <c r="AB990" s="9" t="s">
        <v>11</v>
      </c>
      <c r="AC990" s="19">
        <v>45661</v>
      </c>
      <c r="AD990" s="41"/>
      <c r="AE990" s="42"/>
      <c r="AF990" s="4">
        <f>AD313-H990-T990</f>
        <v>6736.575</v>
      </c>
      <c r="AG990" s="3"/>
      <c r="AH990" s="8"/>
      <c r="AI990" s="4">
        <f>(AE990+AF990)-AH990</f>
        <v>6736.575</v>
      </c>
      <c r="AJ990" s="4">
        <f>AI990+BP989</f>
        <v>-120409.4705</v>
      </c>
      <c r="AK990" s="8" t="s">
        <v>375</v>
      </c>
      <c r="AL990" s="8">
        <f>800+3000</f>
        <v>3800</v>
      </c>
      <c r="AM990" s="47" t="s">
        <v>348</v>
      </c>
      <c r="AN990" s="47">
        <v>1707</v>
      </c>
      <c r="AO990" s="8"/>
      <c r="AP990" s="8"/>
      <c r="AQ990" s="47"/>
      <c r="AR990" s="47"/>
      <c r="AS990" s="8"/>
      <c r="AT990" s="8"/>
      <c r="AU990" s="47"/>
      <c r="AV990" s="47"/>
      <c r="AW990" s="8"/>
      <c r="AX990" s="8"/>
      <c r="AY990" s="47"/>
      <c r="AZ990" s="47"/>
      <c r="BA990" s="8" t="s">
        <v>341</v>
      </c>
      <c r="BB990" s="8">
        <v>563.9</v>
      </c>
      <c r="BC990" s="47" t="s">
        <v>387</v>
      </c>
      <c r="BD990" s="47">
        <f>20000+20000</f>
        <v>40000</v>
      </c>
      <c r="BE990" s="8"/>
      <c r="BF990" s="8"/>
      <c r="BG990" s="47" t="s">
        <v>98</v>
      </c>
      <c r="BH990" s="47">
        <v>1000</v>
      </c>
      <c r="BI990" s="8"/>
      <c r="BJ990" s="3"/>
      <c r="BK990" s="47"/>
      <c r="BL990" s="47"/>
      <c r="BM990" s="46"/>
      <c r="BN990" s="46"/>
      <c r="BO990" s="24">
        <f>AL990+AN990+AP990+AR990+AT990+AV990+AX990+AZ990+BB990+BD990+BF990+BH990+BJ990+BL990</f>
        <v>47070.9</v>
      </c>
      <c r="BP990" s="103">
        <f>AJ990-BO990</f>
        <v>-167480.3705</v>
      </c>
      <c r="BQ990" s="2">
        <v>45661</v>
      </c>
    </row>
    <row r="991" spans="1:73" hidden="true">
      <c r="D991" s="9" t="s">
        <v>12</v>
      </c>
      <c r="E991" s="2">
        <v>45662</v>
      </c>
      <c r="F991" s="38"/>
      <c r="G991" s="127"/>
      <c r="H991" s="4">
        <f>F314*50%</f>
        <v>2225.675</v>
      </c>
      <c r="I991" s="120"/>
      <c r="J991" s="4">
        <f>(G991+H991)-I991</f>
        <v>2225.675</v>
      </c>
      <c r="K991" s="4">
        <f>J991+O990</f>
        <v>77203.865</v>
      </c>
      <c r="L991" s="113" t="s">
        <v>388</v>
      </c>
      <c r="M991" s="3">
        <v>6212.4</v>
      </c>
      <c r="N991" s="33">
        <f>I991+M991</f>
        <v>6212.4</v>
      </c>
      <c r="O991" s="28">
        <f>K991-M991</f>
        <v>70991.465</v>
      </c>
      <c r="P991" s="9" t="s">
        <v>12</v>
      </c>
      <c r="Q991" s="2">
        <v>45662</v>
      </c>
      <c r="R991" s="38"/>
      <c r="S991" s="52"/>
      <c r="T991" s="4">
        <f>R314*45%</f>
        <v>2957.22</v>
      </c>
      <c r="U991" s="5"/>
      <c r="V991" s="4">
        <f>(S991+T991)-U991</f>
        <v>2957.22</v>
      </c>
      <c r="W991" s="4">
        <f>V991+AA990</f>
        <v>31707.595</v>
      </c>
      <c r="X991" s="3"/>
      <c r="Y991" s="3"/>
      <c r="Z991" s="25">
        <f>U991+Y991</f>
        <v>0</v>
      </c>
      <c r="AA991" s="76">
        <f>W991-Y991</f>
        <v>31707.595</v>
      </c>
      <c r="AB991" s="9" t="s">
        <v>12</v>
      </c>
      <c r="AC991" s="19">
        <v>45662</v>
      </c>
      <c r="AD991" s="41"/>
      <c r="AE991" s="42"/>
      <c r="AF991" s="4">
        <f>AD314-H991-T991</f>
        <v>5840.055</v>
      </c>
      <c r="AG991" s="3"/>
      <c r="AH991" s="8"/>
      <c r="AI991" s="4">
        <f>(AE991+AF991)-AH991</f>
        <v>5840.055</v>
      </c>
      <c r="AJ991" s="4">
        <f>AI991+BP990</f>
        <v>-161640.3155</v>
      </c>
      <c r="AK991" s="8"/>
      <c r="AL991" s="8"/>
      <c r="AM991" s="47"/>
      <c r="AN991" s="47"/>
      <c r="AO991" s="8" t="s">
        <v>354</v>
      </c>
      <c r="AP991" s="8">
        <v>300</v>
      </c>
      <c r="AQ991" s="47"/>
      <c r="AR991" s="47"/>
      <c r="AS991" s="8"/>
      <c r="AT991" s="8"/>
      <c r="AU991" s="47"/>
      <c r="AV991" s="47"/>
      <c r="AW991" s="8"/>
      <c r="AX991" s="8"/>
      <c r="AY991" s="47"/>
      <c r="AZ991" s="47"/>
      <c r="BA991" s="8" t="s">
        <v>341</v>
      </c>
      <c r="BB991" s="8">
        <v>523</v>
      </c>
      <c r="BC991" s="47"/>
      <c r="BD991" s="47"/>
      <c r="BE991" s="8"/>
      <c r="BF991" s="8"/>
      <c r="BG991" s="47" t="s">
        <v>98</v>
      </c>
      <c r="BH991" s="47">
        <v>1000</v>
      </c>
      <c r="BI991" s="8"/>
      <c r="BJ991" s="3"/>
      <c r="BK991" s="47"/>
      <c r="BL991" s="47"/>
      <c r="BM991" s="46"/>
      <c r="BN991" s="46"/>
      <c r="BO991" s="24">
        <f>AL991+AN991+AP991+AR991+AT991+AV991+AX991+AZ991+BB991+BD991+BF991+BH991+BJ991+BL991</f>
        <v>1823</v>
      </c>
      <c r="BP991" s="103">
        <f>AJ991-BO991</f>
        <v>-163463.3155</v>
      </c>
      <c r="BQ991" s="2">
        <v>45662</v>
      </c>
    </row>
    <row r="992" spans="1:73" hidden="true">
      <c r="D992" s="9" t="s">
        <v>13</v>
      </c>
      <c r="E992" s="2">
        <v>45663</v>
      </c>
      <c r="F992" s="38"/>
      <c r="G992" s="127"/>
      <c r="H992" s="4">
        <f>F315*50%</f>
        <v>1488.475</v>
      </c>
      <c r="I992" s="120">
        <v>3740.53</v>
      </c>
      <c r="J992" s="4">
        <f>(G992+H992)-I992</f>
        <v>-2252.055</v>
      </c>
      <c r="K992" s="4">
        <f>J992+O991</f>
        <v>68739.41</v>
      </c>
      <c r="L992" s="3"/>
      <c r="M992" s="3"/>
      <c r="N992" s="33">
        <f>I992+M992</f>
        <v>3740.53</v>
      </c>
      <c r="O992" s="28">
        <f>K992-M992</f>
        <v>68739.41</v>
      </c>
      <c r="P992" s="9" t="s">
        <v>13</v>
      </c>
      <c r="Q992" s="2">
        <v>45663</v>
      </c>
      <c r="R992" s="38"/>
      <c r="S992" s="52"/>
      <c r="T992" s="4">
        <f>R315*45%</f>
        <v>3694.5</v>
      </c>
      <c r="U992" s="5"/>
      <c r="V992" s="4">
        <f>(S992+T992)-U992</f>
        <v>3694.5</v>
      </c>
      <c r="W992" s="4">
        <f>V992+AA991</f>
        <v>35402.095</v>
      </c>
      <c r="X992" s="3" t="s">
        <v>389</v>
      </c>
      <c r="Y992" s="3">
        <v>5000</v>
      </c>
      <c r="Z992" s="25">
        <f>U992+Y992</f>
        <v>5000</v>
      </c>
      <c r="AA992" s="76">
        <f>W992-Y992</f>
        <v>30402.095</v>
      </c>
      <c r="AB992" s="9" t="s">
        <v>13</v>
      </c>
      <c r="AC992" s="19">
        <v>45663</v>
      </c>
      <c r="AD992" s="41"/>
      <c r="AE992" s="42"/>
      <c r="AF992" s="4">
        <f>AD315-H992-T992</f>
        <v>6003.975</v>
      </c>
      <c r="AG992" s="3"/>
      <c r="AH992" s="8"/>
      <c r="AI992" s="4">
        <f>(AE992+AF992)-AH992</f>
        <v>6003.975</v>
      </c>
      <c r="AJ992" s="4">
        <f>AI992+BP991</f>
        <v>-157459.3405</v>
      </c>
      <c r="AK992" s="8"/>
      <c r="AL992" s="8"/>
      <c r="AM992" s="47"/>
      <c r="AN992" s="47"/>
      <c r="AO992" s="8"/>
      <c r="AP992" s="8"/>
      <c r="AQ992" s="47"/>
      <c r="AR992" s="47"/>
      <c r="AS992" s="8"/>
      <c r="AT992" s="8"/>
      <c r="AU992" s="47"/>
      <c r="AV992" s="47"/>
      <c r="AW992" s="8"/>
      <c r="AX992" s="8"/>
      <c r="AY992" s="47"/>
      <c r="AZ992" s="47"/>
      <c r="BA992" s="8" t="s">
        <v>341</v>
      </c>
      <c r="BB992" s="8">
        <v>859</v>
      </c>
      <c r="BC992" s="47"/>
      <c r="BD992" s="47"/>
      <c r="BE992" s="8"/>
      <c r="BF992" s="8"/>
      <c r="BG992" s="47" t="s">
        <v>98</v>
      </c>
      <c r="BH992" s="47">
        <v>800</v>
      </c>
      <c r="BI992" s="8"/>
      <c r="BJ992" s="3"/>
      <c r="BK992" s="47"/>
      <c r="BL992" s="47"/>
      <c r="BM992" s="46"/>
      <c r="BN992" s="46"/>
      <c r="BO992" s="24">
        <f>AL992+AN992+AP992+AR992+AT992+AV992+AX992+AZ992+BB992+BD992+BF992+BH992+BJ992+BL992</f>
        <v>1659</v>
      </c>
      <c r="BP992" s="103">
        <f>AJ992-BO992</f>
        <v>-159118.3405</v>
      </c>
      <c r="BQ992" s="2">
        <v>45663</v>
      </c>
    </row>
    <row r="993" spans="1:73" hidden="true">
      <c r="D993" s="9" t="s">
        <v>14</v>
      </c>
      <c r="E993" s="2">
        <v>45664</v>
      </c>
      <c r="F993" s="38"/>
      <c r="G993" s="127"/>
      <c r="H993" s="4">
        <f>F316*50%</f>
        <v>1192.85</v>
      </c>
      <c r="I993" s="120"/>
      <c r="J993" s="4">
        <f>(G993+H993)-I993</f>
        <v>1192.85</v>
      </c>
      <c r="K993" s="4">
        <f>J993+O992</f>
        <v>69932.26</v>
      </c>
      <c r="L993" s="3"/>
      <c r="M993" s="3"/>
      <c r="N993" s="33">
        <f>I993+M993</f>
        <v>0</v>
      </c>
      <c r="O993" s="28">
        <f>K993-M993</f>
        <v>69932.26</v>
      </c>
      <c r="P993" s="9" t="s">
        <v>14</v>
      </c>
      <c r="Q993" s="2">
        <v>45664</v>
      </c>
      <c r="R993" s="38"/>
      <c r="S993" s="52"/>
      <c r="T993" s="4">
        <f>R316*45%</f>
        <v>2650.5</v>
      </c>
      <c r="U993" s="5"/>
      <c r="V993" s="4">
        <f>(S993+T993)-U993</f>
        <v>2650.5</v>
      </c>
      <c r="W993" s="4">
        <f>V993+AA992</f>
        <v>33052.595</v>
      </c>
      <c r="X993" s="3"/>
      <c r="Y993" s="3"/>
      <c r="Z993" s="25">
        <f>U993+Y993</f>
        <v>0</v>
      </c>
      <c r="AA993" s="76">
        <f>W993-Y993</f>
        <v>33052.595</v>
      </c>
      <c r="AB993" s="9" t="s">
        <v>14</v>
      </c>
      <c r="AC993" s="19">
        <v>45664</v>
      </c>
      <c r="AD993" s="41"/>
      <c r="AE993" s="42"/>
      <c r="AF993" s="4">
        <f>AD316-H993-T993</f>
        <v>4432.35</v>
      </c>
      <c r="AG993" s="3"/>
      <c r="AH993" s="8"/>
      <c r="AI993" s="4">
        <f>(AE993+AF993)-AH993</f>
        <v>4432.35</v>
      </c>
      <c r="AJ993" s="4">
        <f>AI993+BP992</f>
        <v>-154685.9905</v>
      </c>
      <c r="AK993" s="8" t="s">
        <v>390</v>
      </c>
      <c r="AL993" s="8">
        <v>2442.56</v>
      </c>
      <c r="AM993" s="86" t="s">
        <v>357</v>
      </c>
      <c r="AN993" s="47">
        <v>20000</v>
      </c>
      <c r="AO993" s="8" t="s">
        <v>55</v>
      </c>
      <c r="AP993" s="8">
        <v>2</v>
      </c>
      <c r="AQ993" s="47" t="s">
        <v>391</v>
      </c>
      <c r="AR993" s="47">
        <f>481.95+500</f>
        <v>981.95</v>
      </c>
      <c r="AS993" s="8"/>
      <c r="AT993" s="8"/>
      <c r="AU993" s="47"/>
      <c r="AV993" s="47"/>
      <c r="AW993" s="8"/>
      <c r="AX993" s="8"/>
      <c r="AY993" s="47"/>
      <c r="AZ993" s="47"/>
      <c r="BA993" s="8" t="s">
        <v>341</v>
      </c>
      <c r="BB993" s="8">
        <v>360</v>
      </c>
      <c r="BC993" s="47"/>
      <c r="BD993" s="47"/>
      <c r="BE993" s="8"/>
      <c r="BF993" s="8"/>
      <c r="BG993" s="47" t="s">
        <v>98</v>
      </c>
      <c r="BH993" s="47">
        <v>500</v>
      </c>
      <c r="BI993" s="8"/>
      <c r="BJ993" s="3"/>
      <c r="BK993" s="47"/>
      <c r="BL993" s="47"/>
      <c r="BM993" s="46"/>
      <c r="BN993" s="46"/>
      <c r="BO993" s="24">
        <f>AL993+AN993+AP993+AR993+AT993+AV993+AX993+AZ993+BB993+BD993+BF993+BH993+BJ993+BL993</f>
        <v>24286.51</v>
      </c>
      <c r="BP993" s="103">
        <f>AJ993-BO993</f>
        <v>-178972.5005</v>
      </c>
      <c r="BQ993" s="2">
        <v>45664</v>
      </c>
    </row>
    <row r="994" spans="1:73" hidden="true">
      <c r="D994" s="9" t="s">
        <v>15</v>
      </c>
      <c r="E994" s="2">
        <v>45665</v>
      </c>
      <c r="F994" s="38"/>
      <c r="G994" s="127"/>
      <c r="H994" s="4">
        <f>F317*50%</f>
        <v>1505.675</v>
      </c>
      <c r="I994" s="120"/>
      <c r="J994" s="4">
        <f>(G994+H994)-I994</f>
        <v>1505.675</v>
      </c>
      <c r="K994" s="4">
        <f>J994+O993</f>
        <v>71437.935</v>
      </c>
      <c r="L994" s="3"/>
      <c r="M994" s="3"/>
      <c r="N994" s="33">
        <f>I994+M994</f>
        <v>0</v>
      </c>
      <c r="O994" s="28">
        <f>K994-M994</f>
        <v>71437.935</v>
      </c>
      <c r="P994" s="9" t="s">
        <v>15</v>
      </c>
      <c r="Q994" s="2">
        <v>45665</v>
      </c>
      <c r="R994" s="38"/>
      <c r="S994" s="52"/>
      <c r="T994" s="4">
        <f>R317*45%</f>
        <v>1424.655</v>
      </c>
      <c r="U994" s="5">
        <v>660</v>
      </c>
      <c r="V994" s="4">
        <f>(S994+T994)-U994</f>
        <v>764.655</v>
      </c>
      <c r="W994" s="4">
        <f>V994+AA993</f>
        <v>33817.25</v>
      </c>
      <c r="X994" s="3"/>
      <c r="Y994" s="3"/>
      <c r="Z994" s="25">
        <f>U994+Y994</f>
        <v>660</v>
      </c>
      <c r="AA994" s="76">
        <f>W994-Y994</f>
        <v>33817.25</v>
      </c>
      <c r="AB994" s="9" t="s">
        <v>15</v>
      </c>
      <c r="AC994" s="19">
        <v>45665</v>
      </c>
      <c r="AD994" s="41"/>
      <c r="AE994" s="42"/>
      <c r="AF994" s="4">
        <f>AD317-H994-T994</f>
        <v>3246.92</v>
      </c>
      <c r="AG994" s="3"/>
      <c r="AH994" s="8"/>
      <c r="AI994" s="4">
        <f>(AE994+AF994)-AH994</f>
        <v>3246.92</v>
      </c>
      <c r="AJ994" s="4">
        <f>AI994+BP993</f>
        <v>-175725.5805</v>
      </c>
      <c r="AK994" s="8" t="s">
        <v>41</v>
      </c>
      <c r="AL994" s="8">
        <v>4000</v>
      </c>
      <c r="AM994" s="47"/>
      <c r="AN994" s="47"/>
      <c r="AO994" s="8" t="s">
        <v>392</v>
      </c>
      <c r="AP994" s="8">
        <f>7.5+8</f>
        <v>15.5</v>
      </c>
      <c r="AQ994" s="47"/>
      <c r="AR994" s="47"/>
      <c r="AS994" s="8"/>
      <c r="AT994" s="8"/>
      <c r="AU994" s="47"/>
      <c r="AV994" s="47"/>
      <c r="AW994" s="8"/>
      <c r="AX994" s="8"/>
      <c r="AY994" s="47"/>
      <c r="AZ994" s="47"/>
      <c r="BA994" s="8" t="s">
        <v>341</v>
      </c>
      <c r="BB994" s="8">
        <v>283</v>
      </c>
      <c r="BC994" s="47"/>
      <c r="BD994" s="47"/>
      <c r="BE994" s="8"/>
      <c r="BF994" s="8"/>
      <c r="BG994" s="47" t="s">
        <v>98</v>
      </c>
      <c r="BH994" s="47">
        <v>1000</v>
      </c>
      <c r="BI994" s="8"/>
      <c r="BJ994" s="3"/>
      <c r="BK994" s="47"/>
      <c r="BL994" s="47"/>
      <c r="BM994" s="46"/>
      <c r="BN994" s="46"/>
      <c r="BO994" s="24">
        <f>AL994+AN994+AP994+AR994+AT994+AV994+AX994+AZ994+BB994+BD994+BF994+BH994+BJ994+BL994</f>
        <v>5298.5</v>
      </c>
      <c r="BP994" s="103">
        <f>AJ994-BO994</f>
        <v>-181024.0805</v>
      </c>
      <c r="BQ994" s="2">
        <v>45665</v>
      </c>
    </row>
    <row r="995" spans="1:73" hidden="true">
      <c r="D995" s="9" t="s">
        <v>16</v>
      </c>
      <c r="E995" s="2">
        <v>45666</v>
      </c>
      <c r="F995" s="38"/>
      <c r="G995" s="127"/>
      <c r="H995" s="4">
        <f>F318*50%</f>
        <v>1782.3</v>
      </c>
      <c r="I995" s="120">
        <v>800</v>
      </c>
      <c r="J995" s="4">
        <f>(G995+H995)-I995</f>
        <v>982.3</v>
      </c>
      <c r="K995" s="4">
        <f>J995+O994</f>
        <v>72420.235</v>
      </c>
      <c r="L995" s="3" t="s">
        <v>393</v>
      </c>
      <c r="M995" s="3">
        <v>7600</v>
      </c>
      <c r="N995" s="33">
        <f>I995+M995</f>
        <v>8400</v>
      </c>
      <c r="O995" s="28">
        <f>K995-M995</f>
        <v>64820.235</v>
      </c>
      <c r="P995" s="9" t="s">
        <v>16</v>
      </c>
      <c r="Q995" s="2">
        <v>45666</v>
      </c>
      <c r="R995" s="38"/>
      <c r="S995" s="52"/>
      <c r="T995" s="4">
        <f>R318*45%</f>
        <v>3826.62</v>
      </c>
      <c r="U995" s="5"/>
      <c r="V995" s="4">
        <f>(S995+T995)-U995</f>
        <v>3826.62</v>
      </c>
      <c r="W995" s="4">
        <f>V995+AA994</f>
        <v>37643.87</v>
      </c>
      <c r="X995" s="3"/>
      <c r="Y995" s="3"/>
      <c r="Z995" s="25">
        <f>U995+Y995</f>
        <v>0</v>
      </c>
      <c r="AA995" s="76">
        <f>W995-Y995</f>
        <v>37643.87</v>
      </c>
      <c r="AB995" s="9" t="s">
        <v>16</v>
      </c>
      <c r="AC995" s="19">
        <v>45666</v>
      </c>
      <c r="AD995" s="41"/>
      <c r="AE995" s="42"/>
      <c r="AF995" s="4">
        <f>AD318-H995-T995</f>
        <v>6459.28</v>
      </c>
      <c r="AG995" s="3"/>
      <c r="AH995" s="8"/>
      <c r="AI995" s="4">
        <f>(AE995+AF995)-AH995</f>
        <v>6459.28</v>
      </c>
      <c r="AJ995" s="4">
        <f>AI995+BP994</f>
        <v>-174564.8005</v>
      </c>
      <c r="AK995" s="8" t="s">
        <v>41</v>
      </c>
      <c r="AL995" s="8">
        <v>6295.27</v>
      </c>
      <c r="AM995" s="47"/>
      <c r="AN995" s="47"/>
      <c r="AO995" s="8" t="s">
        <v>55</v>
      </c>
      <c r="AP995" s="8">
        <v>0.5</v>
      </c>
      <c r="AQ995" s="47"/>
      <c r="AR995" s="47"/>
      <c r="AS995" s="8"/>
      <c r="AT995" s="8"/>
      <c r="AU995" s="47"/>
      <c r="AV995" s="47"/>
      <c r="AW995" s="8"/>
      <c r="AX995" s="8"/>
      <c r="AY995" s="47"/>
      <c r="AZ995" s="47"/>
      <c r="BA995" s="8" t="s">
        <v>341</v>
      </c>
      <c r="BB995" s="8">
        <v>664.2</v>
      </c>
      <c r="BC995" s="47"/>
      <c r="BD995" s="47"/>
      <c r="BE995" s="8"/>
      <c r="BF995" s="8"/>
      <c r="BG995" s="47" t="s">
        <v>98</v>
      </c>
      <c r="BH995" s="47">
        <v>1000</v>
      </c>
      <c r="BI995" s="8"/>
      <c r="BJ995" s="3"/>
      <c r="BK995" s="47"/>
      <c r="BL995" s="47"/>
      <c r="BM995" s="46"/>
      <c r="BN995" s="46"/>
      <c r="BO995" s="24">
        <f>AL995+AN995+AP995+AR995+AT995+AV995+AX995+AZ995+BB995+BD995+BF995+BH995+BJ995+BL995</f>
        <v>7959.97</v>
      </c>
      <c r="BP995" s="28">
        <f>AJ995-BO995</f>
        <v>-182524.7705</v>
      </c>
      <c r="BQ995" s="2">
        <v>45666</v>
      </c>
    </row>
    <row r="996" spans="1:73" hidden="true">
      <c r="D996" s="9" t="s">
        <v>10</v>
      </c>
      <c r="E996" s="2">
        <v>45667</v>
      </c>
      <c r="F996" s="38"/>
      <c r="G996" s="127"/>
      <c r="H996" s="4">
        <f>F319*50%</f>
        <v>1913.2</v>
      </c>
      <c r="I996" s="120">
        <v>788</v>
      </c>
      <c r="J996" s="4">
        <f>(G996+H996)-I996</f>
        <v>1125.2</v>
      </c>
      <c r="K996" s="4">
        <f>J996+O995</f>
        <v>65945.435</v>
      </c>
      <c r="L996" s="3"/>
      <c r="M996" s="3"/>
      <c r="N996" s="33">
        <f>I996+M996</f>
        <v>788</v>
      </c>
      <c r="O996" s="28">
        <f>K996-M996</f>
        <v>65945.435</v>
      </c>
      <c r="P996" s="9" t="s">
        <v>10</v>
      </c>
      <c r="Q996" s="2">
        <v>45667</v>
      </c>
      <c r="R996" s="38"/>
      <c r="S996" s="52"/>
      <c r="T996" s="4">
        <f>R319*45%</f>
        <v>1827</v>
      </c>
      <c r="U996" s="5">
        <v>1410</v>
      </c>
      <c r="V996" s="4">
        <f>(S996+T996)-U996</f>
        <v>417</v>
      </c>
      <c r="W996" s="4">
        <f>V996+AA995</f>
        <v>38060.87</v>
      </c>
      <c r="X996" s="3"/>
      <c r="Y996" s="3"/>
      <c r="Z996" s="25">
        <f>U996+Y996</f>
        <v>1410</v>
      </c>
      <c r="AA996" s="76">
        <f>W996-Y996</f>
        <v>38060.87</v>
      </c>
      <c r="AB996" s="9" t="s">
        <v>10</v>
      </c>
      <c r="AC996" s="19">
        <v>45667</v>
      </c>
      <c r="AD996" s="41"/>
      <c r="AE996" s="42"/>
      <c r="AF996" s="4">
        <f>AD319-H996-T996</f>
        <v>4146.2</v>
      </c>
      <c r="AG996" s="3"/>
      <c r="AH996" s="8"/>
      <c r="AI996" s="4">
        <f>(AE996+AF996)-AH996</f>
        <v>4146.2</v>
      </c>
      <c r="AJ996" s="4">
        <f>AI996+BP995</f>
        <v>-178378.5705</v>
      </c>
      <c r="AK996" s="8" t="s">
        <v>41</v>
      </c>
      <c r="AL996" s="8">
        <v>4464.13</v>
      </c>
      <c r="AM996" s="47"/>
      <c r="AN996" s="47"/>
      <c r="AO996" s="8" t="s">
        <v>55</v>
      </c>
      <c r="AP996" s="8">
        <v>0.5</v>
      </c>
      <c r="AQ996" s="47"/>
      <c r="AR996" s="47"/>
      <c r="AS996" s="8"/>
      <c r="AT996" s="8"/>
      <c r="AU996" s="47"/>
      <c r="AV996" s="47"/>
      <c r="AW996" s="8"/>
      <c r="AX996" s="8"/>
      <c r="AY996" s="47"/>
      <c r="AZ996" s="47"/>
      <c r="BA996" s="8" t="s">
        <v>341</v>
      </c>
      <c r="BB996" s="8">
        <v>716</v>
      </c>
      <c r="BC996" s="47"/>
      <c r="BD996" s="47"/>
      <c r="BE996" s="8"/>
      <c r="BF996" s="8"/>
      <c r="BG996" s="47" t="s">
        <v>98</v>
      </c>
      <c r="BH996" s="47">
        <v>1000</v>
      </c>
      <c r="BI996" s="8"/>
      <c r="BJ996" s="3"/>
      <c r="BK996" s="47"/>
      <c r="BL996" s="47"/>
      <c r="BM996" s="46"/>
      <c r="BN996" s="46"/>
      <c r="BO996" s="24">
        <f>AL996+AN996+AP996+AR996+AT996+AV996+AX996+AZ996+BB996+BD996+BF996+BH996+BJ996+BL996</f>
        <v>6180.63</v>
      </c>
      <c r="BP996" s="28">
        <f>AJ996-BO996</f>
        <v>-184559.2005</v>
      </c>
      <c r="BQ996" s="2">
        <v>45667</v>
      </c>
    </row>
    <row r="997" spans="1:73" hidden="true">
      <c r="D997" s="9" t="s">
        <v>11</v>
      </c>
      <c r="E997" s="2">
        <v>45668</v>
      </c>
      <c r="F997" s="38"/>
      <c r="G997" s="127"/>
      <c r="H997" s="4">
        <f>F320*50%</f>
        <v>2135.3</v>
      </c>
      <c r="I997" s="120">
        <v>900</v>
      </c>
      <c r="J997" s="4">
        <f>(G997+H997)-I997</f>
        <v>1235.3</v>
      </c>
      <c r="K997" s="4">
        <f>J997+O996</f>
        <v>67180.735</v>
      </c>
      <c r="L997" s="113" t="s">
        <v>394</v>
      </c>
      <c r="M997" s="3">
        <v>8341.08</v>
      </c>
      <c r="N997" s="33">
        <f>I997+M997</f>
        <v>9241.08</v>
      </c>
      <c r="O997" s="28">
        <f>K997-M997</f>
        <v>58839.655</v>
      </c>
      <c r="P997" s="9" t="s">
        <v>11</v>
      </c>
      <c r="Q997" s="2">
        <v>45668</v>
      </c>
      <c r="R997" s="38"/>
      <c r="S997" s="52"/>
      <c r="T997" s="4">
        <f>R320*45%</f>
        <v>2146.5</v>
      </c>
      <c r="U997" s="5"/>
      <c r="V997" s="4">
        <f>(S997+T997)-U997</f>
        <v>2146.5</v>
      </c>
      <c r="W997" s="4">
        <f>V997+AA996</f>
        <v>40207.37</v>
      </c>
      <c r="X997" s="3"/>
      <c r="Y997" s="3"/>
      <c r="Z997" s="25">
        <f>U997+Y997</f>
        <v>0</v>
      </c>
      <c r="AA997" s="76">
        <f>W997-Y997</f>
        <v>40207.37</v>
      </c>
      <c r="AB997" s="9" t="s">
        <v>11</v>
      </c>
      <c r="AC997" s="19">
        <v>45668</v>
      </c>
      <c r="AD997" s="41"/>
      <c r="AE997" s="42"/>
      <c r="AF997" s="4">
        <f>AD320-H997-T997</f>
        <v>4758.8</v>
      </c>
      <c r="AG997" s="3"/>
      <c r="AH997" s="8"/>
      <c r="AI997" s="4">
        <f>(AE997+AF997)-AH997</f>
        <v>4758.8</v>
      </c>
      <c r="AJ997" s="4">
        <f>AI997+BP996</f>
        <v>-179800.4005</v>
      </c>
      <c r="AK997" s="8" t="s">
        <v>41</v>
      </c>
      <c r="AL997" s="8">
        <v>3000</v>
      </c>
      <c r="AM997" s="47"/>
      <c r="AN997" s="47"/>
      <c r="AO997" s="8"/>
      <c r="AP997" s="8"/>
      <c r="AQ997" s="47" t="s">
        <v>395</v>
      </c>
      <c r="AR997" s="47">
        <f>720+30</f>
        <v>750</v>
      </c>
      <c r="AS997" s="8"/>
      <c r="AT997" s="8"/>
      <c r="AU997" s="47"/>
      <c r="AV997" s="47"/>
      <c r="AW997" s="8"/>
      <c r="AX997" s="8"/>
      <c r="AY997" s="47"/>
      <c r="AZ997" s="47"/>
      <c r="BA997" s="8" t="s">
        <v>341</v>
      </c>
      <c r="BB997" s="8">
        <v>577.8</v>
      </c>
      <c r="BC997" s="47"/>
      <c r="BD997" s="47"/>
      <c r="BE997" s="8"/>
      <c r="BF997" s="8"/>
      <c r="BG997" s="47" t="s">
        <v>98</v>
      </c>
      <c r="BH997" s="47">
        <v>1000</v>
      </c>
      <c r="BI997" s="8"/>
      <c r="BJ997" s="3"/>
      <c r="BK997" s="47"/>
      <c r="BL997" s="47"/>
      <c r="BM997" s="46"/>
      <c r="BN997" s="46"/>
      <c r="BO997" s="24">
        <f>AL997+AN997+AP997+AR997+AT997+AV997+AX997+AZ997+BB997+BD997+BF997+BH997+BJ997+BL997</f>
        <v>5327.8</v>
      </c>
      <c r="BP997" s="28">
        <f>AJ997-BO997</f>
        <v>-185128.2005</v>
      </c>
      <c r="BQ997" s="2">
        <v>45668</v>
      </c>
    </row>
    <row r="998" spans="1:73" hidden="true">
      <c r="D998" s="9" t="s">
        <v>12</v>
      </c>
      <c r="E998" s="2">
        <v>45669</v>
      </c>
      <c r="F998" s="38"/>
      <c r="G998" s="127"/>
      <c r="H998" s="4">
        <f>F321*50%</f>
        <v>2064.575</v>
      </c>
      <c r="I998" s="120"/>
      <c r="J998" s="4">
        <f>(G998+H998)-I998</f>
        <v>2064.575</v>
      </c>
      <c r="K998" s="4">
        <f>J998+O997</f>
        <v>60904.23</v>
      </c>
      <c r="L998" s="113" t="s">
        <v>396</v>
      </c>
      <c r="M998" s="3">
        <v>5453.6</v>
      </c>
      <c r="N998" s="33">
        <f>I998+M998</f>
        <v>5453.6</v>
      </c>
      <c r="O998" s="28">
        <f>K998-M998</f>
        <v>55450.63</v>
      </c>
      <c r="P998" s="9" t="s">
        <v>12</v>
      </c>
      <c r="Q998" s="2">
        <v>45669</v>
      </c>
      <c r="R998" s="38"/>
      <c r="S998" s="52"/>
      <c r="T998" s="4">
        <f>R321*45%</f>
        <v>4181.265</v>
      </c>
      <c r="U998" s="5"/>
      <c r="V998" s="4">
        <f>(S998+T998)-U998</f>
        <v>4181.265</v>
      </c>
      <c r="W998" s="4">
        <f>V998+AA997</f>
        <v>44388.635</v>
      </c>
      <c r="X998" s="3"/>
      <c r="Y998" s="3"/>
      <c r="Z998" s="25">
        <f>U998+Y998</f>
        <v>0</v>
      </c>
      <c r="AA998" s="76">
        <f>W998-Y998</f>
        <v>44388.635</v>
      </c>
      <c r="AB998" s="9" t="s">
        <v>12</v>
      </c>
      <c r="AC998" s="19">
        <v>45669</v>
      </c>
      <c r="AD998" s="41"/>
      <c r="AE998" s="42"/>
      <c r="AF998" s="4">
        <f>AD321-H998-T998</f>
        <v>7175.01</v>
      </c>
      <c r="AG998" s="3"/>
      <c r="AH998" s="8"/>
      <c r="AI998" s="4">
        <f>(AE998+AF998)-AH998</f>
        <v>7175.01</v>
      </c>
      <c r="AJ998" s="4">
        <f>AI998+BP997</f>
        <v>-177953.1905</v>
      </c>
      <c r="AK998" s="8"/>
      <c r="AL998" s="8"/>
      <c r="AM998" s="47"/>
      <c r="AN998" s="47"/>
      <c r="AO998" s="8"/>
      <c r="AP998" s="8"/>
      <c r="AQ998" s="47"/>
      <c r="AR998" s="47"/>
      <c r="AS998" s="8"/>
      <c r="AT998" s="8"/>
      <c r="AU998" s="47"/>
      <c r="AV998" s="47"/>
      <c r="AW998" s="8"/>
      <c r="AX998" s="8"/>
      <c r="AY998" s="47"/>
      <c r="AZ998" s="47"/>
      <c r="BA998" s="8" t="s">
        <v>341</v>
      </c>
      <c r="BB998" s="8">
        <v>502</v>
      </c>
      <c r="BC998" s="47"/>
      <c r="BD998" s="47"/>
      <c r="BE998" s="8"/>
      <c r="BF998" s="8"/>
      <c r="BG998" s="47" t="s">
        <v>98</v>
      </c>
      <c r="BH998" s="47">
        <v>1000</v>
      </c>
      <c r="BI998" s="8"/>
      <c r="BJ998" s="3"/>
      <c r="BK998" s="47"/>
      <c r="BL998" s="47"/>
      <c r="BM998" s="46"/>
      <c r="BN998" s="46"/>
      <c r="BO998" s="24">
        <f>AL998+AN998+AP998+AR998+AT998+AV998+AX998+AZ998+BB998+BD998+BF998+BH998+BJ998+BL998</f>
        <v>1502</v>
      </c>
      <c r="BP998" s="28">
        <f>AJ998-BO998</f>
        <v>-179455.1905</v>
      </c>
      <c r="BQ998" s="2">
        <v>45669</v>
      </c>
    </row>
    <row r="999" spans="1:73" hidden="true">
      <c r="D999" s="9" t="s">
        <v>13</v>
      </c>
      <c r="E999" s="2">
        <v>45670</v>
      </c>
      <c r="F999" s="38"/>
      <c r="G999" s="127"/>
      <c r="H999" s="4">
        <f>F322*50%</f>
        <v>2056.4</v>
      </c>
      <c r="I999" s="120">
        <v>951</v>
      </c>
      <c r="J999" s="4">
        <f>(G999+H999)-I999</f>
        <v>1105.4</v>
      </c>
      <c r="K999" s="4">
        <f>J999+O998</f>
        <v>56556.03</v>
      </c>
      <c r="L999" s="3"/>
      <c r="M999" s="3"/>
      <c r="N999" s="33">
        <f>I999+M999</f>
        <v>951</v>
      </c>
      <c r="O999" s="28">
        <f>K999-M999</f>
        <v>56556.03</v>
      </c>
      <c r="P999" s="9" t="s">
        <v>13</v>
      </c>
      <c r="Q999" s="2">
        <v>45670</v>
      </c>
      <c r="R999" s="38"/>
      <c r="S999" s="52"/>
      <c r="T999" s="4">
        <f>R322*45%</f>
        <v>2493.45</v>
      </c>
      <c r="U999" s="5"/>
      <c r="V999" s="4">
        <f>(S999+T999)-U999</f>
        <v>2493.45</v>
      </c>
      <c r="W999" s="4">
        <f>V999+AA998</f>
        <v>46882.085</v>
      </c>
      <c r="X999" s="3"/>
      <c r="Y999" s="3"/>
      <c r="Z999" s="25">
        <f>U999+Y999</f>
        <v>0</v>
      </c>
      <c r="AA999" s="76">
        <f>W999-Y999</f>
        <v>46882.085</v>
      </c>
      <c r="AB999" s="9" t="s">
        <v>13</v>
      </c>
      <c r="AC999" s="19">
        <v>45670</v>
      </c>
      <c r="AD999" s="41"/>
      <c r="AE999" s="42"/>
      <c r="AF999" s="4">
        <f>AD322-H999-T999</f>
        <v>5103.95</v>
      </c>
      <c r="AG999" s="3"/>
      <c r="AH999" s="8"/>
      <c r="AI999" s="4">
        <f>(AE999+AF999)-AH999</f>
        <v>5103.95</v>
      </c>
      <c r="AJ999" s="4">
        <f>AI999+BP998</f>
        <v>-174351.2405</v>
      </c>
      <c r="AK999" s="8"/>
      <c r="AL999" s="8"/>
      <c r="AM999" s="47"/>
      <c r="AN999" s="47"/>
      <c r="AO999" s="8"/>
      <c r="AP999" s="8"/>
      <c r="AQ999" s="47"/>
      <c r="AR999" s="47"/>
      <c r="AS999" s="8"/>
      <c r="AT999" s="8"/>
      <c r="AU999" s="47"/>
      <c r="AV999" s="47"/>
      <c r="AW999" s="8"/>
      <c r="AX999" s="8"/>
      <c r="AY999" s="47"/>
      <c r="AZ999" s="47"/>
      <c r="BA999" s="8" t="s">
        <v>341</v>
      </c>
      <c r="BB999" s="8">
        <v>531.8</v>
      </c>
      <c r="BC999" s="47"/>
      <c r="BD999" s="47"/>
      <c r="BE999" s="8"/>
      <c r="BF999" s="8"/>
      <c r="BG999" s="47" t="s">
        <v>98</v>
      </c>
      <c r="BH999" s="47">
        <v>1000</v>
      </c>
      <c r="BI999" s="8"/>
      <c r="BJ999" s="3"/>
      <c r="BK999" s="47"/>
      <c r="BL999" s="47"/>
      <c r="BM999" s="46"/>
      <c r="BN999" s="46"/>
      <c r="BO999" s="24">
        <f>AL999+AN999+AP999+AR999+AT999+AV999+AX999+AZ999+BB999+BD999+BF999+BH999+BJ999+BL999</f>
        <v>1531.8</v>
      </c>
      <c r="BP999" s="28">
        <f>AJ999-BO999</f>
        <v>-175883.0405</v>
      </c>
      <c r="BQ999" s="2">
        <v>45670</v>
      </c>
    </row>
    <row r="1000" spans="1:73" hidden="true">
      <c r="D1000" s="9" t="s">
        <v>14</v>
      </c>
      <c r="E1000" s="2">
        <v>45671</v>
      </c>
      <c r="F1000" s="38"/>
      <c r="G1000" s="127"/>
      <c r="H1000" s="4">
        <f>F323*50%</f>
        <v>2348.7</v>
      </c>
      <c r="I1000" s="120">
        <v>574</v>
      </c>
      <c r="J1000" s="4">
        <f>(G1000+H1000)-I1000</f>
        <v>1774.7</v>
      </c>
      <c r="K1000" s="4">
        <f>J1000+O999</f>
        <v>58330.73</v>
      </c>
      <c r="L1000" s="3"/>
      <c r="M1000" s="3"/>
      <c r="N1000" s="33">
        <f>I1000+M1000</f>
        <v>574</v>
      </c>
      <c r="O1000" s="28">
        <f>K1000-M1000</f>
        <v>58330.73</v>
      </c>
      <c r="P1000" s="9" t="s">
        <v>14</v>
      </c>
      <c r="Q1000" s="2">
        <v>45671</v>
      </c>
      <c r="R1000" s="38"/>
      <c r="S1000" s="52"/>
      <c r="T1000" s="4">
        <f>R323*45%</f>
        <v>3071.7</v>
      </c>
      <c r="U1000" s="5"/>
      <c r="V1000" s="4">
        <f>(S1000+T1000)-U1000</f>
        <v>3071.7</v>
      </c>
      <c r="W1000" s="4">
        <f>V1000+AA999</f>
        <v>49953.785</v>
      </c>
      <c r="X1000" s="3"/>
      <c r="Y1000" s="3"/>
      <c r="Z1000" s="25">
        <f>U1000+Y1000</f>
        <v>0</v>
      </c>
      <c r="AA1000" s="76">
        <f>W1000-Y1000</f>
        <v>49953.785</v>
      </c>
      <c r="AB1000" s="9" t="s">
        <v>14</v>
      </c>
      <c r="AC1000" s="19">
        <v>45671</v>
      </c>
      <c r="AD1000" s="41"/>
      <c r="AE1000" s="42"/>
      <c r="AF1000" s="4">
        <f>AD323-H1000-T1000</f>
        <v>6103</v>
      </c>
      <c r="AG1000" s="3"/>
      <c r="AH1000" s="8"/>
      <c r="AI1000" s="4">
        <f>(AE1000+AF1000)-AH1000</f>
        <v>6103</v>
      </c>
      <c r="AJ1000" s="4">
        <f>AI1000+BP999</f>
        <v>-169780.0405</v>
      </c>
      <c r="AK1000" s="8" t="s">
        <v>41</v>
      </c>
      <c r="AL1000" s="8">
        <v>1900</v>
      </c>
      <c r="AM1000" s="47"/>
      <c r="AN1000" s="47"/>
      <c r="AO1000" s="8" t="s">
        <v>55</v>
      </c>
      <c r="AP1000" s="8">
        <v>300</v>
      </c>
      <c r="AQ1000" s="47"/>
      <c r="AR1000" s="47"/>
      <c r="AS1000" s="8"/>
      <c r="AT1000" s="8"/>
      <c r="AU1000" s="47"/>
      <c r="AV1000" s="47"/>
      <c r="AW1000" s="8"/>
      <c r="AX1000" s="8"/>
      <c r="AY1000" s="47"/>
      <c r="AZ1000" s="47"/>
      <c r="BA1000" s="8" t="s">
        <v>341</v>
      </c>
      <c r="BB1000" s="8">
        <v>457</v>
      </c>
      <c r="BC1000" s="47"/>
      <c r="BD1000" s="47"/>
      <c r="BE1000" s="8"/>
      <c r="BF1000" s="8"/>
      <c r="BG1000" s="47" t="s">
        <v>98</v>
      </c>
      <c r="BH1000" s="47">
        <v>1000</v>
      </c>
      <c r="BI1000" s="8"/>
      <c r="BJ1000" s="3"/>
      <c r="BK1000" s="47"/>
      <c r="BL1000" s="47"/>
      <c r="BM1000" s="46"/>
      <c r="BN1000" s="46"/>
      <c r="BO1000" s="24">
        <f>AL1000+AN1000+AP1000+AR1000+AT1000+AV1000+AX1000+AZ1000+BB1000+BD1000+BF1000+BH1000+BJ1000+BL1000</f>
        <v>3657</v>
      </c>
      <c r="BP1000" s="28">
        <f>AJ1000-BO1000</f>
        <v>-173437.0405</v>
      </c>
      <c r="BQ1000" s="2">
        <v>45671</v>
      </c>
    </row>
    <row r="1001" spans="1:73" hidden="true">
      <c r="D1001" s="9" t="s">
        <v>15</v>
      </c>
      <c r="E1001" s="2">
        <v>45672</v>
      </c>
      <c r="F1001" s="38"/>
      <c r="G1001" s="127"/>
      <c r="H1001" s="4">
        <f>F324*50%</f>
        <v>1401.675</v>
      </c>
      <c r="I1001" s="120">
        <v>874</v>
      </c>
      <c r="J1001" s="4">
        <f>(G1001+H1001)-I1001</f>
        <v>527.675</v>
      </c>
      <c r="K1001" s="4">
        <f>J1001+O1000</f>
        <v>58858.405</v>
      </c>
      <c r="L1001" s="113" t="s">
        <v>388</v>
      </c>
      <c r="M1001" s="3">
        <v>4402.62</v>
      </c>
      <c r="N1001" s="33">
        <f>I1001+M1001</f>
        <v>5276.62</v>
      </c>
      <c r="O1001" s="28">
        <f>K1001-M1001</f>
        <v>54455.785</v>
      </c>
      <c r="P1001" s="9" t="s">
        <v>15</v>
      </c>
      <c r="Q1001" s="2">
        <v>45672</v>
      </c>
      <c r="R1001" s="38"/>
      <c r="S1001" s="52"/>
      <c r="T1001" s="4">
        <f>R324*45%</f>
        <v>2790.9</v>
      </c>
      <c r="U1001" s="5"/>
      <c r="V1001" s="4">
        <f>(S1001+T1001)-U1001</f>
        <v>2790.9</v>
      </c>
      <c r="W1001" s="4">
        <f>V1001+AA1000</f>
        <v>52744.685</v>
      </c>
      <c r="X1001" s="113" t="s">
        <v>397</v>
      </c>
      <c r="Y1001" s="3">
        <v>7000</v>
      </c>
      <c r="Z1001" s="25">
        <f>U1001+Y1001</f>
        <v>7000</v>
      </c>
      <c r="AA1001" s="76">
        <f>W1001-Y1001</f>
        <v>45744.685</v>
      </c>
      <c r="AB1001" s="9" t="s">
        <v>15</v>
      </c>
      <c r="AC1001" s="19">
        <v>45672</v>
      </c>
      <c r="AD1001" s="41"/>
      <c r="AE1001" s="42"/>
      <c r="AF1001" s="4">
        <f>AD324-H1001-T1001</f>
        <v>4812.775</v>
      </c>
      <c r="AG1001" s="3"/>
      <c r="AH1001" s="8"/>
      <c r="AI1001" s="4">
        <f>(AE1001+AF1001)-AH1001</f>
        <v>4812.775</v>
      </c>
      <c r="AJ1001" s="4">
        <f>AI1001+BP1000</f>
        <v>-168624.2655</v>
      </c>
      <c r="AK1001" s="8"/>
      <c r="AL1001" s="8"/>
      <c r="AM1001" s="47"/>
      <c r="AN1001" s="47"/>
      <c r="AO1001" s="8" t="s">
        <v>55</v>
      </c>
      <c r="AP1001" s="8">
        <v>30.5</v>
      </c>
      <c r="AQ1001" s="47"/>
      <c r="AR1001" s="47"/>
      <c r="AS1001" s="8"/>
      <c r="AT1001" s="8"/>
      <c r="AU1001" s="47"/>
      <c r="AV1001" s="47"/>
      <c r="AW1001" s="8"/>
      <c r="AX1001" s="8"/>
      <c r="AY1001" s="47"/>
      <c r="AZ1001" s="47"/>
      <c r="BA1001" s="8" t="s">
        <v>341</v>
      </c>
      <c r="BB1001" s="8">
        <v>456</v>
      </c>
      <c r="BC1001" s="47"/>
      <c r="BD1001" s="47"/>
      <c r="BE1001" s="8"/>
      <c r="BF1001" s="8"/>
      <c r="BG1001" s="47" t="s">
        <v>98</v>
      </c>
      <c r="BH1001" s="47">
        <v>700</v>
      </c>
      <c r="BI1001" s="8"/>
      <c r="BJ1001" s="3"/>
      <c r="BK1001" s="47"/>
      <c r="BL1001" s="47"/>
      <c r="BM1001" s="46"/>
      <c r="BN1001" s="46"/>
      <c r="BO1001" s="24">
        <f>AL1001+AN1001+AP1001+AR1001+AT1001+AV1001+AX1001+AZ1001+BB1001+BD1001+BF1001+BH1001+BJ1001+BL1001</f>
        <v>1186.5</v>
      </c>
      <c r="BP1001" s="28">
        <f>AJ1001-BO1001</f>
        <v>-169810.7655</v>
      </c>
      <c r="BQ1001" s="2">
        <v>45672</v>
      </c>
    </row>
    <row r="1002" spans="1:73" hidden="true">
      <c r="D1002" s="9" t="s">
        <v>16</v>
      </c>
      <c r="E1002" s="2">
        <v>45673</v>
      </c>
      <c r="F1002" s="38"/>
      <c r="G1002" s="127"/>
      <c r="H1002" s="4">
        <f>F325*50%</f>
        <v>1601.825</v>
      </c>
      <c r="I1002" s="120"/>
      <c r="J1002" s="4">
        <f>(G1002+H1002)-I1002</f>
        <v>1601.825</v>
      </c>
      <c r="K1002" s="4">
        <f>J1002+O1001</f>
        <v>56057.61</v>
      </c>
      <c r="L1002" s="3"/>
      <c r="M1002" s="3"/>
      <c r="N1002" s="33">
        <f>I1002+M1002</f>
        <v>0</v>
      </c>
      <c r="O1002" s="28">
        <f>K1002-M1002</f>
        <v>56057.61</v>
      </c>
      <c r="P1002" s="9" t="s">
        <v>16</v>
      </c>
      <c r="Q1002" s="2">
        <v>45673</v>
      </c>
      <c r="R1002" s="38"/>
      <c r="S1002" s="52"/>
      <c r="T1002" s="4">
        <f>R325*45%</f>
        <v>2106</v>
      </c>
      <c r="U1002" s="5"/>
      <c r="V1002" s="4">
        <f>(S1002+T1002)-U1002</f>
        <v>2106</v>
      </c>
      <c r="W1002" s="4">
        <f>V1002+AA1001</f>
        <v>47850.685</v>
      </c>
      <c r="X1002" s="3"/>
      <c r="Y1002" s="3"/>
      <c r="Z1002" s="25">
        <f>U1002+Y1002</f>
        <v>0</v>
      </c>
      <c r="AA1002" s="76">
        <f>W1002-Y1002</f>
        <v>47850.685</v>
      </c>
      <c r="AB1002" s="9" t="s">
        <v>16</v>
      </c>
      <c r="AC1002" s="19">
        <v>45673</v>
      </c>
      <c r="AD1002" s="41"/>
      <c r="AE1002" s="42"/>
      <c r="AF1002" s="4">
        <f>AD325-H1002-T1002</f>
        <v>4175.825</v>
      </c>
      <c r="AG1002" s="3"/>
      <c r="AH1002" s="8"/>
      <c r="AI1002" s="4">
        <f>(AE1002+AF1002)-AH1002</f>
        <v>4175.825</v>
      </c>
      <c r="AJ1002" s="4">
        <f>AI1002+BP1001</f>
        <v>-165634.9405</v>
      </c>
      <c r="AK1002" s="8"/>
      <c r="AL1002" s="8"/>
      <c r="AM1002" s="47"/>
      <c r="AN1002" s="47"/>
      <c r="AO1002" s="8" t="s">
        <v>55</v>
      </c>
      <c r="AP1002" s="8">
        <v>1</v>
      </c>
      <c r="AQ1002" s="47"/>
      <c r="AR1002" s="47"/>
      <c r="AS1002" s="8"/>
      <c r="AT1002" s="8"/>
      <c r="AU1002" s="47"/>
      <c r="AV1002" s="47"/>
      <c r="AW1002" s="8"/>
      <c r="AX1002" s="8"/>
      <c r="AY1002" s="47"/>
      <c r="AZ1002" s="47"/>
      <c r="BA1002" s="8" t="s">
        <v>341</v>
      </c>
      <c r="BB1002" s="8">
        <v>430</v>
      </c>
      <c r="BC1002" s="47"/>
      <c r="BD1002" s="47"/>
      <c r="BE1002" s="8" t="s">
        <v>398</v>
      </c>
      <c r="BF1002" s="8">
        <v>3000</v>
      </c>
      <c r="BG1002" s="47" t="s">
        <v>98</v>
      </c>
      <c r="BH1002" s="47">
        <v>1000</v>
      </c>
      <c r="BI1002" s="8"/>
      <c r="BJ1002" s="3"/>
      <c r="BK1002" s="47"/>
      <c r="BL1002" s="47"/>
      <c r="BM1002" s="46"/>
      <c r="BN1002" s="46"/>
      <c r="BO1002" s="24">
        <f>AL1002+AN1002+AP1002+AR1002+AT1002+AV1002+AX1002+AZ1002+BB1002+BD1002+BF1002+BH1002+BJ1002+BL1002</f>
        <v>4431</v>
      </c>
      <c r="BP1002" s="28">
        <f>AJ1002-BO1002</f>
        <v>-170065.9405</v>
      </c>
      <c r="BQ1002" s="2">
        <v>45673</v>
      </c>
    </row>
    <row r="1003" spans="1:73" hidden="true">
      <c r="D1003" s="9" t="s">
        <v>10</v>
      </c>
      <c r="E1003" s="2">
        <v>45674</v>
      </c>
      <c r="F1003" s="38"/>
      <c r="G1003" s="127"/>
      <c r="H1003" s="4">
        <f>F326*50%</f>
        <v>2321.35</v>
      </c>
      <c r="I1003" s="120"/>
      <c r="J1003" s="4">
        <f>(G1003+H1003)-I1003</f>
        <v>2321.35</v>
      </c>
      <c r="K1003" s="4">
        <f>J1003+O1002</f>
        <v>58378.96</v>
      </c>
      <c r="L1003" s="3"/>
      <c r="M1003" s="3"/>
      <c r="N1003" s="33">
        <f>I1003+M1003</f>
        <v>0</v>
      </c>
      <c r="O1003" s="28">
        <f>K1003-M1003</f>
        <v>58378.96</v>
      </c>
      <c r="P1003" s="9" t="s">
        <v>10</v>
      </c>
      <c r="Q1003" s="2">
        <v>45674</v>
      </c>
      <c r="R1003" s="38"/>
      <c r="S1003" s="52"/>
      <c r="T1003" s="4">
        <f>R326*45%</f>
        <v>2107.755</v>
      </c>
      <c r="U1003" s="5"/>
      <c r="V1003" s="4">
        <f>(S1003+T1003)-U1003</f>
        <v>2107.755</v>
      </c>
      <c r="W1003" s="4">
        <f>V1003+AA1002</f>
        <v>49958.44</v>
      </c>
      <c r="X1003" s="3"/>
      <c r="Y1003" s="3"/>
      <c r="Z1003" s="25">
        <f>U1003+Y1003</f>
        <v>0</v>
      </c>
      <c r="AA1003" s="76">
        <f>W1003-Y1003</f>
        <v>49958.44</v>
      </c>
      <c r="AB1003" s="9" t="s">
        <v>10</v>
      </c>
      <c r="AC1003" s="19">
        <v>45674</v>
      </c>
      <c r="AD1003" s="41"/>
      <c r="AE1003" s="42"/>
      <c r="AF1003" s="4">
        <f>AD326-H1003-T1003</f>
        <v>4897.495</v>
      </c>
      <c r="AG1003" s="3"/>
      <c r="AH1003" s="8"/>
      <c r="AI1003" s="4">
        <f>(AE1003+AF1003)-AH1003</f>
        <v>4897.495</v>
      </c>
      <c r="AJ1003" s="4">
        <f>AI1003+BP1002</f>
        <v>-165168.4455</v>
      </c>
      <c r="AK1003" s="8" t="s">
        <v>41</v>
      </c>
      <c r="AL1003" s="8">
        <v>5000</v>
      </c>
      <c r="AM1003" s="47" t="s">
        <v>399</v>
      </c>
      <c r="AN1003" s="47">
        <v>375</v>
      </c>
      <c r="AO1003" s="8"/>
      <c r="AP1003" s="8"/>
      <c r="AQ1003" s="47"/>
      <c r="AR1003" s="47"/>
      <c r="AS1003" s="8"/>
      <c r="AT1003" s="8"/>
      <c r="AU1003" s="47"/>
      <c r="AV1003" s="47"/>
      <c r="AW1003" s="8"/>
      <c r="AX1003" s="8"/>
      <c r="AY1003" s="47"/>
      <c r="AZ1003" s="47"/>
      <c r="BA1003" s="8" t="s">
        <v>341</v>
      </c>
      <c r="BB1003" s="8">
        <v>498.6</v>
      </c>
      <c r="BC1003" s="47"/>
      <c r="BD1003" s="47"/>
      <c r="BE1003" s="8"/>
      <c r="BF1003" s="8"/>
      <c r="BG1003" s="47" t="s">
        <v>98</v>
      </c>
      <c r="BH1003" s="47">
        <v>1000</v>
      </c>
      <c r="BI1003" s="8"/>
      <c r="BJ1003" s="3"/>
      <c r="BK1003" s="47"/>
      <c r="BL1003" s="47"/>
      <c r="BM1003" s="46"/>
      <c r="BN1003" s="46"/>
      <c r="BO1003" s="24">
        <f>AL1003+AN1003+AP1003+AR1003+AT1003+AV1003+AX1003+AZ1003+BB1003+BD1003+BF1003+BH1003+BJ1003+BL1003</f>
        <v>6873.6</v>
      </c>
      <c r="BP1003" s="28">
        <f>AJ1003-BO1003</f>
        <v>-172042.0455</v>
      </c>
      <c r="BQ1003" s="2">
        <v>45674</v>
      </c>
    </row>
    <row r="1004" spans="1:73" hidden="true">
      <c r="D1004" s="9" t="s">
        <v>11</v>
      </c>
      <c r="E1004" s="2">
        <v>45675</v>
      </c>
      <c r="F1004" s="38"/>
      <c r="G1004" s="127"/>
      <c r="H1004" s="4">
        <f>F327*50%</f>
        <v>2152.125</v>
      </c>
      <c r="I1004" s="120">
        <v>991</v>
      </c>
      <c r="J1004" s="4">
        <f>(G1004+H1004)-I1004</f>
        <v>1161.125</v>
      </c>
      <c r="K1004" s="4">
        <f>J1004+O1003</f>
        <v>59540.085</v>
      </c>
      <c r="L1004" s="3"/>
      <c r="M1004" s="3"/>
      <c r="N1004" s="33">
        <f>I1004+M1004</f>
        <v>991</v>
      </c>
      <c r="O1004" s="28">
        <f>K1004-M1004</f>
        <v>59540.085</v>
      </c>
      <c r="P1004" s="9" t="s">
        <v>11</v>
      </c>
      <c r="Q1004" s="2">
        <v>45675</v>
      </c>
      <c r="R1004" s="38"/>
      <c r="S1004" s="52"/>
      <c r="T1004" s="4">
        <f>R327*45%</f>
        <v>3897.9</v>
      </c>
      <c r="U1004" s="5">
        <v>390</v>
      </c>
      <c r="V1004" s="4">
        <f>(S1004+T1004)-U1004</f>
        <v>3507.9</v>
      </c>
      <c r="W1004" s="4">
        <f>V1004+AA1003</f>
        <v>53466.34</v>
      </c>
      <c r="X1004" s="3" t="s">
        <v>400</v>
      </c>
      <c r="Y1004" s="3">
        <v>12080</v>
      </c>
      <c r="Z1004" s="25">
        <f>U1004+Y1004</f>
        <v>12470</v>
      </c>
      <c r="AA1004" s="76">
        <f>W1004-Y1004</f>
        <v>41386.34</v>
      </c>
      <c r="AB1004" s="9" t="s">
        <v>11</v>
      </c>
      <c r="AC1004" s="19">
        <v>45675</v>
      </c>
      <c r="AD1004" s="41"/>
      <c r="AE1004" s="42"/>
      <c r="AF1004" s="4">
        <f>AD327-H1004-T1004</f>
        <v>6916.225</v>
      </c>
      <c r="AG1004" s="3"/>
      <c r="AH1004" s="8"/>
      <c r="AI1004" s="4">
        <f>(AE1004+AF1004)-AH1004</f>
        <v>6916.225</v>
      </c>
      <c r="AJ1004" s="4">
        <f>AI1004+BP1003</f>
        <v>-165125.8205</v>
      </c>
      <c r="AK1004" s="8"/>
      <c r="AL1004" s="8"/>
      <c r="AM1004" s="47"/>
      <c r="AN1004" s="47"/>
      <c r="AO1004" s="8"/>
      <c r="AP1004" s="8"/>
      <c r="AQ1004" s="47" t="s">
        <v>401</v>
      </c>
      <c r="AR1004" s="47">
        <v>720</v>
      </c>
      <c r="AS1004" s="8"/>
      <c r="AT1004" s="8"/>
      <c r="AU1004" s="47"/>
      <c r="AV1004" s="47"/>
      <c r="AW1004" s="8"/>
      <c r="AX1004" s="8"/>
      <c r="AY1004" s="47"/>
      <c r="AZ1004" s="47"/>
      <c r="BA1004" s="8" t="s">
        <v>341</v>
      </c>
      <c r="BB1004" s="8">
        <v>833.3</v>
      </c>
      <c r="BC1004" s="47"/>
      <c r="BD1004" s="47"/>
      <c r="BE1004" s="8" t="s">
        <v>398</v>
      </c>
      <c r="BF1004" s="8">
        <v>2000</v>
      </c>
      <c r="BG1004" s="47" t="s">
        <v>98</v>
      </c>
      <c r="BH1004" s="47">
        <v>1000</v>
      </c>
      <c r="BI1004" s="8"/>
      <c r="BJ1004" s="3"/>
      <c r="BK1004" s="47"/>
      <c r="BL1004" s="47"/>
      <c r="BM1004" s="46"/>
      <c r="BN1004" s="46"/>
      <c r="BO1004" s="24">
        <f>AL1004+AN1004+AP1004+AR1004+AT1004+AV1004+AX1004+AZ1004+BB1004+BD1004+BF1004+BH1004+BJ1004+BL1004</f>
        <v>4553.3</v>
      </c>
      <c r="BP1004" s="28">
        <f>AJ1004-BO1004</f>
        <v>-169679.1205</v>
      </c>
      <c r="BQ1004" s="2">
        <v>45675</v>
      </c>
    </row>
    <row r="1005" spans="1:73" hidden="true">
      <c r="D1005" s="9" t="s">
        <v>12</v>
      </c>
      <c r="E1005" s="2">
        <v>45676</v>
      </c>
      <c r="F1005" s="38"/>
      <c r="G1005" s="127"/>
      <c r="H1005" s="4">
        <f>F328*50%</f>
        <v>2125.15</v>
      </c>
      <c r="I1005" s="120"/>
      <c r="J1005" s="4">
        <f>(G1005+H1005)-I1005</f>
        <v>2125.15</v>
      </c>
      <c r="K1005" s="4">
        <f>J1005+O1004</f>
        <v>61665.235</v>
      </c>
      <c r="L1005" s="3"/>
      <c r="M1005" s="3"/>
      <c r="N1005" s="33">
        <f>I1005+M1005</f>
        <v>0</v>
      </c>
      <c r="O1005" s="28">
        <f>K1005-M1005</f>
        <v>61665.235</v>
      </c>
      <c r="P1005" s="9" t="s">
        <v>12</v>
      </c>
      <c r="Q1005" s="2">
        <v>45676</v>
      </c>
      <c r="R1005" s="38"/>
      <c r="S1005" s="52"/>
      <c r="T1005" s="4">
        <f>R328*45%</f>
        <v>3752.55</v>
      </c>
      <c r="U1005" s="5"/>
      <c r="V1005" s="4">
        <f>(S1005+T1005)-U1005</f>
        <v>3752.55</v>
      </c>
      <c r="W1005" s="4">
        <f>V1005+AA1004</f>
        <v>45138.89</v>
      </c>
      <c r="X1005" s="3"/>
      <c r="Y1005" s="3"/>
      <c r="Z1005" s="25">
        <f>U1005+Y1005</f>
        <v>0</v>
      </c>
      <c r="AA1005" s="76">
        <f>W1005-Y1005</f>
        <v>45138.89</v>
      </c>
      <c r="AB1005" s="9" t="s">
        <v>12</v>
      </c>
      <c r="AC1005" s="19">
        <v>45676</v>
      </c>
      <c r="AD1005" s="41"/>
      <c r="AE1005" s="42"/>
      <c r="AF1005" s="4">
        <f>AD328-H1005-T1005</f>
        <v>6711.6</v>
      </c>
      <c r="AG1005" s="3"/>
      <c r="AH1005" s="8"/>
      <c r="AI1005" s="4">
        <f>(AE1005+AF1005)-AH1005</f>
        <v>6711.6</v>
      </c>
      <c r="AJ1005" s="4">
        <f>AI1005+BP1004</f>
        <v>-162967.5205</v>
      </c>
      <c r="AK1005" s="8" t="s">
        <v>41</v>
      </c>
      <c r="AL1005" s="8">
        <v>5000</v>
      </c>
      <c r="AM1005" s="47"/>
      <c r="AN1005" s="47"/>
      <c r="AO1005" s="8"/>
      <c r="AP1005" s="8"/>
      <c r="AQ1005" s="47"/>
      <c r="AR1005" s="47"/>
      <c r="AS1005" s="8"/>
      <c r="AT1005" s="8"/>
      <c r="AU1005" s="47"/>
      <c r="AV1005" s="47"/>
      <c r="AW1005" s="8"/>
      <c r="AX1005" s="8"/>
      <c r="AY1005" s="47"/>
      <c r="AZ1005" s="47"/>
      <c r="BA1005" s="8" t="s">
        <v>341</v>
      </c>
      <c r="BB1005" s="8">
        <v>657.6</v>
      </c>
      <c r="BC1005" s="47"/>
      <c r="BD1005" s="47"/>
      <c r="BE1005" s="8"/>
      <c r="BF1005" s="8"/>
      <c r="BG1005" s="47" t="s">
        <v>98</v>
      </c>
      <c r="BH1005" s="47">
        <v>1000</v>
      </c>
      <c r="BI1005" s="8"/>
      <c r="BJ1005" s="3"/>
      <c r="BK1005" s="47"/>
      <c r="BL1005" s="47"/>
      <c r="BM1005" s="46"/>
      <c r="BN1005" s="46"/>
      <c r="BO1005" s="24">
        <f>AL1005+AN1005+AP1005+AR1005+AT1005+AV1005+AX1005+AZ1005+BB1005+BD1005+BF1005+BH1005+BJ1005+BL1005</f>
        <v>6657.6</v>
      </c>
      <c r="BP1005" s="28">
        <f>AJ1005-BO1005</f>
        <v>-169625.1205</v>
      </c>
      <c r="BQ1005" s="2">
        <v>45676</v>
      </c>
    </row>
    <row r="1006" spans="1:73" hidden="true">
      <c r="D1006" s="9" t="s">
        <v>13</v>
      </c>
      <c r="E1006" s="2">
        <v>45677</v>
      </c>
      <c r="F1006" s="38"/>
      <c r="G1006" s="127"/>
      <c r="H1006" s="4">
        <f>F329*50%</f>
        <v>1547.8</v>
      </c>
      <c r="I1006" s="120"/>
      <c r="J1006" s="4">
        <f>(G1006+H1006)-I1006</f>
        <v>1547.8</v>
      </c>
      <c r="K1006" s="4">
        <f>J1006+O1005</f>
        <v>63213.035</v>
      </c>
      <c r="L1006" s="3"/>
      <c r="M1006" s="3"/>
      <c r="N1006" s="33">
        <f>I1006+M1006</f>
        <v>0</v>
      </c>
      <c r="O1006" s="28">
        <f>K1006-M1006</f>
        <v>63213.035</v>
      </c>
      <c r="P1006" s="9" t="s">
        <v>13</v>
      </c>
      <c r="Q1006" s="2">
        <v>45677</v>
      </c>
      <c r="R1006" s="38"/>
      <c r="S1006" s="52"/>
      <c r="T1006" s="4">
        <f>R329*45%</f>
        <v>2754.45</v>
      </c>
      <c r="U1006" s="5"/>
      <c r="V1006" s="4">
        <f>(S1006+T1006)-U1006</f>
        <v>2754.45</v>
      </c>
      <c r="W1006" s="4">
        <f>V1006+AA1005</f>
        <v>47893.34</v>
      </c>
      <c r="X1006" s="3"/>
      <c r="Y1006" s="3"/>
      <c r="Z1006" s="25">
        <f>U1006+Y1006</f>
        <v>0</v>
      </c>
      <c r="AA1006" s="76">
        <f>W1006-Y1006</f>
        <v>47893.34</v>
      </c>
      <c r="AB1006" s="9" t="s">
        <v>13</v>
      </c>
      <c r="AC1006" s="19">
        <v>45677</v>
      </c>
      <c r="AD1006" s="41"/>
      <c r="AE1006" s="42"/>
      <c r="AF1006" s="4">
        <f>AD329-H1006-T1006</f>
        <v>4914.35</v>
      </c>
      <c r="AG1006" s="3"/>
      <c r="AH1006" s="8"/>
      <c r="AI1006" s="4">
        <f>(AE1006+AF1006)-AH1006</f>
        <v>4914.35</v>
      </c>
      <c r="AJ1006" s="4">
        <f>AI1006+BP1005</f>
        <v>-164710.7705</v>
      </c>
      <c r="AK1006" s="8" t="s">
        <v>402</v>
      </c>
      <c r="AL1006" s="8">
        <f>4547+4500</f>
        <v>9047</v>
      </c>
      <c r="AM1006" s="47"/>
      <c r="AN1006" s="47"/>
      <c r="AO1006" s="8"/>
      <c r="AP1006" s="8"/>
      <c r="AQ1006" s="47"/>
      <c r="AR1006" s="47"/>
      <c r="AS1006" s="8"/>
      <c r="AT1006" s="8"/>
      <c r="AU1006" s="47"/>
      <c r="AV1006" s="47"/>
      <c r="AW1006" s="8"/>
      <c r="AX1006" s="8"/>
      <c r="AY1006" s="47"/>
      <c r="AZ1006" s="47"/>
      <c r="BA1006" s="8" t="s">
        <v>341</v>
      </c>
      <c r="BB1006" s="8">
        <v>740</v>
      </c>
      <c r="BC1006" s="47"/>
      <c r="BD1006" s="47"/>
      <c r="BE1006" s="8"/>
      <c r="BF1006" s="8"/>
      <c r="BG1006" s="47" t="s">
        <v>98</v>
      </c>
      <c r="BH1006" s="47">
        <v>1000</v>
      </c>
      <c r="BI1006" s="8"/>
      <c r="BJ1006" s="3"/>
      <c r="BK1006" s="47"/>
      <c r="BL1006" s="47"/>
      <c r="BM1006" s="46"/>
      <c r="BN1006" s="46"/>
      <c r="BO1006" s="24">
        <f>AL1006+AN1006+AP1006+AR1006+AT1006+AV1006+AX1006+AZ1006+BB1006+BD1006+BF1006+BH1006+BJ1006+BL1006</f>
        <v>10787</v>
      </c>
      <c r="BP1006" s="28">
        <f>AJ1006-BO1006</f>
        <v>-175497.7705</v>
      </c>
      <c r="BQ1006" s="2">
        <v>45677</v>
      </c>
    </row>
    <row r="1007" spans="1:73" hidden="true">
      <c r="D1007" s="9" t="s">
        <v>14</v>
      </c>
      <c r="E1007" s="2">
        <v>45678</v>
      </c>
      <c r="F1007" s="38"/>
      <c r="G1007" s="127"/>
      <c r="H1007" s="4">
        <f>F330*50%</f>
        <v>1304.025</v>
      </c>
      <c r="I1007" s="120"/>
      <c r="J1007" s="4">
        <f>(G1007+H1007)-I1007</f>
        <v>1304.025</v>
      </c>
      <c r="K1007" s="4">
        <f>J1007+O1006</f>
        <v>64517.06</v>
      </c>
      <c r="L1007" s="3"/>
      <c r="M1007" s="3"/>
      <c r="N1007" s="33">
        <f>I1007+M1007</f>
        <v>0</v>
      </c>
      <c r="O1007" s="28">
        <f>K1007-M1007</f>
        <v>64517.06</v>
      </c>
      <c r="P1007" s="9" t="s">
        <v>14</v>
      </c>
      <c r="Q1007" s="2">
        <v>45678</v>
      </c>
      <c r="R1007" s="38"/>
      <c r="S1007" s="52"/>
      <c r="T1007" s="4">
        <f>R330*45%</f>
        <v>1912.905</v>
      </c>
      <c r="U1007" s="5"/>
      <c r="V1007" s="4">
        <f>(S1007+T1007)-U1007</f>
        <v>1912.905</v>
      </c>
      <c r="W1007" s="4">
        <f>V1007+AA1006</f>
        <v>49806.245</v>
      </c>
      <c r="X1007" s="3"/>
      <c r="Y1007" s="3"/>
      <c r="Z1007" s="25">
        <f>U1007+Y1007</f>
        <v>0</v>
      </c>
      <c r="AA1007" s="76">
        <f>W1007-Y1007</f>
        <v>49806.245</v>
      </c>
      <c r="AB1007" s="9" t="s">
        <v>14</v>
      </c>
      <c r="AC1007" s="19">
        <v>45678</v>
      </c>
      <c r="AD1007" s="41"/>
      <c r="AE1007" s="42"/>
      <c r="AF1007" s="4">
        <f>AD330-H1007-T1007</f>
        <v>3642.02</v>
      </c>
      <c r="AG1007" s="3"/>
      <c r="AH1007" s="8"/>
      <c r="AI1007" s="4">
        <f>(AE1007+AF1007)-AH1007</f>
        <v>3642.02</v>
      </c>
      <c r="AJ1007" s="4">
        <f>AI1007+BP1006</f>
        <v>-171855.7505</v>
      </c>
      <c r="AK1007" s="8" t="s">
        <v>41</v>
      </c>
      <c r="AL1007" s="8">
        <v>5000</v>
      </c>
      <c r="AM1007" s="47"/>
      <c r="AN1007" s="47"/>
      <c r="AO1007" s="8"/>
      <c r="AP1007" s="8"/>
      <c r="AQ1007" s="47"/>
      <c r="AR1007" s="47"/>
      <c r="AS1007" s="8"/>
      <c r="AT1007" s="8"/>
      <c r="AU1007" s="47"/>
      <c r="AV1007" s="47"/>
      <c r="AW1007" s="8"/>
      <c r="AX1007" s="8"/>
      <c r="AY1007" s="47"/>
      <c r="AZ1007" s="47"/>
      <c r="BA1007" s="8" t="s">
        <v>341</v>
      </c>
      <c r="BB1007" s="8">
        <v>321</v>
      </c>
      <c r="BC1007" s="47"/>
      <c r="BD1007" s="47"/>
      <c r="BE1007" s="8"/>
      <c r="BF1007" s="8"/>
      <c r="BG1007" s="47"/>
      <c r="BH1007" s="47"/>
      <c r="BI1007" s="8"/>
      <c r="BJ1007" s="3"/>
      <c r="BK1007" s="47"/>
      <c r="BL1007" s="47"/>
      <c r="BM1007" s="46"/>
      <c r="BN1007" s="46"/>
      <c r="BO1007" s="24">
        <f>AL1007+AN1007+AP1007+AR1007+AT1007+AV1007+AX1007+AZ1007+BB1007+BD1007+BF1007+BH1007+BJ1007+BL1007</f>
        <v>5321</v>
      </c>
      <c r="BP1007" s="28">
        <f>AJ1007-BO1007</f>
        <v>-177176.7505</v>
      </c>
      <c r="BQ1007" s="2">
        <v>45678</v>
      </c>
    </row>
    <row r="1008" spans="1:73" hidden="true">
      <c r="D1008" s="9" t="s">
        <v>15</v>
      </c>
      <c r="E1008" s="2">
        <v>45679</v>
      </c>
      <c r="F1008" s="38"/>
      <c r="G1008" s="127"/>
      <c r="H1008" s="4">
        <f>F331*50%</f>
        <v>2036.775</v>
      </c>
      <c r="I1008" s="120"/>
      <c r="J1008" s="4">
        <f>(G1008+H1008)-I1008</f>
        <v>2036.775</v>
      </c>
      <c r="K1008" s="4">
        <f>J1008+O1007</f>
        <v>66553.835</v>
      </c>
      <c r="L1008" s="3"/>
      <c r="M1008" s="3"/>
      <c r="N1008" s="33">
        <f>I1008+M1008</f>
        <v>0</v>
      </c>
      <c r="O1008" s="28">
        <f>K1008-M1008</f>
        <v>66553.835</v>
      </c>
      <c r="P1008" s="9" t="s">
        <v>15</v>
      </c>
      <c r="Q1008" s="2">
        <v>45679</v>
      </c>
      <c r="R1008" s="38"/>
      <c r="S1008" s="52"/>
      <c r="T1008" s="4">
        <f>R331*45%</f>
        <v>2903.4</v>
      </c>
      <c r="U1008" s="5"/>
      <c r="V1008" s="4">
        <f>(S1008+T1008)-U1008</f>
        <v>2903.4</v>
      </c>
      <c r="W1008" s="4">
        <f>V1008+AA1007</f>
        <v>52709.645</v>
      </c>
      <c r="X1008" s="3"/>
      <c r="Y1008" s="3"/>
      <c r="Z1008" s="25">
        <f>U1008+Y1008</f>
        <v>0</v>
      </c>
      <c r="AA1008" s="76">
        <f>W1008-Y1008</f>
        <v>52709.645</v>
      </c>
      <c r="AB1008" s="9" t="s">
        <v>15</v>
      </c>
      <c r="AC1008" s="19">
        <v>45679</v>
      </c>
      <c r="AD1008" s="41"/>
      <c r="AE1008" s="42"/>
      <c r="AF1008" s="4">
        <f>AD331-H1008-T1008</f>
        <v>5585.375</v>
      </c>
      <c r="AG1008" s="3"/>
      <c r="AH1008" s="8"/>
      <c r="AI1008" s="4">
        <f>(AE1008+AF1008)-AH1008</f>
        <v>5585.375</v>
      </c>
      <c r="AJ1008" s="4">
        <f>AI1008+BP1007</f>
        <v>-171591.3755</v>
      </c>
      <c r="AK1008" s="8" t="s">
        <v>403</v>
      </c>
      <c r="AL1008" s="8">
        <v>2000</v>
      </c>
      <c r="AM1008" s="86" t="s">
        <v>404</v>
      </c>
      <c r="AN1008" s="47">
        <v>8000</v>
      </c>
      <c r="AO1008" s="8"/>
      <c r="AP1008" s="8"/>
      <c r="AQ1008" s="47"/>
      <c r="AR1008" s="47"/>
      <c r="AS1008" s="8"/>
      <c r="AT1008" s="8"/>
      <c r="AU1008" s="47"/>
      <c r="AV1008" s="47"/>
      <c r="AW1008" s="8"/>
      <c r="AX1008" s="8"/>
      <c r="AY1008" s="47"/>
      <c r="AZ1008" s="47"/>
      <c r="BA1008" s="8" t="s">
        <v>341</v>
      </c>
      <c r="BB1008" s="8">
        <v>401</v>
      </c>
      <c r="BC1008" s="47"/>
      <c r="BD1008" s="47"/>
      <c r="BE1008" s="8"/>
      <c r="BF1008" s="8"/>
      <c r="BG1008" s="47" t="s">
        <v>98</v>
      </c>
      <c r="BH1008" s="47">
        <v>1000</v>
      </c>
      <c r="BI1008" s="8"/>
      <c r="BJ1008" s="3"/>
      <c r="BK1008" s="47"/>
      <c r="BL1008" s="47"/>
      <c r="BM1008" s="46"/>
      <c r="BN1008" s="46"/>
      <c r="BO1008" s="24">
        <f>AL1008+AN1008+AP1008+AR1008+AT1008+AV1008+AX1008+AZ1008+BB1008+BD1008+BF1008+BH1008+BJ1008+BL1008</f>
        <v>11401</v>
      </c>
      <c r="BP1008" s="28">
        <f>AJ1008-BO1008</f>
        <v>-182992.3755</v>
      </c>
      <c r="BQ1008" s="2">
        <v>45679</v>
      </c>
      <c r="BT1008" s="125"/>
    </row>
    <row r="1009" spans="1:73" hidden="true">
      <c r="D1009" s="9" t="s">
        <v>16</v>
      </c>
      <c r="E1009" s="2">
        <v>45680</v>
      </c>
      <c r="F1009" s="38"/>
      <c r="G1009" s="127"/>
      <c r="H1009" s="4">
        <f>F332*50%</f>
        <v>1797.625</v>
      </c>
      <c r="I1009" s="120"/>
      <c r="J1009" s="4">
        <f>(G1009+H1009)-I1009</f>
        <v>1797.625</v>
      </c>
      <c r="K1009" s="4">
        <f>J1009+O1008</f>
        <v>68351.46</v>
      </c>
      <c r="L1009" s="3"/>
      <c r="M1009" s="3"/>
      <c r="N1009" s="33">
        <f>I1009+M1009</f>
        <v>0</v>
      </c>
      <c r="O1009" s="28">
        <f>K1009-M1009</f>
        <v>68351.46</v>
      </c>
      <c r="P1009" s="9" t="s">
        <v>16</v>
      </c>
      <c r="Q1009" s="2">
        <v>45680</v>
      </c>
      <c r="R1009" s="38"/>
      <c r="S1009" s="52"/>
      <c r="T1009" s="4">
        <f>R332*45%</f>
        <v>2999.7</v>
      </c>
      <c r="U1009" s="5"/>
      <c r="V1009" s="4">
        <f>(S1009+T1009)-U1009</f>
        <v>2999.7</v>
      </c>
      <c r="W1009" s="4">
        <f>V1009+AA1008</f>
        <v>55709.345</v>
      </c>
      <c r="X1009" s="3"/>
      <c r="Y1009" s="3"/>
      <c r="Z1009" s="25">
        <f>U1009+Y1009</f>
        <v>0</v>
      </c>
      <c r="AA1009" s="76">
        <f>W1009-Y1009</f>
        <v>55709.345</v>
      </c>
      <c r="AB1009" s="9" t="s">
        <v>16</v>
      </c>
      <c r="AC1009" s="19">
        <v>45680</v>
      </c>
      <c r="AD1009" s="41"/>
      <c r="AE1009" s="42"/>
      <c r="AF1009" s="4">
        <f>AD332-H1009-T1009</f>
        <v>5463.925</v>
      </c>
      <c r="AG1009" s="3"/>
      <c r="AH1009" s="8"/>
      <c r="AI1009" s="4">
        <f>(AE1009+AF1009)-AH1009</f>
        <v>5463.925</v>
      </c>
      <c r="AJ1009" s="4">
        <f>AI1009+BP1008</f>
        <v>-177528.4505</v>
      </c>
      <c r="AK1009" s="8" t="s">
        <v>41</v>
      </c>
      <c r="AL1009" s="8">
        <v>6000</v>
      </c>
      <c r="AM1009" s="47"/>
      <c r="AN1009" s="47"/>
      <c r="AO1009" s="8" t="s">
        <v>405</v>
      </c>
      <c r="AP1009" s="8">
        <f>10+10.5</f>
        <v>20.5</v>
      </c>
      <c r="AQ1009" s="47"/>
      <c r="AR1009" s="47"/>
      <c r="AS1009" s="8"/>
      <c r="AT1009" s="8"/>
      <c r="AU1009" s="47"/>
      <c r="AV1009" s="47"/>
      <c r="AW1009" s="8"/>
      <c r="AX1009" s="8"/>
      <c r="AY1009" s="47"/>
      <c r="AZ1009" s="47"/>
      <c r="BA1009" s="8" t="s">
        <v>341</v>
      </c>
      <c r="BB1009" s="8">
        <v>395</v>
      </c>
      <c r="BC1009" s="47"/>
      <c r="BD1009" s="47"/>
      <c r="BE1009" s="8"/>
      <c r="BF1009" s="8"/>
      <c r="BG1009" s="47" t="s">
        <v>98</v>
      </c>
      <c r="BH1009" s="47">
        <v>1000</v>
      </c>
      <c r="BI1009" s="8"/>
      <c r="BJ1009" s="3"/>
      <c r="BK1009" s="47"/>
      <c r="BL1009" s="47"/>
      <c r="BM1009" s="46"/>
      <c r="BN1009" s="46"/>
      <c r="BO1009" s="24">
        <f>AL1009+AN1009+AP1009+AR1009+AT1009+AV1009+AX1009+AZ1009+BB1009+BD1009+BF1009+BH1009+BJ1009+BL1009</f>
        <v>7415.5</v>
      </c>
      <c r="BP1009" s="28">
        <f>AJ1009-BO1009</f>
        <v>-184943.9505</v>
      </c>
      <c r="BQ1009" s="2">
        <v>45680</v>
      </c>
    </row>
    <row r="1010" spans="1:73" hidden="true">
      <c r="D1010" s="9" t="s">
        <v>10</v>
      </c>
      <c r="E1010" s="2">
        <v>45681</v>
      </c>
      <c r="F1010" s="38"/>
      <c r="G1010" s="127"/>
      <c r="H1010" s="4">
        <f>F333*50%</f>
        <v>2341.725</v>
      </c>
      <c r="I1010" s="120"/>
      <c r="J1010" s="4">
        <f>(G1010+H1010)-I1010</f>
        <v>2341.725</v>
      </c>
      <c r="K1010" s="4">
        <f>J1010+O1009</f>
        <v>70693.185</v>
      </c>
      <c r="L1010" s="3"/>
      <c r="M1010" s="3"/>
      <c r="N1010" s="33">
        <f>I1010+M1010</f>
        <v>0</v>
      </c>
      <c r="O1010" s="28">
        <f>K1010-M1010</f>
        <v>70693.185</v>
      </c>
      <c r="P1010" s="9" t="s">
        <v>10</v>
      </c>
      <c r="Q1010" s="2">
        <v>45681</v>
      </c>
      <c r="R1010" s="38"/>
      <c r="S1010" s="52"/>
      <c r="T1010" s="4">
        <f>R333*45%</f>
        <v>2252.655</v>
      </c>
      <c r="U1010" s="5"/>
      <c r="V1010" s="4">
        <f>(S1010+T1010)-U1010</f>
        <v>2252.655</v>
      </c>
      <c r="W1010" s="4">
        <f>V1010+AA1009</f>
        <v>57962</v>
      </c>
      <c r="X1010" s="3"/>
      <c r="Y1010" s="3"/>
      <c r="Z1010" s="25">
        <f>U1010+Y1010</f>
        <v>0</v>
      </c>
      <c r="AA1010" s="76">
        <f>W1010-Y1010</f>
        <v>57962</v>
      </c>
      <c r="AB1010" s="9" t="s">
        <v>10</v>
      </c>
      <c r="AC1010" s="19">
        <v>45681</v>
      </c>
      <c r="AD1010" s="41"/>
      <c r="AE1010" s="42"/>
      <c r="AF1010" s="4">
        <f>AD333-H1010-T1010</f>
        <v>5094.97</v>
      </c>
      <c r="AG1010" s="3"/>
      <c r="AH1010" s="8"/>
      <c r="AI1010" s="4">
        <f>(AE1010+AF1010)-AH1010</f>
        <v>5094.97</v>
      </c>
      <c r="AJ1010" s="4">
        <f>AI1010+BP1009</f>
        <v>-179848.9805</v>
      </c>
      <c r="AK1010" s="8"/>
      <c r="AL1010" s="8"/>
      <c r="AM1010" s="47"/>
      <c r="AN1010" s="47"/>
      <c r="AO1010" s="8"/>
      <c r="AP1010" s="8"/>
      <c r="AQ1010" s="47"/>
      <c r="AR1010" s="47"/>
      <c r="AS1010" s="8"/>
      <c r="AT1010" s="8"/>
      <c r="AU1010" s="47"/>
      <c r="AV1010" s="47"/>
      <c r="AW1010" s="8"/>
      <c r="AX1010" s="8"/>
      <c r="AY1010" s="47"/>
      <c r="AZ1010" s="47"/>
      <c r="BA1010" s="8" t="s">
        <v>341</v>
      </c>
      <c r="BB1010" s="8">
        <v>404</v>
      </c>
      <c r="BC1010" s="47"/>
      <c r="BD1010" s="47"/>
      <c r="BE1010" s="8"/>
      <c r="BF1010" s="8"/>
      <c r="BG1010" s="47" t="s">
        <v>98</v>
      </c>
      <c r="BH1010" s="47">
        <v>1000</v>
      </c>
      <c r="BI1010" s="8"/>
      <c r="BJ1010" s="3"/>
      <c r="BK1010" s="47"/>
      <c r="BL1010" s="47"/>
      <c r="BM1010" s="46"/>
      <c r="BN1010" s="46"/>
      <c r="BO1010" s="24">
        <f>AL1010+AN1010+AP1010+AR1010+AT1010+AV1010+AX1010+AZ1010+BB1010+BD1010+BF1010+BH1010+BJ1010+BL1010</f>
        <v>1404</v>
      </c>
      <c r="BP1010" s="28">
        <f>AJ1010-BO1010</f>
        <v>-181252.9805</v>
      </c>
      <c r="BQ1010" s="2">
        <v>45681</v>
      </c>
    </row>
    <row r="1011" spans="1:73" hidden="true">
      <c r="D1011" s="9" t="s">
        <v>11</v>
      </c>
      <c r="E1011" s="2">
        <v>45682</v>
      </c>
      <c r="F1011" s="38"/>
      <c r="G1011" s="127"/>
      <c r="H1011" s="4">
        <f>F334*50%</f>
        <v>1763.625</v>
      </c>
      <c r="I1011" s="120">
        <v>983</v>
      </c>
      <c r="J1011" s="4">
        <f>(G1011+H1011)-I1011</f>
        <v>780.625</v>
      </c>
      <c r="K1011" s="4">
        <f>J1011+O1010</f>
        <v>71473.81</v>
      </c>
      <c r="L1011" s="3"/>
      <c r="M1011" s="3"/>
      <c r="N1011" s="33">
        <f>I1011+M1011</f>
        <v>983</v>
      </c>
      <c r="O1011" s="28">
        <f>K1011-M1011</f>
        <v>71473.81</v>
      </c>
      <c r="P1011" s="9" t="s">
        <v>11</v>
      </c>
      <c r="Q1011" s="2">
        <v>45682</v>
      </c>
      <c r="R1011" s="38"/>
      <c r="S1011" s="52"/>
      <c r="T1011" s="4">
        <f>R334*45%</f>
        <v>3532.86</v>
      </c>
      <c r="U1011" s="5">
        <v>1554</v>
      </c>
      <c r="V1011" s="4">
        <f>(S1011+T1011)-U1011</f>
        <v>1978.86</v>
      </c>
      <c r="W1011" s="4">
        <f>V1011+AA1010</f>
        <v>59940.86</v>
      </c>
      <c r="X1011" s="113" t="s">
        <v>386</v>
      </c>
      <c r="Y1011" s="3">
        <v>14274</v>
      </c>
      <c r="Z1011" s="25">
        <f>U1011+Y1011</f>
        <v>15828</v>
      </c>
      <c r="AA1011" s="76">
        <f>W1011-Y1011</f>
        <v>45666.86</v>
      </c>
      <c r="AB1011" s="9" t="s">
        <v>11</v>
      </c>
      <c r="AC1011" s="19">
        <v>45682</v>
      </c>
      <c r="AD1011" s="41"/>
      <c r="AE1011" s="42"/>
      <c r="AF1011" s="4">
        <f>AD334-H1011-T1011</f>
        <v>6081.565</v>
      </c>
      <c r="AG1011" s="3"/>
      <c r="AH1011" s="8"/>
      <c r="AI1011" s="4">
        <f>(AE1011+AF1011)-AH1011</f>
        <v>6081.565</v>
      </c>
      <c r="AJ1011" s="4">
        <f>AI1011+BP1010</f>
        <v>-175171.4155</v>
      </c>
      <c r="AK1011" s="8"/>
      <c r="AL1011" s="8"/>
      <c r="AM1011" s="47"/>
      <c r="AN1011" s="47"/>
      <c r="AO1011" s="8"/>
      <c r="AP1011" s="8"/>
      <c r="AQ1011" s="47"/>
      <c r="AR1011" s="47"/>
      <c r="AS1011" s="8"/>
      <c r="AT1011" s="8"/>
      <c r="AU1011" s="47"/>
      <c r="AV1011" s="47"/>
      <c r="AW1011" s="8"/>
      <c r="AX1011" s="8"/>
      <c r="AY1011" s="47"/>
      <c r="AZ1011" s="47"/>
      <c r="BA1011" s="8" t="s">
        <v>341</v>
      </c>
      <c r="BB1011" s="8">
        <v>520</v>
      </c>
      <c r="BC1011" s="47" t="s">
        <v>406</v>
      </c>
      <c r="BD1011" s="47">
        <f>5000+2750</f>
        <v>7750</v>
      </c>
      <c r="BE1011" s="8"/>
      <c r="BF1011" s="8"/>
      <c r="BG1011" s="47" t="s">
        <v>98</v>
      </c>
      <c r="BH1011" s="47">
        <v>1000</v>
      </c>
      <c r="BI1011" s="8"/>
      <c r="BJ1011" s="3"/>
      <c r="BK1011" s="47"/>
      <c r="BL1011" s="47"/>
      <c r="BM1011" s="46"/>
      <c r="BN1011" s="46"/>
      <c r="BO1011" s="24">
        <f>AL1011+AN1011+AP1011+AR1011+AT1011+AV1011+AX1011+AZ1011+BB1011+BD1011+BF1011+BH1011+BJ1011+BL1011</f>
        <v>9270</v>
      </c>
      <c r="BP1011" s="28">
        <f>AJ1011-BO1011</f>
        <v>-184441.4155</v>
      </c>
      <c r="BQ1011" s="2">
        <v>45682</v>
      </c>
    </row>
    <row r="1012" spans="1:73" hidden="true">
      <c r="D1012" s="9" t="s">
        <v>12</v>
      </c>
      <c r="E1012" s="2">
        <v>45683</v>
      </c>
      <c r="F1012" s="38"/>
      <c r="G1012" s="127"/>
      <c r="H1012" s="4">
        <f>F335*50%</f>
        <v>1955.875</v>
      </c>
      <c r="I1012" s="120"/>
      <c r="J1012" s="4">
        <f>(G1012+H1012)-I1012</f>
        <v>1955.875</v>
      </c>
      <c r="K1012" s="4">
        <f>J1012+O1011</f>
        <v>73429.685</v>
      </c>
      <c r="L1012" s="3"/>
      <c r="M1012" s="3"/>
      <c r="N1012" s="33">
        <f>I1012+M1012</f>
        <v>0</v>
      </c>
      <c r="O1012" s="28">
        <f>K1012-M1012</f>
        <v>73429.685</v>
      </c>
      <c r="P1012" s="9" t="s">
        <v>12</v>
      </c>
      <c r="Q1012" s="2">
        <v>45683</v>
      </c>
      <c r="R1012" s="38"/>
      <c r="S1012" s="52"/>
      <c r="T1012" s="4">
        <f>R335*45%</f>
        <v>3248.955</v>
      </c>
      <c r="U1012" s="5"/>
      <c r="V1012" s="4">
        <f>(S1012+T1012)-U1012</f>
        <v>3248.955</v>
      </c>
      <c r="W1012" s="4">
        <f>V1012+AA1011</f>
        <v>48915.815</v>
      </c>
      <c r="X1012" s="3"/>
      <c r="Y1012" s="3"/>
      <c r="Z1012" s="25">
        <f>U1012+Y1012</f>
        <v>0</v>
      </c>
      <c r="AA1012" s="76">
        <f>W1012-Y1012</f>
        <v>48915.815</v>
      </c>
      <c r="AB1012" s="9" t="s">
        <v>12</v>
      </c>
      <c r="AC1012" s="19">
        <v>45683</v>
      </c>
      <c r="AD1012" s="41"/>
      <c r="AE1012" s="42"/>
      <c r="AF1012" s="4">
        <f>AD335-H1012-T1012</f>
        <v>5926.82</v>
      </c>
      <c r="AG1012" s="3"/>
      <c r="AH1012" s="8"/>
      <c r="AI1012" s="4">
        <f>(AE1012+AF1012)-AH1012</f>
        <v>5926.82</v>
      </c>
      <c r="AJ1012" s="4">
        <f>AI1012+BP1011</f>
        <v>-178514.5955</v>
      </c>
      <c r="AK1012" s="8"/>
      <c r="AL1012" s="8"/>
      <c r="AM1012" s="47"/>
      <c r="AN1012" s="47"/>
      <c r="AO1012" s="8"/>
      <c r="AP1012" s="8"/>
      <c r="AQ1012" s="47"/>
      <c r="AR1012" s="47"/>
      <c r="AS1012" s="8"/>
      <c r="AT1012" s="8"/>
      <c r="AU1012" s="47"/>
      <c r="AV1012" s="47"/>
      <c r="AW1012" s="8"/>
      <c r="AX1012" s="8"/>
      <c r="AY1012" s="47"/>
      <c r="AZ1012" s="47"/>
      <c r="BA1012" s="8" t="s">
        <v>341</v>
      </c>
      <c r="BB1012" s="8">
        <v>437</v>
      </c>
      <c r="BC1012" s="47" t="s">
        <v>407</v>
      </c>
      <c r="BD1012" s="47">
        <v>13119.2</v>
      </c>
      <c r="BE1012" s="8"/>
      <c r="BF1012" s="8"/>
      <c r="BG1012" s="47"/>
      <c r="BH1012" s="47"/>
      <c r="BI1012" s="8"/>
      <c r="BJ1012" s="3"/>
      <c r="BK1012" s="47"/>
      <c r="BL1012" s="47"/>
      <c r="BM1012" s="46"/>
      <c r="BN1012" s="46"/>
      <c r="BO1012" s="24">
        <f>AL1012+AN1012+AP1012+AR1012+AT1012+AV1012+AX1012+AZ1012+BB1012+BD1012+BF1012+BH1012+BJ1012+BL1012</f>
        <v>13556.2</v>
      </c>
      <c r="BP1012" s="28">
        <f>AJ1012-BO1012</f>
        <v>-192070.7955</v>
      </c>
      <c r="BQ1012" s="2">
        <v>45683</v>
      </c>
    </row>
    <row r="1013" spans="1:73" hidden="true">
      <c r="D1013" s="9" t="s">
        <v>13</v>
      </c>
      <c r="E1013" s="2">
        <v>45684</v>
      </c>
      <c r="F1013" s="38"/>
      <c r="G1013" s="127"/>
      <c r="H1013" s="4">
        <f>F336*50%</f>
        <v>1975.275</v>
      </c>
      <c r="I1013" s="120"/>
      <c r="J1013" s="4">
        <f>(G1013+H1013)-I1013</f>
        <v>1975.275</v>
      </c>
      <c r="K1013" s="4">
        <f>J1013+O1012</f>
        <v>75404.96</v>
      </c>
      <c r="L1013" s="3"/>
      <c r="M1013" s="3"/>
      <c r="N1013" s="33">
        <f>I1013+M1013</f>
        <v>0</v>
      </c>
      <c r="O1013" s="28">
        <f>K1013-M1013</f>
        <v>75404.96</v>
      </c>
      <c r="P1013" s="9" t="s">
        <v>13</v>
      </c>
      <c r="Q1013" s="2">
        <v>45684</v>
      </c>
      <c r="R1013" s="38"/>
      <c r="S1013" s="52"/>
      <c r="T1013" s="4">
        <f>R336*45%</f>
        <v>2819.655</v>
      </c>
      <c r="U1013" s="5">
        <v>460</v>
      </c>
      <c r="V1013" s="4">
        <f>(S1013+T1013)-U1013</f>
        <v>2359.655</v>
      </c>
      <c r="W1013" s="4">
        <f>V1013+AA1012</f>
        <v>51275.47</v>
      </c>
      <c r="X1013" s="3"/>
      <c r="Y1013" s="3"/>
      <c r="Z1013" s="25">
        <f>U1013+Y1013</f>
        <v>460</v>
      </c>
      <c r="AA1013" s="76">
        <f>W1013-Y1013</f>
        <v>51275.47</v>
      </c>
      <c r="AB1013" s="9" t="s">
        <v>13</v>
      </c>
      <c r="AC1013" s="19">
        <v>45684</v>
      </c>
      <c r="AD1013" s="41"/>
      <c r="AE1013" s="42"/>
      <c r="AF1013" s="4">
        <f>AD336-H1013-T1013</f>
        <v>5421.52</v>
      </c>
      <c r="AG1013" s="3"/>
      <c r="AH1013" s="8"/>
      <c r="AI1013" s="4">
        <f>(AE1013+AF1013)-AH1013</f>
        <v>5421.52</v>
      </c>
      <c r="AJ1013" s="4">
        <f>AI1013+BP1012</f>
        <v>-186649.2755</v>
      </c>
      <c r="AK1013" s="8"/>
      <c r="AL1013" s="8"/>
      <c r="AM1013" s="47"/>
      <c r="AN1013" s="47"/>
      <c r="AO1013" s="8"/>
      <c r="AP1013" s="8"/>
      <c r="AQ1013" s="47"/>
      <c r="AR1013" s="47"/>
      <c r="AS1013" s="8"/>
      <c r="AT1013" s="8"/>
      <c r="AU1013" s="47"/>
      <c r="AV1013" s="47"/>
      <c r="AW1013" s="8"/>
      <c r="AX1013" s="8"/>
      <c r="AY1013" s="47"/>
      <c r="AZ1013" s="47"/>
      <c r="BA1013" s="8" t="s">
        <v>408</v>
      </c>
      <c r="BB1013" s="8">
        <f>519.6+2000</f>
        <v>2519.6</v>
      </c>
      <c r="BC1013" s="47"/>
      <c r="BD1013" s="47"/>
      <c r="BE1013" s="8"/>
      <c r="BF1013" s="8"/>
      <c r="BG1013" s="47" t="s">
        <v>98</v>
      </c>
      <c r="BH1013" s="47">
        <v>1000</v>
      </c>
      <c r="BI1013" s="8"/>
      <c r="BJ1013" s="3"/>
      <c r="BK1013" s="47"/>
      <c r="BL1013" s="47"/>
      <c r="BM1013" s="46"/>
      <c r="BN1013" s="46"/>
      <c r="BO1013" s="24">
        <f>AL1013+AN1013+AP1013+AR1013+AT1013+AV1013+AX1013+AZ1013+BB1013+BD1013+BF1013+BH1013+BJ1013+BL1013</f>
        <v>3519.6</v>
      </c>
      <c r="BP1013" s="28">
        <f>AJ1013-BO1013</f>
        <v>-190168.8755</v>
      </c>
      <c r="BQ1013" s="2">
        <v>45684</v>
      </c>
    </row>
    <row r="1014" spans="1:73" hidden="true">
      <c r="D1014" s="9" t="s">
        <v>14</v>
      </c>
      <c r="E1014" s="2">
        <v>45685</v>
      </c>
      <c r="F1014" s="38" t="s">
        <v>409</v>
      </c>
      <c r="G1014" s="127">
        <v>20600</v>
      </c>
      <c r="H1014" s="4">
        <f>F337*50%</f>
        <v>1363.975</v>
      </c>
      <c r="I1014" s="120">
        <v>1440</v>
      </c>
      <c r="J1014" s="4">
        <f>(G1014+H1014)-I1014</f>
        <v>20523.975</v>
      </c>
      <c r="K1014" s="4">
        <f>J1014+O1013</f>
        <v>95928.935</v>
      </c>
      <c r="L1014" s="3"/>
      <c r="M1014" s="3"/>
      <c r="N1014" s="33">
        <f>I1014+M1014</f>
        <v>1440</v>
      </c>
      <c r="O1014" s="28">
        <f>K1014-M1014</f>
        <v>95928.935</v>
      </c>
      <c r="P1014" s="9" t="s">
        <v>14</v>
      </c>
      <c r="Q1014" s="2">
        <v>45685</v>
      </c>
      <c r="R1014" s="38"/>
      <c r="S1014" s="52"/>
      <c r="T1014" s="4">
        <f>R337*45%</f>
        <v>2668.05</v>
      </c>
      <c r="U1014" s="5">
        <v>480</v>
      </c>
      <c r="V1014" s="4">
        <f>(S1014+T1014)-U1014</f>
        <v>2188.05</v>
      </c>
      <c r="W1014" s="4">
        <f>V1014+AA1013</f>
        <v>53463.52</v>
      </c>
      <c r="X1014" s="3"/>
      <c r="Y1014" s="3"/>
      <c r="Z1014" s="25">
        <f>U1014+Y1014</f>
        <v>480</v>
      </c>
      <c r="AA1014" s="76">
        <f>W1014-Y1014</f>
        <v>53463.52</v>
      </c>
      <c r="AB1014" s="9" t="s">
        <v>14</v>
      </c>
      <c r="AC1014" s="19">
        <v>45685</v>
      </c>
      <c r="AD1014" s="41"/>
      <c r="AE1014" s="42"/>
      <c r="AF1014" s="4">
        <f>AD337-H1014-T1014</f>
        <v>4624.925</v>
      </c>
      <c r="AG1014" s="3"/>
      <c r="AH1014" s="8"/>
      <c r="AI1014" s="4">
        <f>(AE1014+AF1014)-AH1014</f>
        <v>4624.925</v>
      </c>
      <c r="AJ1014" s="4">
        <f>AI1014+BP1013</f>
        <v>-185543.9505</v>
      </c>
      <c r="AK1014" s="8" t="s">
        <v>41</v>
      </c>
      <c r="AL1014" s="8">
        <v>4700</v>
      </c>
      <c r="AM1014" s="47"/>
      <c r="AN1014" s="47"/>
      <c r="AO1014" s="8" t="s">
        <v>410</v>
      </c>
      <c r="AP1014" s="8">
        <f>10+10.5</f>
        <v>20.5</v>
      </c>
      <c r="AQ1014" s="47" t="s">
        <v>411</v>
      </c>
      <c r="AR1014" s="47">
        <v>48</v>
      </c>
      <c r="AS1014" s="8"/>
      <c r="AT1014" s="8"/>
      <c r="AU1014" s="47"/>
      <c r="AV1014" s="47"/>
      <c r="AW1014" s="8"/>
      <c r="AX1014" s="8"/>
      <c r="AY1014" s="47"/>
      <c r="AZ1014" s="47"/>
      <c r="BA1014" s="8" t="s">
        <v>341</v>
      </c>
      <c r="BB1014" s="8">
        <v>576.8</v>
      </c>
      <c r="BC1014" s="47" t="s">
        <v>412</v>
      </c>
      <c r="BD1014" s="47">
        <v>16240</v>
      </c>
      <c r="BE1014" s="8"/>
      <c r="BF1014" s="8"/>
      <c r="BG1014" s="47" t="s">
        <v>98</v>
      </c>
      <c r="BH1014" s="47">
        <v>1000</v>
      </c>
      <c r="BI1014" s="8"/>
      <c r="BJ1014" s="3"/>
      <c r="BK1014" s="47"/>
      <c r="BL1014" s="47"/>
      <c r="BM1014" s="46"/>
      <c r="BN1014" s="46"/>
      <c r="BO1014" s="24">
        <f>AL1014+AN1014+AP1014+AR1014+AT1014+AV1014+AX1014+AZ1014+BB1014+BD1014+BF1014+BH1014+BJ1014+BL1014</f>
        <v>22585.3</v>
      </c>
      <c r="BP1014" s="28">
        <f>AJ1014-BO1014</f>
        <v>-208129.2505</v>
      </c>
      <c r="BQ1014" s="2">
        <v>45685</v>
      </c>
    </row>
    <row r="1015" spans="1:73" hidden="true">
      <c r="D1015" s="9" t="s">
        <v>15</v>
      </c>
      <c r="E1015" s="2">
        <v>45686</v>
      </c>
      <c r="F1015" s="38"/>
      <c r="G1015" s="127"/>
      <c r="H1015" s="4">
        <f>F338*50%</f>
        <v>1971.675</v>
      </c>
      <c r="I1015" s="120"/>
      <c r="J1015" s="4">
        <f>(G1015+H1015)-I1015</f>
        <v>1971.675</v>
      </c>
      <c r="K1015" s="4">
        <f>J1015+O1014</f>
        <v>97900.61</v>
      </c>
      <c r="L1015" s="3"/>
      <c r="M1015" s="3"/>
      <c r="N1015" s="33">
        <f>I1015+M1015</f>
        <v>0</v>
      </c>
      <c r="O1015" s="28">
        <f>K1015-M1015</f>
        <v>97900.61</v>
      </c>
      <c r="P1015" s="9" t="s">
        <v>15</v>
      </c>
      <c r="Q1015" s="2">
        <v>45686</v>
      </c>
      <c r="R1015" s="38"/>
      <c r="S1015" s="52"/>
      <c r="T1015" s="4">
        <f>R338*45%</f>
        <v>2568.6</v>
      </c>
      <c r="U1015" s="5"/>
      <c r="V1015" s="4">
        <f>(S1015+T1015)-U1015</f>
        <v>2568.6</v>
      </c>
      <c r="W1015" s="4">
        <f>V1015+AA1014</f>
        <v>56032.12</v>
      </c>
      <c r="X1015" s="88" t="s">
        <v>413</v>
      </c>
      <c r="Y1015" s="3">
        <v>16000</v>
      </c>
      <c r="Z1015" s="25">
        <f>U1015+Y1015</f>
        <v>16000</v>
      </c>
      <c r="AA1015" s="76">
        <f>W1015-Y1015</f>
        <v>40032.12</v>
      </c>
      <c r="AB1015" s="9" t="s">
        <v>15</v>
      </c>
      <c r="AC1015" s="19">
        <v>45686</v>
      </c>
      <c r="AD1015" s="41"/>
      <c r="AE1015" s="42"/>
      <c r="AF1015" s="4">
        <f>AD338-H1015-T1015</f>
        <v>5111.075</v>
      </c>
      <c r="AG1015" s="3"/>
      <c r="AH1015" s="8"/>
      <c r="AI1015" s="4">
        <f>(AE1015+AF1015)-AH1015</f>
        <v>5111.075</v>
      </c>
      <c r="AJ1015" s="4">
        <f>AI1015+BP1014</f>
        <v>-203018.1755</v>
      </c>
      <c r="AK1015" s="8"/>
      <c r="AL1015" s="8"/>
      <c r="AM1015" s="47"/>
      <c r="AN1015" s="47"/>
      <c r="AO1015" s="8"/>
      <c r="AP1015" s="8"/>
      <c r="AQ1015" s="47"/>
      <c r="AR1015" s="47"/>
      <c r="AS1015" s="8"/>
      <c r="AT1015" s="8"/>
      <c r="AU1015" s="47"/>
      <c r="AV1015" s="47"/>
      <c r="AW1015" s="8"/>
      <c r="AX1015" s="8"/>
      <c r="AY1015" s="47"/>
      <c r="AZ1015" s="47"/>
      <c r="BA1015" s="8" t="s">
        <v>341</v>
      </c>
      <c r="BB1015" s="8">
        <v>492</v>
      </c>
      <c r="BC1015" s="47"/>
      <c r="BD1015" s="47"/>
      <c r="BE1015" s="8" t="s">
        <v>414</v>
      </c>
      <c r="BF1015" s="8">
        <v>10000</v>
      </c>
      <c r="BG1015" s="47"/>
      <c r="BH1015" s="47"/>
      <c r="BI1015" s="8"/>
      <c r="BJ1015" s="3"/>
      <c r="BK1015" s="47"/>
      <c r="BL1015" s="47"/>
      <c r="BM1015" s="46"/>
      <c r="BN1015" s="46"/>
      <c r="BO1015" s="24">
        <f>AL1015+AN1015+AP1015+AR1015+AT1015+AV1015+AX1015+AZ1015+BB1015+BD1015+BF1015+BH1015+BJ1015+BL1015</f>
        <v>10492</v>
      </c>
      <c r="BP1015" s="28">
        <f>AJ1015-BO1015</f>
        <v>-213510.1755</v>
      </c>
      <c r="BQ1015" s="2">
        <v>45686</v>
      </c>
    </row>
    <row r="1016" spans="1:73" hidden="true">
      <c r="D1016" s="9" t="s">
        <v>16</v>
      </c>
      <c r="E1016" s="2">
        <v>45687</v>
      </c>
      <c r="F1016" s="38"/>
      <c r="G1016" s="127"/>
      <c r="H1016" s="4">
        <f>F339*50%</f>
        <v>778.65</v>
      </c>
      <c r="I1016" s="120"/>
      <c r="J1016" s="4">
        <f>(G1016+H1016)-I1016</f>
        <v>778.65</v>
      </c>
      <c r="K1016" s="4">
        <f>J1016+O1015</f>
        <v>98679.26</v>
      </c>
      <c r="L1016" s="3"/>
      <c r="M1016" s="3"/>
      <c r="N1016" s="33">
        <f>I1016+M1016</f>
        <v>0</v>
      </c>
      <c r="O1016" s="28">
        <f>K1016-M1016</f>
        <v>98679.26</v>
      </c>
      <c r="P1016" s="9" t="s">
        <v>16</v>
      </c>
      <c r="Q1016" s="2">
        <v>45687</v>
      </c>
      <c r="R1016" s="38"/>
      <c r="S1016" s="52"/>
      <c r="T1016" s="4">
        <f>R339*45%</f>
        <v>2098.8</v>
      </c>
      <c r="U1016" s="5"/>
      <c r="V1016" s="4">
        <f>(S1016+T1016)-U1016</f>
        <v>2098.8</v>
      </c>
      <c r="W1016" s="4">
        <f>V1016+AA1015</f>
        <v>42130.92</v>
      </c>
      <c r="X1016" s="88" t="s">
        <v>415</v>
      </c>
      <c r="Y1016" s="3">
        <v>6000</v>
      </c>
      <c r="Z1016" s="25">
        <f>U1016+Y1016</f>
        <v>6000</v>
      </c>
      <c r="AA1016" s="76">
        <f>W1016-Y1016</f>
        <v>36130.92</v>
      </c>
      <c r="AB1016" s="9" t="s">
        <v>16</v>
      </c>
      <c r="AC1016" s="19">
        <v>45687</v>
      </c>
      <c r="AD1016" s="41"/>
      <c r="AE1016" s="42"/>
      <c r="AF1016" s="4">
        <f>AD339-H1016-T1016</f>
        <v>3343.85</v>
      </c>
      <c r="AG1016" s="3"/>
      <c r="AH1016" s="8"/>
      <c r="AI1016" s="4">
        <f>(AE1016+AF1016)-AH1016</f>
        <v>3343.85</v>
      </c>
      <c r="AJ1016" s="4">
        <f>AI1016+BP1015</f>
        <v>-210166.3255</v>
      </c>
      <c r="AK1016" s="8"/>
      <c r="AL1016" s="8"/>
      <c r="AM1016" s="47"/>
      <c r="AN1016" s="47"/>
      <c r="AO1016" s="8"/>
      <c r="AP1016" s="8"/>
      <c r="AQ1016" s="47"/>
      <c r="AR1016" s="47"/>
      <c r="AS1016" s="8"/>
      <c r="AT1016" s="8"/>
      <c r="AU1016" s="47"/>
      <c r="AV1016" s="47"/>
      <c r="AW1016" s="8"/>
      <c r="AX1016" s="8"/>
      <c r="AY1016" s="47"/>
      <c r="AZ1016" s="47"/>
      <c r="BA1016" s="8" t="s">
        <v>341</v>
      </c>
      <c r="BB1016" s="8">
        <v>418</v>
      </c>
      <c r="BC1016" s="47"/>
      <c r="BD1016" s="47"/>
      <c r="BE1016" s="8"/>
      <c r="BF1016" s="8"/>
      <c r="BG1016" s="47"/>
      <c r="BH1016" s="47"/>
      <c r="BI1016" s="8"/>
      <c r="BJ1016" s="3"/>
      <c r="BK1016" s="47"/>
      <c r="BL1016" s="47"/>
      <c r="BM1016" s="46"/>
      <c r="BN1016" s="46"/>
      <c r="BO1016" s="24">
        <f>AL1016+AN1016+AP1016+AR1016+AT1016+AV1016+AX1016+AZ1016+BB1016+BD1016+BF1016+BH1016+BJ1016+BL1016</f>
        <v>418</v>
      </c>
      <c r="BP1016" s="28">
        <f>AJ1016-BO1016</f>
        <v>-210584.3255</v>
      </c>
      <c r="BQ1016" s="2">
        <v>45687</v>
      </c>
    </row>
    <row r="1017" spans="1:73" hidden="true">
      <c r="D1017" s="9" t="s">
        <v>10</v>
      </c>
      <c r="E1017" s="2">
        <v>45688</v>
      </c>
      <c r="F1017" s="38"/>
      <c r="G1017" s="127"/>
      <c r="H1017" s="4">
        <f>F340*50%</f>
        <v>1596.55</v>
      </c>
      <c r="I1017" s="120"/>
      <c r="J1017" s="4">
        <f>(G1017+H1017)-I1017</f>
        <v>1596.55</v>
      </c>
      <c r="K1017" s="4">
        <f>J1017+O1016</f>
        <v>100275.81</v>
      </c>
      <c r="L1017" s="3"/>
      <c r="M1017" s="3"/>
      <c r="N1017" s="33">
        <f>I1017+M1017</f>
        <v>0</v>
      </c>
      <c r="O1017" s="28">
        <f>K1017-M1017</f>
        <v>100275.81</v>
      </c>
      <c r="P1017" s="9" t="s">
        <v>10</v>
      </c>
      <c r="Q1017" s="2">
        <v>45688</v>
      </c>
      <c r="R1017" s="38"/>
      <c r="S1017" s="52"/>
      <c r="T1017" s="4">
        <f>R340*45%</f>
        <v>4713.3</v>
      </c>
      <c r="U1017" s="5"/>
      <c r="V1017" s="4">
        <f>(S1017+T1017)-U1017</f>
        <v>4713.3</v>
      </c>
      <c r="W1017" s="4">
        <f>V1017+AA1016</f>
        <v>40844.22</v>
      </c>
      <c r="X1017" s="3"/>
      <c r="Y1017" s="3"/>
      <c r="Z1017" s="25">
        <f>U1017+Y1017</f>
        <v>0</v>
      </c>
      <c r="AA1017" s="76">
        <f>W1017-Y1017</f>
        <v>40844.22</v>
      </c>
      <c r="AB1017" s="9" t="s">
        <v>10</v>
      </c>
      <c r="AC1017" s="19">
        <v>45688</v>
      </c>
      <c r="AD1017" s="41"/>
      <c r="AE1017" s="42"/>
      <c r="AF1017" s="4">
        <f>AD340-H1017-T1017</f>
        <v>7357.25</v>
      </c>
      <c r="AG1017" s="3"/>
      <c r="AH1017" s="8"/>
      <c r="AI1017" s="4">
        <f>(AE1017+AF1017)-AH1017</f>
        <v>7357.25</v>
      </c>
      <c r="AJ1017" s="4">
        <f>AI1017+BP1016</f>
        <v>-203227.0755</v>
      </c>
      <c r="AK1017" s="8"/>
      <c r="AL1017" s="8"/>
      <c r="AM1017" s="47"/>
      <c r="AN1017" s="47"/>
      <c r="AO1017" s="8" t="s">
        <v>55</v>
      </c>
      <c r="AP1017" s="8">
        <v>0.5</v>
      </c>
      <c r="AQ1017" s="47"/>
      <c r="AR1017" s="47"/>
      <c r="AS1017" s="8"/>
      <c r="AT1017" s="8"/>
      <c r="AU1017" s="47"/>
      <c r="AV1017" s="47"/>
      <c r="AW1017" s="8"/>
      <c r="AX1017" s="8"/>
      <c r="AY1017" s="47"/>
      <c r="AZ1017" s="47"/>
      <c r="BA1017" s="8" t="s">
        <v>341</v>
      </c>
      <c r="BB1017" s="8">
        <v>716.7</v>
      </c>
      <c r="BC1017" s="47"/>
      <c r="BD1017" s="47"/>
      <c r="BE1017" s="8"/>
      <c r="BF1017" s="8"/>
      <c r="BG1017" s="47"/>
      <c r="BH1017" s="47"/>
      <c r="BI1017" s="8"/>
      <c r="BJ1017" s="3"/>
      <c r="BK1017" s="47"/>
      <c r="BL1017" s="47"/>
      <c r="BM1017" s="46"/>
      <c r="BN1017" s="46"/>
      <c r="BO1017" s="24">
        <f>AL1017+AN1017+AP1017+AR1017+AT1017+AV1017+AX1017+AZ1017+BB1017+BD1017+BF1017+BH1017+BJ1017+BL1017</f>
        <v>717.2</v>
      </c>
      <c r="BP1017" s="28">
        <f>AJ1017-BO1017</f>
        <v>-203944.2755</v>
      </c>
      <c r="BQ1017" s="2">
        <v>45688</v>
      </c>
    </row>
    <row r="1018" spans="1:73" hidden="true">
      <c r="D1018" s="9" t="s">
        <v>11</v>
      </c>
      <c r="E1018" s="2">
        <v>45689</v>
      </c>
      <c r="F1018" s="38"/>
      <c r="G1018" s="127"/>
      <c r="H1018" s="4">
        <f>F341*50%</f>
        <v>1654.6</v>
      </c>
      <c r="I1018" s="120"/>
      <c r="J1018" s="4">
        <f>(G1018+H1018)-I1018</f>
        <v>1654.6</v>
      </c>
      <c r="K1018" s="4">
        <f>J1018+O1017</f>
        <v>101930.41</v>
      </c>
      <c r="L1018" s="3"/>
      <c r="M1018" s="3"/>
      <c r="N1018" s="33">
        <f>I1018+M1018</f>
        <v>0</v>
      </c>
      <c r="O1018" s="28">
        <f>K1018-M1018</f>
        <v>101930.41</v>
      </c>
      <c r="P1018" s="9" t="s">
        <v>11</v>
      </c>
      <c r="Q1018" s="2">
        <v>45689</v>
      </c>
      <c r="R1018" s="38"/>
      <c r="S1018" s="52"/>
      <c r="T1018" s="4">
        <f>R341*45%</f>
        <v>3305.7</v>
      </c>
      <c r="U1018" s="5"/>
      <c r="V1018" s="4">
        <f>(S1018+T1018)-U1018</f>
        <v>3305.7</v>
      </c>
      <c r="W1018" s="4">
        <f>V1018+AA1017</f>
        <v>44149.92</v>
      </c>
      <c r="X1018" s="3" t="s">
        <v>369</v>
      </c>
      <c r="Y1018" s="3">
        <v>12220</v>
      </c>
      <c r="Z1018" s="25">
        <f>U1018+Y1018</f>
        <v>12220</v>
      </c>
      <c r="AA1018" s="76">
        <f>W1018-Y1018</f>
        <v>31929.92</v>
      </c>
      <c r="AB1018" s="9" t="s">
        <v>11</v>
      </c>
      <c r="AC1018" s="19">
        <v>45689</v>
      </c>
      <c r="AD1018" s="41"/>
      <c r="AE1018" s="42"/>
      <c r="AF1018" s="4">
        <f>AD341-H1018-T1018</f>
        <v>5694.9</v>
      </c>
      <c r="AG1018" s="3"/>
      <c r="AH1018" s="8"/>
      <c r="AI1018" s="4">
        <f>(AE1018+AF1018)-AH1018</f>
        <v>5694.9</v>
      </c>
      <c r="AJ1018" s="4">
        <f>AI1018+BP1017</f>
        <v>-198249.3755</v>
      </c>
      <c r="AK1018" s="8"/>
      <c r="AL1018" s="8"/>
      <c r="AM1018" s="47"/>
      <c r="AN1018" s="47"/>
      <c r="AO1018" s="8"/>
      <c r="AP1018" s="8"/>
      <c r="AQ1018" s="47"/>
      <c r="AR1018" s="47"/>
      <c r="AS1018" s="8"/>
      <c r="AT1018" s="8"/>
      <c r="AU1018" s="47"/>
      <c r="AV1018" s="47"/>
      <c r="AW1018" s="8"/>
      <c r="AX1018" s="8"/>
      <c r="AY1018" s="47"/>
      <c r="AZ1018" s="47"/>
      <c r="BA1018" s="8" t="s">
        <v>341</v>
      </c>
      <c r="BB1018" s="8">
        <v>698.4</v>
      </c>
      <c r="BC1018" s="47"/>
      <c r="BD1018" s="47"/>
      <c r="BE1018" s="8"/>
      <c r="BF1018" s="8"/>
      <c r="BG1018" s="47" t="s">
        <v>98</v>
      </c>
      <c r="BH1018" s="47">
        <v>1000</v>
      </c>
      <c r="BI1018" s="8"/>
      <c r="BJ1018" s="3"/>
      <c r="BK1018" s="47"/>
      <c r="BL1018" s="47"/>
      <c r="BM1018" s="46"/>
      <c r="BN1018" s="46"/>
      <c r="BO1018" s="24">
        <f>AL1018+AN1018+AP1018+AR1018+AT1018+AV1018+AX1018+AZ1018+BB1018+BD1018+BF1018+BH1018+BJ1018+BL1018</f>
        <v>1698.4</v>
      </c>
      <c r="BP1018" s="28">
        <f>AJ1018-BO1018</f>
        <v>-199947.7755</v>
      </c>
      <c r="BQ1018" s="2">
        <v>45689</v>
      </c>
    </row>
    <row r="1019" spans="1:73" hidden="true">
      <c r="D1019" s="9" t="s">
        <v>12</v>
      </c>
      <c r="E1019" s="2">
        <v>45690</v>
      </c>
      <c r="F1019" s="38"/>
      <c r="G1019" s="127"/>
      <c r="H1019" s="4">
        <f>F342*50%</f>
        <v>1545.225</v>
      </c>
      <c r="I1019" s="120"/>
      <c r="J1019" s="4">
        <f>(G1019+H1019)-I1019</f>
        <v>1545.225</v>
      </c>
      <c r="K1019" s="4">
        <f>J1019+O1018</f>
        <v>103475.635</v>
      </c>
      <c r="L1019" s="3"/>
      <c r="M1019" s="3"/>
      <c r="N1019" s="33">
        <f>I1019+M1019</f>
        <v>0</v>
      </c>
      <c r="O1019" s="28">
        <f>K1019-M1019</f>
        <v>103475.635</v>
      </c>
      <c r="P1019" s="9" t="s">
        <v>12</v>
      </c>
      <c r="Q1019" s="2">
        <v>45690</v>
      </c>
      <c r="R1019" s="38"/>
      <c r="S1019" s="52"/>
      <c r="T1019" s="4">
        <f>R342*45%</f>
        <v>3424.05</v>
      </c>
      <c r="U1019" s="5"/>
      <c r="V1019" s="4">
        <f>(S1019+T1019)-U1019</f>
        <v>3424.05</v>
      </c>
      <c r="W1019" s="4">
        <f>V1019+AA1018</f>
        <v>35353.97</v>
      </c>
      <c r="X1019" s="3"/>
      <c r="Y1019" s="3"/>
      <c r="Z1019" s="25">
        <f>U1019+Y1019</f>
        <v>0</v>
      </c>
      <c r="AA1019" s="76">
        <f>W1019-Y1019</f>
        <v>35353.97</v>
      </c>
      <c r="AB1019" s="9" t="s">
        <v>12</v>
      </c>
      <c r="AC1019" s="19">
        <v>45690</v>
      </c>
      <c r="AD1019" s="41"/>
      <c r="AE1019" s="42"/>
      <c r="AF1019" s="4">
        <f>AD342-H1019-T1019</f>
        <v>5730.175</v>
      </c>
      <c r="AG1019" s="3"/>
      <c r="AH1019" s="8"/>
      <c r="AI1019" s="4">
        <f>(AE1019+AF1019)-AH1019</f>
        <v>5730.175</v>
      </c>
      <c r="AJ1019" s="4">
        <f>AI1019+BP1018</f>
        <v>-194217.6005</v>
      </c>
      <c r="AK1019" s="8"/>
      <c r="AL1019" s="8"/>
      <c r="AM1019" s="47"/>
      <c r="AN1019" s="47"/>
      <c r="AO1019" s="8"/>
      <c r="AP1019" s="8"/>
      <c r="AQ1019" s="47"/>
      <c r="AR1019" s="47"/>
      <c r="AS1019" s="8"/>
      <c r="AT1019" s="8"/>
      <c r="AU1019" s="47"/>
      <c r="AV1019" s="47"/>
      <c r="AW1019" s="8"/>
      <c r="AX1019" s="8"/>
      <c r="AY1019" s="47"/>
      <c r="AZ1019" s="47"/>
      <c r="BA1019" s="8" t="s">
        <v>341</v>
      </c>
      <c r="BB1019" s="8">
        <v>263</v>
      </c>
      <c r="BC1019" s="47"/>
      <c r="BD1019" s="47"/>
      <c r="BE1019" s="8"/>
      <c r="BF1019" s="8"/>
      <c r="BG1019" s="47"/>
      <c r="BH1019" s="47"/>
      <c r="BI1019" s="8"/>
      <c r="BJ1019" s="3"/>
      <c r="BK1019" s="47"/>
      <c r="BL1019" s="47"/>
      <c r="BM1019" s="46"/>
      <c r="BN1019" s="46"/>
      <c r="BO1019" s="24">
        <f>AL1019+AN1019+AP1019+AR1019+AT1019+AV1019+AX1019+AZ1019+BB1019+BD1019+BF1019+BH1019+BJ1019+BL1019</f>
        <v>263</v>
      </c>
      <c r="BP1019" s="28">
        <f>AJ1019-BO1019</f>
        <v>-194480.6005</v>
      </c>
      <c r="BQ1019" s="2">
        <v>45690</v>
      </c>
    </row>
    <row r="1020" spans="1:73" hidden="true">
      <c r="D1020" s="9" t="s">
        <v>13</v>
      </c>
      <c r="E1020" s="2">
        <v>45691</v>
      </c>
      <c r="F1020" s="38"/>
      <c r="G1020" s="127"/>
      <c r="H1020" s="4">
        <f>F343*50%</f>
        <v>1606.25</v>
      </c>
      <c r="I1020" s="120"/>
      <c r="J1020" s="4">
        <f>(G1020+H1020)-I1020</f>
        <v>1606.25</v>
      </c>
      <c r="K1020" s="4">
        <f>J1020+O1019</f>
        <v>105081.885</v>
      </c>
      <c r="L1020" s="3" t="s">
        <v>416</v>
      </c>
      <c r="M1020" s="3">
        <v>6970</v>
      </c>
      <c r="N1020" s="33">
        <f>I1020+M1020</f>
        <v>6970</v>
      </c>
      <c r="O1020" s="28">
        <f>K1020-M1020</f>
        <v>98111.885</v>
      </c>
      <c r="P1020" s="9" t="s">
        <v>13</v>
      </c>
      <c r="Q1020" s="2">
        <v>45691</v>
      </c>
      <c r="R1020" s="38"/>
      <c r="S1020" s="52"/>
      <c r="T1020" s="4">
        <f>R343*45%</f>
        <v>697.5</v>
      </c>
      <c r="U1020" s="5"/>
      <c r="V1020" s="4">
        <f>(S1020+T1020)-U1020</f>
        <v>697.5</v>
      </c>
      <c r="W1020" s="4">
        <f>V1020+AA1019</f>
        <v>36051.47</v>
      </c>
      <c r="X1020" s="3"/>
      <c r="Y1020" s="3"/>
      <c r="Z1020" s="25">
        <f>U1020+Y1020</f>
        <v>0</v>
      </c>
      <c r="AA1020" s="76">
        <f>W1020-Y1020</f>
        <v>36051.47</v>
      </c>
      <c r="AB1020" s="9" t="s">
        <v>13</v>
      </c>
      <c r="AC1020" s="19">
        <v>45691</v>
      </c>
      <c r="AD1020" s="41"/>
      <c r="AE1020" s="42"/>
      <c r="AF1020" s="4">
        <f>AD343-H1020-T1020</f>
        <v>2458.75</v>
      </c>
      <c r="AG1020" s="3"/>
      <c r="AH1020" s="8"/>
      <c r="AI1020" s="4">
        <f>(AE1020+AF1020)-AH1020</f>
        <v>2458.75</v>
      </c>
      <c r="AJ1020" s="4">
        <f>AI1020+BP1019</f>
        <v>-192021.8505</v>
      </c>
      <c r="AK1020" s="8"/>
      <c r="AL1020" s="8"/>
      <c r="AM1020" s="47" t="s">
        <v>417</v>
      </c>
      <c r="AN1020" s="47">
        <f>71500+8000</f>
        <v>79500</v>
      </c>
      <c r="AO1020" s="8" t="s">
        <v>418</v>
      </c>
      <c r="AP1020" s="8">
        <f>50+2+1142</f>
        <v>1194</v>
      </c>
      <c r="AQ1020" s="47"/>
      <c r="AR1020" s="47"/>
      <c r="AS1020" s="8"/>
      <c r="AT1020" s="8"/>
      <c r="AU1020" s="47"/>
      <c r="AV1020" s="47"/>
      <c r="AW1020" s="8"/>
      <c r="AX1020" s="8"/>
      <c r="AY1020" s="47"/>
      <c r="AZ1020" s="47"/>
      <c r="BA1020" s="8" t="s">
        <v>341</v>
      </c>
      <c r="BB1020" s="8">
        <v>573</v>
      </c>
      <c r="BC1020" s="47"/>
      <c r="BD1020" s="47"/>
      <c r="BE1020" s="8"/>
      <c r="BF1020" s="8"/>
      <c r="BG1020" s="47" t="s">
        <v>419</v>
      </c>
      <c r="BH1020" s="47">
        <v>1000</v>
      </c>
      <c r="BI1020" s="8"/>
      <c r="BJ1020" s="3"/>
      <c r="BK1020" s="47"/>
      <c r="BL1020" s="47"/>
      <c r="BM1020" s="46"/>
      <c r="BN1020" s="46"/>
      <c r="BO1020" s="24">
        <f>AL1020+AN1020+AP1020+AR1020+AT1020+AV1020+AX1020+AZ1020+BB1020+BD1020+BF1020+BH1020+BJ1020+BL1020</f>
        <v>82267</v>
      </c>
      <c r="BP1020" s="28">
        <f>AJ1020-BO1020</f>
        <v>-274288.8505</v>
      </c>
      <c r="BQ1020" s="2">
        <v>45691</v>
      </c>
    </row>
    <row r="1021" spans="1:73" hidden="true">
      <c r="D1021" s="9" t="s">
        <v>14</v>
      </c>
      <c r="E1021" s="2">
        <v>45692</v>
      </c>
      <c r="F1021" s="38"/>
      <c r="G1021" s="127"/>
      <c r="H1021" s="4">
        <f>F344*50%</f>
        <v>1246.375</v>
      </c>
      <c r="I1021" s="120"/>
      <c r="J1021" s="4">
        <f>(G1021+H1021)-I1021</f>
        <v>1246.375</v>
      </c>
      <c r="K1021" s="4">
        <f>J1021+O1020</f>
        <v>99358.26</v>
      </c>
      <c r="L1021" s="3"/>
      <c r="M1021" s="3"/>
      <c r="N1021" s="33">
        <f>I1021+M1021</f>
        <v>0</v>
      </c>
      <c r="O1021" s="28">
        <f>K1021-M1021</f>
        <v>99358.26</v>
      </c>
      <c r="P1021" s="9" t="s">
        <v>14</v>
      </c>
      <c r="Q1021" s="2">
        <v>45692</v>
      </c>
      <c r="R1021" s="38"/>
      <c r="S1021" s="52"/>
      <c r="T1021" s="4">
        <f>R344*45%</f>
        <v>2206.8</v>
      </c>
      <c r="U1021" s="5"/>
      <c r="V1021" s="4">
        <f>(S1021+T1021)-U1021</f>
        <v>2206.8</v>
      </c>
      <c r="W1021" s="4">
        <f>V1021+AA1020</f>
        <v>38258.27</v>
      </c>
      <c r="X1021" s="3"/>
      <c r="Y1021" s="3"/>
      <c r="Z1021" s="25">
        <f>U1021+Y1021</f>
        <v>0</v>
      </c>
      <c r="AA1021" s="76">
        <f>W1021-Y1021</f>
        <v>38258.27</v>
      </c>
      <c r="AB1021" s="9" t="s">
        <v>14</v>
      </c>
      <c r="AC1021" s="19">
        <v>45692</v>
      </c>
      <c r="AD1021" s="41"/>
      <c r="AE1021" s="42"/>
      <c r="AF1021" s="4">
        <f>AD344-H1021-T1021</f>
        <v>3943.575</v>
      </c>
      <c r="AG1021" s="3"/>
      <c r="AH1021" s="8"/>
      <c r="AI1021" s="4">
        <f>(AE1021+AF1021)-AH1021</f>
        <v>3943.575</v>
      </c>
      <c r="AJ1021" s="4">
        <f>AI1021+BP1020</f>
        <v>-270345.2755</v>
      </c>
      <c r="AK1021" s="8"/>
      <c r="AL1021" s="8"/>
      <c r="AM1021" s="47"/>
      <c r="AN1021" s="47"/>
      <c r="AO1021" s="8" t="s">
        <v>55</v>
      </c>
      <c r="AP1021" s="8">
        <v>51.5</v>
      </c>
      <c r="AQ1021" s="47"/>
      <c r="AR1021" s="47"/>
      <c r="AS1021" s="8"/>
      <c r="AT1021" s="8"/>
      <c r="AU1021" s="47"/>
      <c r="AV1021" s="47"/>
      <c r="AW1021" s="8"/>
      <c r="AX1021" s="8"/>
      <c r="AY1021" s="47"/>
      <c r="AZ1021" s="47"/>
      <c r="BA1021" s="8" t="s">
        <v>341</v>
      </c>
      <c r="BB1021" s="8">
        <v>374.4</v>
      </c>
      <c r="BC1021" s="47"/>
      <c r="BD1021" s="47"/>
      <c r="BE1021" s="8"/>
      <c r="BF1021" s="8"/>
      <c r="BG1021" s="47" t="s">
        <v>419</v>
      </c>
      <c r="BH1021" s="47">
        <v>1000</v>
      </c>
      <c r="BI1021" s="8"/>
      <c r="BJ1021" s="3"/>
      <c r="BK1021" s="47"/>
      <c r="BL1021" s="47"/>
      <c r="BM1021" s="46"/>
      <c r="BN1021" s="46"/>
      <c r="BO1021" s="24">
        <f>AL1021+AN1021+AP1021+AR1021+AT1021+AV1021+AX1021+AZ1021+BB1021+BD1021+BF1021+BH1021+BJ1021+BL1021</f>
        <v>1425.9</v>
      </c>
      <c r="BP1021" s="28">
        <f>AJ1021-BO1021</f>
        <v>-271771.1755</v>
      </c>
      <c r="BQ1021" s="2">
        <v>45692</v>
      </c>
    </row>
    <row r="1022" spans="1:73" hidden="true">
      <c r="D1022" s="9" t="s">
        <v>15</v>
      </c>
      <c r="E1022" s="2">
        <v>45693</v>
      </c>
      <c r="F1022" s="38"/>
      <c r="G1022" s="127"/>
      <c r="H1022" s="4">
        <f>F345*50%</f>
        <v>1123.2</v>
      </c>
      <c r="I1022" s="120"/>
      <c r="J1022" s="4">
        <f>(G1022+H1022)-I1022</f>
        <v>1123.2</v>
      </c>
      <c r="K1022" s="4">
        <f>J1022+O1021</f>
        <v>100481.46</v>
      </c>
      <c r="L1022" s="3"/>
      <c r="M1022" s="3"/>
      <c r="N1022" s="33">
        <f>I1022+M1022</f>
        <v>0</v>
      </c>
      <c r="O1022" s="28">
        <f>K1022-M1022</f>
        <v>100481.46</v>
      </c>
      <c r="P1022" s="9" t="s">
        <v>15</v>
      </c>
      <c r="Q1022" s="2">
        <v>45693</v>
      </c>
      <c r="R1022" s="38"/>
      <c r="S1022" s="52"/>
      <c r="T1022" s="4">
        <f>R345*45%</f>
        <v>1949.58</v>
      </c>
      <c r="U1022" s="5"/>
      <c r="V1022" s="4">
        <f>(S1022+T1022)-U1022</f>
        <v>1949.58</v>
      </c>
      <c r="W1022" s="4">
        <f>V1022+AA1021</f>
        <v>40207.85</v>
      </c>
      <c r="X1022" s="3"/>
      <c r="Y1022" s="3"/>
      <c r="Z1022" s="25">
        <f>U1022+Y1022</f>
        <v>0</v>
      </c>
      <c r="AA1022" s="76">
        <f>W1022-Y1022</f>
        <v>40207.85</v>
      </c>
      <c r="AB1022" s="9" t="s">
        <v>15</v>
      </c>
      <c r="AC1022" s="19">
        <v>45693</v>
      </c>
      <c r="AD1022" s="41"/>
      <c r="AE1022" s="42"/>
      <c r="AF1022" s="4">
        <f>AD345-H1022-T1022</f>
        <v>3506.02</v>
      </c>
      <c r="AG1022" s="3"/>
      <c r="AH1022" s="8"/>
      <c r="AI1022" s="4">
        <f>(AE1022+AF1022)-AH1022</f>
        <v>3506.02</v>
      </c>
      <c r="AJ1022" s="4">
        <f>AI1022+BP1021</f>
        <v>-268265.1555</v>
      </c>
      <c r="AK1022" s="8"/>
      <c r="AL1022" s="8"/>
      <c r="AM1022" s="47" t="s">
        <v>420</v>
      </c>
      <c r="AN1022" s="47">
        <v>1707</v>
      </c>
      <c r="AO1022" s="8" t="s">
        <v>354</v>
      </c>
      <c r="AP1022" s="8">
        <v>300</v>
      </c>
      <c r="AQ1022" s="47"/>
      <c r="AR1022" s="47"/>
      <c r="AS1022" s="8"/>
      <c r="AT1022" s="8"/>
      <c r="AU1022" s="47"/>
      <c r="AV1022" s="47"/>
      <c r="AW1022" s="8"/>
      <c r="AX1022" s="8"/>
      <c r="AY1022" s="47"/>
      <c r="AZ1022" s="47"/>
      <c r="BA1022" s="8" t="s">
        <v>341</v>
      </c>
      <c r="BB1022" s="8">
        <v>585</v>
      </c>
      <c r="BC1022" s="47"/>
      <c r="BD1022" s="47"/>
      <c r="BE1022" s="8"/>
      <c r="BF1022" s="8"/>
      <c r="BG1022" s="47"/>
      <c r="BH1022" s="47"/>
      <c r="BI1022" s="8"/>
      <c r="BJ1022" s="3"/>
      <c r="BK1022" s="47"/>
      <c r="BL1022" s="47"/>
      <c r="BM1022" s="46"/>
      <c r="BN1022" s="46"/>
      <c r="BO1022" s="24">
        <f>AL1022+AN1022+AP1022+AR1022+AT1022+AV1022+AX1022+AZ1022+BB1022+BD1022+BF1022+BH1022+BJ1022+BL1022</f>
        <v>2592</v>
      </c>
      <c r="BP1022" s="28">
        <f>AJ1022-BO1022</f>
        <v>-270857.1555</v>
      </c>
      <c r="BQ1022" s="2">
        <v>45693</v>
      </c>
    </row>
    <row r="1023" spans="1:73" hidden="true">
      <c r="D1023" s="9" t="s">
        <v>16</v>
      </c>
      <c r="E1023" s="2">
        <v>45694</v>
      </c>
      <c r="F1023" s="38"/>
      <c r="G1023" s="127"/>
      <c r="H1023" s="4">
        <f>F346*50%</f>
        <v>1245.775</v>
      </c>
      <c r="I1023" s="120"/>
      <c r="J1023" s="4">
        <f>(G1023+H1023)-I1023</f>
        <v>1245.775</v>
      </c>
      <c r="K1023" s="4">
        <f>J1023+O1022</f>
        <v>101727.235</v>
      </c>
      <c r="L1023" s="3"/>
      <c r="M1023" s="3"/>
      <c r="N1023" s="33">
        <f>I1023+M1023</f>
        <v>0</v>
      </c>
      <c r="O1023" s="28">
        <f>K1023-M1023</f>
        <v>101727.235</v>
      </c>
      <c r="P1023" s="9" t="s">
        <v>16</v>
      </c>
      <c r="Q1023" s="2">
        <v>45694</v>
      </c>
      <c r="R1023" s="38"/>
      <c r="S1023" s="52"/>
      <c r="T1023" s="4">
        <f>R346*45%</f>
        <v>2603.61</v>
      </c>
      <c r="U1023" s="5"/>
      <c r="V1023" s="4">
        <f>(S1023+T1023)-U1023</f>
        <v>2603.61</v>
      </c>
      <c r="W1023" s="4">
        <f>V1023+AA1022</f>
        <v>42811.46</v>
      </c>
      <c r="X1023" s="3"/>
      <c r="Y1023" s="3"/>
      <c r="Z1023" s="25">
        <f>U1023+Y1023</f>
        <v>0</v>
      </c>
      <c r="AA1023" s="76">
        <f>W1023-Y1023</f>
        <v>42811.46</v>
      </c>
      <c r="AB1023" s="9" t="s">
        <v>16</v>
      </c>
      <c r="AC1023" s="19">
        <v>45694</v>
      </c>
      <c r="AD1023" s="41"/>
      <c r="AE1023" s="42"/>
      <c r="AF1023" s="4">
        <f>AD346-H1023-T1023</f>
        <v>4427.965</v>
      </c>
      <c r="AG1023" s="3"/>
      <c r="AH1023" s="8"/>
      <c r="AI1023" s="4">
        <f>(AE1023+AF1023)-AH1023</f>
        <v>4427.965</v>
      </c>
      <c r="AJ1023" s="4">
        <f>AI1023+BP1022</f>
        <v>-266429.1905</v>
      </c>
      <c r="AK1023" s="8"/>
      <c r="AL1023" s="8"/>
      <c r="AM1023" s="47" t="s">
        <v>421</v>
      </c>
      <c r="AN1023" s="47">
        <v>8353.06</v>
      </c>
      <c r="AO1023" s="8" t="s">
        <v>55</v>
      </c>
      <c r="AP1023" s="8">
        <v>0.5</v>
      </c>
      <c r="AQ1023" s="47"/>
      <c r="AR1023" s="47"/>
      <c r="AS1023" s="8"/>
      <c r="AT1023" s="8"/>
      <c r="AU1023" s="47"/>
      <c r="AV1023" s="47"/>
      <c r="AW1023" s="8"/>
      <c r="AX1023" s="8"/>
      <c r="AY1023" s="47"/>
      <c r="AZ1023" s="47"/>
      <c r="BA1023" s="8" t="s">
        <v>422</v>
      </c>
      <c r="BB1023" s="8">
        <f>550.3+1380</f>
        <v>1930.3</v>
      </c>
      <c r="BC1023" s="47"/>
      <c r="BD1023" s="47"/>
      <c r="BE1023" s="8"/>
      <c r="BF1023" s="8"/>
      <c r="BG1023" s="47"/>
      <c r="BH1023" s="47"/>
      <c r="BI1023" s="8"/>
      <c r="BJ1023" s="3"/>
      <c r="BK1023" s="47"/>
      <c r="BL1023" s="47"/>
      <c r="BM1023" s="46"/>
      <c r="BN1023" s="46"/>
      <c r="BO1023" s="24">
        <f>AL1023+AN1023+AP1023+AR1023+AT1023+AV1023+AX1023+AZ1023+BB1023+BD1023+BF1023+BH1023+BJ1023+BL1023</f>
        <v>10283.86</v>
      </c>
      <c r="BP1023" s="28">
        <f>AJ1023-BO1023</f>
        <v>-276713.0505</v>
      </c>
      <c r="BQ1023" s="2">
        <v>45694</v>
      </c>
    </row>
    <row r="1024" spans="1:73" hidden="true">
      <c r="D1024" s="9" t="s">
        <v>10</v>
      </c>
      <c r="E1024" s="2">
        <v>45695</v>
      </c>
      <c r="F1024" s="38"/>
      <c r="G1024" s="127"/>
      <c r="H1024" s="4">
        <f>F347*50%</f>
        <v>1435.75</v>
      </c>
      <c r="I1024" s="120"/>
      <c r="J1024" s="4">
        <f>(G1024+H1024)-I1024</f>
        <v>1435.75</v>
      </c>
      <c r="K1024" s="4">
        <f>J1024+O1023</f>
        <v>103162.985</v>
      </c>
      <c r="L1024" s="3"/>
      <c r="M1024" s="3"/>
      <c r="N1024" s="33">
        <f>I1024+M1024</f>
        <v>0</v>
      </c>
      <c r="O1024" s="28">
        <f>K1024-M1024</f>
        <v>103162.985</v>
      </c>
      <c r="P1024" s="9" t="s">
        <v>10</v>
      </c>
      <c r="Q1024" s="2">
        <v>45695</v>
      </c>
      <c r="R1024" s="38"/>
      <c r="S1024" s="52"/>
      <c r="T1024" s="4">
        <f>R347*45%</f>
        <v>2516.76</v>
      </c>
      <c r="U1024" s="5"/>
      <c r="V1024" s="4">
        <f>(S1024+T1024)-U1024</f>
        <v>2516.76</v>
      </c>
      <c r="W1024" s="4">
        <f>V1024+AA1023</f>
        <v>45328.22</v>
      </c>
      <c r="X1024" s="3"/>
      <c r="Y1024" s="3"/>
      <c r="Z1024" s="25">
        <f>U1024+Y1024</f>
        <v>0</v>
      </c>
      <c r="AA1024" s="76">
        <f>W1024-Y1024</f>
        <v>45328.22</v>
      </c>
      <c r="AB1024" s="9" t="s">
        <v>10</v>
      </c>
      <c r="AC1024" s="19">
        <v>45695</v>
      </c>
      <c r="AD1024" s="41"/>
      <c r="AE1024" s="42"/>
      <c r="AF1024" s="4">
        <f>AD347-H1024-T1024</f>
        <v>4511.79</v>
      </c>
      <c r="AG1024" s="3"/>
      <c r="AH1024" s="8"/>
      <c r="AI1024" s="4">
        <f>(AE1024+AF1024)-AH1024</f>
        <v>4511.79</v>
      </c>
      <c r="AJ1024" s="4">
        <f>AI1024+BP1023</f>
        <v>-272201.2605</v>
      </c>
      <c r="AK1024" s="8" t="s">
        <v>423</v>
      </c>
      <c r="AL1024" s="8">
        <v>2606.85</v>
      </c>
      <c r="AM1024" s="47" t="s">
        <v>424</v>
      </c>
      <c r="AN1024" s="47">
        <v>2200</v>
      </c>
      <c r="AO1024" s="8" t="s">
        <v>55</v>
      </c>
      <c r="AP1024" s="8">
        <v>0.5</v>
      </c>
      <c r="AQ1024" s="47"/>
      <c r="AR1024" s="47"/>
      <c r="AS1024" s="8"/>
      <c r="AT1024" s="8"/>
      <c r="AU1024" s="47"/>
      <c r="AV1024" s="47"/>
      <c r="AW1024" s="8"/>
      <c r="AX1024" s="8"/>
      <c r="AY1024" s="47"/>
      <c r="AZ1024" s="47"/>
      <c r="BA1024" s="8" t="s">
        <v>425</v>
      </c>
      <c r="BB1024" s="8">
        <f>389+4000</f>
        <v>4389</v>
      </c>
      <c r="BC1024" s="47" t="s">
        <v>426</v>
      </c>
      <c r="BD1024" s="47">
        <v>1918.4</v>
      </c>
      <c r="BE1024" s="8"/>
      <c r="BF1024" s="8"/>
      <c r="BG1024" s="47" t="s">
        <v>98</v>
      </c>
      <c r="BH1024" s="47">
        <v>1000</v>
      </c>
      <c r="BI1024" s="8"/>
      <c r="BJ1024" s="3"/>
      <c r="BK1024" s="47"/>
      <c r="BL1024" s="47"/>
      <c r="BM1024" s="46"/>
      <c r="BN1024" s="46"/>
      <c r="BO1024" s="24">
        <f>AL1024+AN1024+AP1024+AR1024+AT1024+AV1024+AX1024+AZ1024+BB1024+BD1024+BF1024+BH1024+BJ1024+BL1024</f>
        <v>12114.75</v>
      </c>
      <c r="BP1024" s="28">
        <f>AJ1024-BO1024</f>
        <v>-284316.0105</v>
      </c>
      <c r="BQ1024" s="2">
        <v>45695</v>
      </c>
    </row>
    <row r="1025" spans="1:73" hidden="true">
      <c r="D1025" s="9" t="s">
        <v>11</v>
      </c>
      <c r="E1025" s="2">
        <v>45696</v>
      </c>
      <c r="F1025" s="38"/>
      <c r="G1025" s="127"/>
      <c r="H1025" s="4">
        <f>F348*50%</f>
        <v>1851.8</v>
      </c>
      <c r="I1025" s="120"/>
      <c r="J1025" s="4">
        <f>(G1025+H1025)-I1025</f>
        <v>1851.8</v>
      </c>
      <c r="K1025" s="4">
        <f>J1025+O1024</f>
        <v>105014.785</v>
      </c>
      <c r="L1025" s="3"/>
      <c r="M1025" s="3"/>
      <c r="N1025" s="33">
        <f>I1025+M1025</f>
        <v>0</v>
      </c>
      <c r="O1025" s="28">
        <f>K1025-M1025</f>
        <v>105014.785</v>
      </c>
      <c r="P1025" s="9" t="s">
        <v>11</v>
      </c>
      <c r="Q1025" s="2">
        <v>45696</v>
      </c>
      <c r="R1025" s="38"/>
      <c r="S1025" s="52"/>
      <c r="T1025" s="4">
        <f>R348*45%</f>
        <v>1871.1</v>
      </c>
      <c r="U1025" s="5"/>
      <c r="V1025" s="4">
        <f>(S1025+T1025)-U1025</f>
        <v>1871.1</v>
      </c>
      <c r="W1025" s="4">
        <f>V1025+AA1024</f>
        <v>47199.32</v>
      </c>
      <c r="X1025" s="3"/>
      <c r="Y1025" s="3"/>
      <c r="Z1025" s="25">
        <f>U1025+Y1025</f>
        <v>0</v>
      </c>
      <c r="AA1025" s="76">
        <f>W1025-Y1025</f>
        <v>47199.32</v>
      </c>
      <c r="AB1025" s="9" t="s">
        <v>11</v>
      </c>
      <c r="AC1025" s="19">
        <v>45696</v>
      </c>
      <c r="AD1025" s="41"/>
      <c r="AE1025" s="42"/>
      <c r="AF1025" s="4">
        <f>AD348-H1025-T1025</f>
        <v>4138.7</v>
      </c>
      <c r="AG1025" s="3"/>
      <c r="AH1025" s="8"/>
      <c r="AI1025" s="4">
        <f>(AE1025+AF1025)-AH1025</f>
        <v>4138.7</v>
      </c>
      <c r="AJ1025" s="4">
        <f>AI1025+BP1024</f>
        <v>-280177.3105</v>
      </c>
      <c r="AK1025" s="8"/>
      <c r="AL1025" s="8"/>
      <c r="AM1025" s="47" t="s">
        <v>427</v>
      </c>
      <c r="AN1025" s="47">
        <f>8000+6000</f>
        <v>14000</v>
      </c>
      <c r="AO1025" s="8"/>
      <c r="AP1025" s="8"/>
      <c r="AQ1025" s="47" t="s">
        <v>428</v>
      </c>
      <c r="AR1025" s="47">
        <v>192.8</v>
      </c>
      <c r="AS1025" s="8"/>
      <c r="AT1025" s="8"/>
      <c r="AU1025" s="47"/>
      <c r="AV1025" s="47"/>
      <c r="AW1025" s="8"/>
      <c r="AX1025" s="8"/>
      <c r="AY1025" s="47"/>
      <c r="AZ1025" s="47"/>
      <c r="BA1025" s="8" t="s">
        <v>341</v>
      </c>
      <c r="BB1025" s="8">
        <v>343.2</v>
      </c>
      <c r="BC1025" s="47"/>
      <c r="BD1025" s="47"/>
      <c r="BE1025" s="8"/>
      <c r="BF1025" s="8"/>
      <c r="BG1025" s="47" t="s">
        <v>98</v>
      </c>
      <c r="BH1025" s="47">
        <v>1000</v>
      </c>
      <c r="BI1025" s="8"/>
      <c r="BJ1025" s="3"/>
      <c r="BK1025" s="47"/>
      <c r="BL1025" s="47"/>
      <c r="BM1025" s="46"/>
      <c r="BN1025" s="46"/>
      <c r="BO1025" s="24">
        <f>AL1025+AN1025+AP1025+AR1025+AT1025+AV1025+AX1025+AZ1025+BB1025+BD1025+BF1025+BH1025+BJ1025+BL1025</f>
        <v>15536</v>
      </c>
      <c r="BP1025" s="28">
        <f>AJ1025-BO1025</f>
        <v>-295713.3105</v>
      </c>
      <c r="BQ1025" s="2">
        <v>45696</v>
      </c>
    </row>
    <row r="1026" spans="1:73" hidden="true">
      <c r="D1026" s="9" t="s">
        <v>12</v>
      </c>
      <c r="E1026" s="2">
        <v>45697</v>
      </c>
      <c r="F1026" s="38"/>
      <c r="G1026" s="127"/>
      <c r="H1026" s="4">
        <f>F349*50%</f>
        <v>2002.275</v>
      </c>
      <c r="I1026" s="120"/>
      <c r="J1026" s="4">
        <f>(G1026+H1026)-I1026</f>
        <v>2002.275</v>
      </c>
      <c r="K1026" s="4">
        <f>J1026+O1025</f>
        <v>107017.06</v>
      </c>
      <c r="L1026" s="3"/>
      <c r="M1026" s="3"/>
      <c r="N1026" s="33">
        <f>I1026+M1026</f>
        <v>0</v>
      </c>
      <c r="O1026" s="28">
        <f>K1026-M1026</f>
        <v>107017.06</v>
      </c>
      <c r="P1026" s="9" t="s">
        <v>12</v>
      </c>
      <c r="Q1026" s="2">
        <v>45697</v>
      </c>
      <c r="R1026" s="38"/>
      <c r="S1026" s="52"/>
      <c r="T1026" s="4">
        <f>R349*45%</f>
        <v>3166.65</v>
      </c>
      <c r="U1026" s="5"/>
      <c r="V1026" s="4">
        <f>(S1026+T1026)-U1026</f>
        <v>3166.65</v>
      </c>
      <c r="W1026" s="4">
        <f>V1026+AA1025</f>
        <v>50365.97</v>
      </c>
      <c r="X1026" s="3"/>
      <c r="Y1026" s="3"/>
      <c r="Z1026" s="25">
        <f>U1026+Y1026</f>
        <v>0</v>
      </c>
      <c r="AA1026" s="76">
        <f>W1026-Y1026</f>
        <v>50365.97</v>
      </c>
      <c r="AB1026" s="9" t="s">
        <v>12</v>
      </c>
      <c r="AC1026" s="19">
        <v>45697</v>
      </c>
      <c r="AD1026" s="41"/>
      <c r="AE1026" s="42"/>
      <c r="AF1026" s="4">
        <f>AD349-H1026-T1026</f>
        <v>5872.625</v>
      </c>
      <c r="AG1026" s="3"/>
      <c r="AH1026" s="8"/>
      <c r="AI1026" s="4">
        <f>(AE1026+AF1026)-AH1026</f>
        <v>5872.625</v>
      </c>
      <c r="AJ1026" s="4">
        <f>AI1026+BP1025</f>
        <v>-289840.6855</v>
      </c>
      <c r="AK1026" s="8" t="s">
        <v>423</v>
      </c>
      <c r="AL1026" s="8">
        <f>4113.54+2168.75</f>
        <v>6282.29</v>
      </c>
      <c r="AM1026" s="47"/>
      <c r="AN1026" s="47"/>
      <c r="AO1026" s="8"/>
      <c r="AP1026" s="8"/>
      <c r="AQ1026" s="47"/>
      <c r="AR1026" s="47"/>
      <c r="AS1026" s="8"/>
      <c r="AT1026" s="8"/>
      <c r="AU1026" s="47"/>
      <c r="AV1026" s="47"/>
      <c r="AW1026" s="8"/>
      <c r="AX1026" s="8"/>
      <c r="AY1026" s="47"/>
      <c r="AZ1026" s="47"/>
      <c r="BA1026" s="8" t="s">
        <v>341</v>
      </c>
      <c r="BB1026" s="8">
        <v>190</v>
      </c>
      <c r="BC1026" s="47"/>
      <c r="BD1026" s="47"/>
      <c r="BE1026" s="8"/>
      <c r="BF1026" s="8"/>
      <c r="BG1026" s="47" t="s">
        <v>98</v>
      </c>
      <c r="BH1026" s="47">
        <v>1000</v>
      </c>
      <c r="BI1026" s="8"/>
      <c r="BJ1026" s="3"/>
      <c r="BK1026" s="47"/>
      <c r="BL1026" s="47"/>
      <c r="BM1026" s="46"/>
      <c r="BN1026" s="46"/>
      <c r="BO1026" s="24">
        <f>AL1026+AN1026+AP1026+AR1026+AT1026+AV1026+AX1026+AZ1026+BB1026+BD1026+BF1026+BH1026+BJ1026+BL1026</f>
        <v>7472.29</v>
      </c>
      <c r="BP1026" s="28">
        <f>AJ1026-BO1026</f>
        <v>-297312.9755</v>
      </c>
      <c r="BQ1026" s="2">
        <v>45697</v>
      </c>
    </row>
    <row r="1027" spans="1:73" hidden="true">
      <c r="D1027" s="9" t="s">
        <v>13</v>
      </c>
      <c r="E1027" s="2">
        <v>45698</v>
      </c>
      <c r="F1027" s="38"/>
      <c r="G1027" s="127"/>
      <c r="H1027" s="4">
        <f>F350*50%</f>
        <v>1517.075</v>
      </c>
      <c r="I1027" s="120"/>
      <c r="J1027" s="4">
        <f>(G1027+H1027)-I1027</f>
        <v>1517.075</v>
      </c>
      <c r="K1027" s="4">
        <f>J1027+O1026</f>
        <v>108534.135</v>
      </c>
      <c r="L1027" s="3"/>
      <c r="M1027" s="3"/>
      <c r="N1027" s="33">
        <f>I1027+M1027</f>
        <v>0</v>
      </c>
      <c r="O1027" s="28">
        <f>K1027-M1027</f>
        <v>108534.135</v>
      </c>
      <c r="P1027" s="9" t="s">
        <v>13</v>
      </c>
      <c r="Q1027" s="2">
        <v>45698</v>
      </c>
      <c r="R1027" s="38"/>
      <c r="S1027" s="52"/>
      <c r="T1027" s="4">
        <f>R350*45%</f>
        <v>2401.605</v>
      </c>
      <c r="U1027" s="5"/>
      <c r="V1027" s="4">
        <f>(S1027+T1027)-U1027</f>
        <v>2401.605</v>
      </c>
      <c r="W1027" s="4">
        <f>V1027+AA1026</f>
        <v>52767.575</v>
      </c>
      <c r="X1027" s="113" t="s">
        <v>386</v>
      </c>
      <c r="Y1027" s="3">
        <v>5760</v>
      </c>
      <c r="Z1027" s="25">
        <f>U1027+Y1027</f>
        <v>5760</v>
      </c>
      <c r="AA1027" s="76">
        <f>W1027-Y1027</f>
        <v>47007.575</v>
      </c>
      <c r="AB1027" s="9" t="s">
        <v>13</v>
      </c>
      <c r="AC1027" s="19">
        <v>45698</v>
      </c>
      <c r="AD1027" s="41"/>
      <c r="AE1027" s="42"/>
      <c r="AF1027" s="4">
        <f>AD350-H1027-T1027</f>
        <v>4452.37</v>
      </c>
      <c r="AG1027" s="3"/>
      <c r="AH1027" s="8"/>
      <c r="AI1027" s="4">
        <f>(AE1027+AF1027)-AH1027</f>
        <v>4452.37</v>
      </c>
      <c r="AJ1027" s="4">
        <f>AI1027+BP1026</f>
        <v>-292860.6055</v>
      </c>
      <c r="AK1027" s="8" t="s">
        <v>429</v>
      </c>
      <c r="AL1027" s="8">
        <f>2000+6000</f>
        <v>8000</v>
      </c>
      <c r="AM1027" s="47" t="s">
        <v>430</v>
      </c>
      <c r="AN1027" s="47">
        <v>1900</v>
      </c>
      <c r="AO1027" s="8" t="s">
        <v>431</v>
      </c>
      <c r="AP1027" s="8">
        <f>2000+0.5</f>
        <v>2000.5</v>
      </c>
      <c r="AQ1027" s="47"/>
      <c r="AR1027" s="47"/>
      <c r="AS1027" s="8"/>
      <c r="AT1027" s="8"/>
      <c r="AU1027" s="47"/>
      <c r="AV1027" s="47"/>
      <c r="AW1027" s="8"/>
      <c r="AX1027" s="8"/>
      <c r="AY1027" s="47"/>
      <c r="AZ1027" s="47"/>
      <c r="BA1027" s="8" t="s">
        <v>341</v>
      </c>
      <c r="BB1027" s="8">
        <v>270</v>
      </c>
      <c r="BC1027" s="47"/>
      <c r="BD1027" s="47"/>
      <c r="BE1027" s="8"/>
      <c r="BF1027" s="8"/>
      <c r="BG1027" s="47" t="s">
        <v>98</v>
      </c>
      <c r="BH1027" s="47">
        <v>1000</v>
      </c>
      <c r="BI1027" s="8"/>
      <c r="BJ1027" s="3"/>
      <c r="BK1027" s="47" t="s">
        <v>346</v>
      </c>
      <c r="BL1027" s="47">
        <v>3000</v>
      </c>
      <c r="BM1027" s="46"/>
      <c r="BN1027" s="46"/>
      <c r="BO1027" s="24">
        <f>AL1027+AN1027+AP1027+AR1027+AT1027+AV1027+AX1027+AZ1027+BB1027+BD1027+BF1027+BH1027+BJ1027+BL1027</f>
        <v>16170.5</v>
      </c>
      <c r="BP1027" s="28">
        <f>AJ1027-BO1027</f>
        <v>-309031.1055</v>
      </c>
      <c r="BQ1027" s="2">
        <v>45698</v>
      </c>
    </row>
    <row r="1028" spans="1:73" hidden="true">
      <c r="D1028" s="9" t="s">
        <v>14</v>
      </c>
      <c r="E1028" s="2">
        <v>45699</v>
      </c>
      <c r="F1028" s="38"/>
      <c r="G1028" s="127"/>
      <c r="H1028" s="4">
        <f>F351*50%</f>
        <v>1325.625</v>
      </c>
      <c r="I1028" s="120"/>
      <c r="J1028" s="4">
        <f>(G1028+H1028)-I1028</f>
        <v>1325.625</v>
      </c>
      <c r="K1028" s="4">
        <f>J1028+O1027</f>
        <v>109859.76</v>
      </c>
      <c r="L1028" s="3"/>
      <c r="M1028" s="123"/>
      <c r="N1028" s="124"/>
      <c r="O1028" s="28">
        <f>K1028-M1028</f>
        <v>109859.76</v>
      </c>
      <c r="P1028" s="9" t="s">
        <v>14</v>
      </c>
      <c r="Q1028" s="2">
        <v>45699</v>
      </c>
      <c r="R1028" s="38"/>
      <c r="S1028" s="52"/>
      <c r="T1028" s="4">
        <f>R351*45%</f>
        <v>3477.15</v>
      </c>
      <c r="U1028" s="5">
        <v>4192</v>
      </c>
      <c r="V1028" s="4">
        <f>(S1028+T1028)-U1028</f>
        <v>-714.85</v>
      </c>
      <c r="W1028" s="4">
        <f>V1028+AA1027</f>
        <v>46292.725</v>
      </c>
      <c r="X1028" s="3"/>
      <c r="Y1028" s="3"/>
      <c r="Z1028" s="25"/>
      <c r="AA1028" s="76">
        <f>W1028-Y1028</f>
        <v>46292.725</v>
      </c>
      <c r="AB1028" s="9" t="s">
        <v>14</v>
      </c>
      <c r="AC1028" s="19">
        <v>45699</v>
      </c>
      <c r="AD1028" s="41"/>
      <c r="AE1028" s="42"/>
      <c r="AF1028" s="4">
        <f>AD351-H1028-T1028</f>
        <v>5575.475</v>
      </c>
      <c r="AG1028" s="3"/>
      <c r="AH1028" s="8"/>
      <c r="AI1028" s="4">
        <f>(AE1028+AF1028)-AH1028</f>
        <v>5575.475</v>
      </c>
      <c r="AJ1028" s="4">
        <f>AI1028+BP1027</f>
        <v>-303455.6305</v>
      </c>
      <c r="AK1028" s="8" t="s">
        <v>41</v>
      </c>
      <c r="AL1028" s="8">
        <v>2261</v>
      </c>
      <c r="AM1028" s="47"/>
      <c r="AN1028" s="47"/>
      <c r="AO1028" s="8"/>
      <c r="AP1028" s="8"/>
      <c r="AQ1028" s="47"/>
      <c r="AR1028" s="47"/>
      <c r="AS1028" s="8"/>
      <c r="AT1028" s="8"/>
      <c r="AU1028" s="47"/>
      <c r="AV1028" s="47"/>
      <c r="AW1028" s="8"/>
      <c r="AX1028" s="8"/>
      <c r="AY1028" s="47"/>
      <c r="AZ1028" s="47"/>
      <c r="BA1028" s="8" t="s">
        <v>341</v>
      </c>
      <c r="BB1028" s="8">
        <v>559.6</v>
      </c>
      <c r="BC1028" s="47" t="s">
        <v>432</v>
      </c>
      <c r="BD1028" s="47">
        <v>1637.2</v>
      </c>
      <c r="BE1028" s="8"/>
      <c r="BF1028" s="8"/>
      <c r="BG1028" s="47"/>
      <c r="BH1028" s="47"/>
      <c r="BI1028" s="8"/>
      <c r="BJ1028" s="3"/>
      <c r="BK1028" s="47"/>
      <c r="BL1028" s="47"/>
      <c r="BM1028" s="46"/>
      <c r="BN1028" s="46"/>
      <c r="BO1028" s="24">
        <f>AL1028+AN1028+AP1028+AR1028+AT1028+AV1028+AX1028+AZ1028+BB1028+BD1028+BF1028+BH1028+BJ1028+BL1028</f>
        <v>4457.8</v>
      </c>
      <c r="BP1028" s="28">
        <f>AJ1028-BO1028</f>
        <v>-307913.4305</v>
      </c>
      <c r="BQ1028" s="2">
        <v>45699</v>
      </c>
    </row>
    <row r="1029" spans="1:73" hidden="true">
      <c r="D1029" s="9" t="s">
        <v>15</v>
      </c>
      <c r="E1029" s="2">
        <v>45700</v>
      </c>
      <c r="F1029" s="38"/>
      <c r="G1029" s="127"/>
      <c r="H1029" s="4">
        <f>F352*50%</f>
        <v>1916.975</v>
      </c>
      <c r="I1029" s="120"/>
      <c r="J1029" s="4">
        <f>(G1029+H1029)-I1029</f>
        <v>1916.975</v>
      </c>
      <c r="K1029" s="4">
        <f>J1029+O1028</f>
        <v>111776.735</v>
      </c>
      <c r="L1029" s="3" t="s">
        <v>433</v>
      </c>
      <c r="M1029" s="3">
        <v>729</v>
      </c>
      <c r="N1029" s="33">
        <f>I1029+M1029</f>
        <v>729</v>
      </c>
      <c r="O1029" s="28">
        <f>K1029-M1029</f>
        <v>111047.735</v>
      </c>
      <c r="P1029" s="9" t="s">
        <v>15</v>
      </c>
      <c r="Q1029" s="2">
        <v>45700</v>
      </c>
      <c r="R1029" s="38"/>
      <c r="S1029" s="52"/>
      <c r="T1029" s="4">
        <f>R352*45%</f>
        <v>1710.45</v>
      </c>
      <c r="U1029" s="5"/>
      <c r="V1029" s="4">
        <f>(S1029+T1029)-U1029</f>
        <v>1710.45</v>
      </c>
      <c r="W1029" s="4">
        <f>V1029+AA1028</f>
        <v>48003.175</v>
      </c>
      <c r="X1029" s="3" t="s">
        <v>434</v>
      </c>
      <c r="Y1029" s="3">
        <f>2000+9650</f>
        <v>11650</v>
      </c>
      <c r="Z1029" s="25">
        <f>U1029+Y1029</f>
        <v>11650</v>
      </c>
      <c r="AA1029" s="76">
        <f>W1029-Y1029</f>
        <v>36353.175</v>
      </c>
      <c r="AB1029" s="9" t="s">
        <v>15</v>
      </c>
      <c r="AC1029" s="19">
        <v>45700</v>
      </c>
      <c r="AD1029" s="41"/>
      <c r="AE1029" s="42"/>
      <c r="AF1029" s="4">
        <f>AD352-H1029-T1029</f>
        <v>4007.525</v>
      </c>
      <c r="AG1029" s="3"/>
      <c r="AH1029" s="8"/>
      <c r="AI1029" s="4">
        <f>(AE1029+AF1029)-AH1029</f>
        <v>4007.525</v>
      </c>
      <c r="AJ1029" s="4">
        <f>AI1029+BP1028</f>
        <v>-303905.9055</v>
      </c>
      <c r="AK1029" s="8" t="s">
        <v>41</v>
      </c>
      <c r="AL1029" s="8">
        <v>1848</v>
      </c>
      <c r="AM1029" s="47"/>
      <c r="AN1029" s="47"/>
      <c r="AO1029" s="8" t="s">
        <v>55</v>
      </c>
      <c r="AP1029" s="8">
        <v>51</v>
      </c>
      <c r="AQ1029" s="47" t="s">
        <v>435</v>
      </c>
      <c r="AR1029" s="47">
        <f>382+2000</f>
        <v>2382</v>
      </c>
      <c r="AS1029" s="8"/>
      <c r="AT1029" s="8"/>
      <c r="AU1029" s="47"/>
      <c r="AV1029" s="47"/>
      <c r="AW1029" s="8"/>
      <c r="AX1029" s="8"/>
      <c r="AY1029" s="47"/>
      <c r="AZ1029" s="47"/>
      <c r="BA1029" s="8" t="s">
        <v>341</v>
      </c>
      <c r="BB1029" s="8">
        <v>388</v>
      </c>
      <c r="BC1029" s="47"/>
      <c r="BD1029" s="47"/>
      <c r="BE1029" s="8"/>
      <c r="BF1029" s="8"/>
      <c r="BG1029" s="47" t="s">
        <v>98</v>
      </c>
      <c r="BH1029" s="47">
        <v>1000</v>
      </c>
      <c r="BI1029" s="8"/>
      <c r="BJ1029" s="3"/>
      <c r="BK1029" s="47"/>
      <c r="BL1029" s="47"/>
      <c r="BM1029" s="46"/>
      <c r="BN1029" s="46"/>
      <c r="BO1029" s="24">
        <f>AL1029+AN1029+AP1029+AR1029+AT1029+AV1029+AX1029+AZ1029+BB1029+BD1029+BF1029+BH1029+BJ1029+BL1029</f>
        <v>5669</v>
      </c>
      <c r="BP1029" s="28">
        <f>AJ1029-BO1029</f>
        <v>-309574.9055</v>
      </c>
      <c r="BQ1029" s="2">
        <v>45700</v>
      </c>
    </row>
    <row r="1030" spans="1:73" hidden="true">
      <c r="D1030" s="9" t="s">
        <v>16</v>
      </c>
      <c r="E1030" s="2">
        <v>45701</v>
      </c>
      <c r="F1030" s="38"/>
      <c r="G1030" s="127"/>
      <c r="H1030" s="4">
        <f>F353*50%</f>
        <v>1384.05</v>
      </c>
      <c r="I1030" s="120"/>
      <c r="J1030" s="4">
        <f>(G1030+H1030)-I1030</f>
        <v>1384.05</v>
      </c>
      <c r="K1030" s="4">
        <f>J1030+O1029</f>
        <v>112431.785</v>
      </c>
      <c r="L1030" s="3"/>
      <c r="M1030" s="3"/>
      <c r="N1030" s="33">
        <f>I1030+M1030</f>
        <v>0</v>
      </c>
      <c r="O1030" s="28">
        <f>K1030-M1030</f>
        <v>112431.785</v>
      </c>
      <c r="P1030" s="9" t="s">
        <v>16</v>
      </c>
      <c r="Q1030" s="2">
        <v>45701</v>
      </c>
      <c r="R1030" s="38"/>
      <c r="S1030" s="52"/>
      <c r="T1030" s="4">
        <f>R353*45%</f>
        <v>3617.55</v>
      </c>
      <c r="U1030" s="5"/>
      <c r="V1030" s="4">
        <f>(S1030+T1030)-U1030</f>
        <v>3617.55</v>
      </c>
      <c r="W1030" s="4">
        <f>V1030+AA1029</f>
        <v>39970.725</v>
      </c>
      <c r="X1030" s="3"/>
      <c r="Y1030" s="3"/>
      <c r="Z1030" s="25">
        <f>U1030+Y1030</f>
        <v>0</v>
      </c>
      <c r="AA1030" s="76">
        <f>W1030-Y1030</f>
        <v>39970.725</v>
      </c>
      <c r="AB1030" s="9" t="s">
        <v>16</v>
      </c>
      <c r="AC1030" s="19">
        <v>45701</v>
      </c>
      <c r="AD1030" s="41"/>
      <c r="AE1030" s="42"/>
      <c r="AF1030" s="4">
        <f>AD353-H1030-T1030</f>
        <v>5805.5</v>
      </c>
      <c r="AG1030" s="3"/>
      <c r="AH1030" s="8"/>
      <c r="AI1030" s="4">
        <f>(AE1030+AF1030)-AH1030</f>
        <v>5805.5</v>
      </c>
      <c r="AJ1030" s="4">
        <f>AI1030+BP1029</f>
        <v>-303769.4055</v>
      </c>
      <c r="AK1030" s="8"/>
      <c r="AL1030" s="8"/>
      <c r="AM1030" s="47"/>
      <c r="AN1030" s="47"/>
      <c r="AO1030" s="8" t="s">
        <v>55</v>
      </c>
      <c r="AP1030" s="8">
        <v>0.5</v>
      </c>
      <c r="AQ1030" s="47"/>
      <c r="AR1030" s="47"/>
      <c r="AS1030" s="8"/>
      <c r="AT1030" s="8"/>
      <c r="AU1030" s="47"/>
      <c r="AV1030" s="47"/>
      <c r="AW1030" s="8"/>
      <c r="AX1030" s="8"/>
      <c r="AY1030" s="47"/>
      <c r="AZ1030" s="47"/>
      <c r="BA1030" s="8" t="s">
        <v>341</v>
      </c>
      <c r="BB1030" s="8">
        <v>650</v>
      </c>
      <c r="BC1030" s="47"/>
      <c r="BD1030" s="47"/>
      <c r="BE1030" s="8"/>
      <c r="BF1030" s="8"/>
      <c r="BG1030" s="47"/>
      <c r="BH1030" s="47"/>
      <c r="BI1030" s="8"/>
      <c r="BJ1030" s="3"/>
      <c r="BK1030" s="47"/>
      <c r="BL1030" s="47"/>
      <c r="BM1030" s="46"/>
      <c r="BN1030" s="46"/>
      <c r="BO1030" s="24">
        <f>AL1030+AN1030+AP1030+AR1030+AT1030+AV1030+AX1030+AZ1030+BB1030+BD1030+BF1030+BH1030+BJ1030+BL1030</f>
        <v>650.5</v>
      </c>
      <c r="BP1030" s="28">
        <f>AJ1030-BO1030</f>
        <v>-304419.9055</v>
      </c>
      <c r="BQ1030" s="2">
        <v>45701</v>
      </c>
    </row>
    <row r="1031" spans="1:73" hidden="true">
      <c r="D1031" s="9" t="s">
        <v>10</v>
      </c>
      <c r="E1031" s="2">
        <v>45702</v>
      </c>
      <c r="F1031" s="38"/>
      <c r="G1031" s="127"/>
      <c r="H1031" s="4">
        <f>F354*50%</f>
        <v>1374.375</v>
      </c>
      <c r="I1031" s="120"/>
      <c r="J1031" s="4">
        <f>(G1031+H1031)-I1031</f>
        <v>1374.375</v>
      </c>
      <c r="K1031" s="4">
        <f>J1031+O1030</f>
        <v>113806.16</v>
      </c>
      <c r="L1031" s="3"/>
      <c r="M1031" s="3"/>
      <c r="N1031" s="33">
        <f>I1031+M1031</f>
        <v>0</v>
      </c>
      <c r="O1031" s="28">
        <f>K1031-M1031</f>
        <v>113806.16</v>
      </c>
      <c r="P1031" s="9" t="s">
        <v>10</v>
      </c>
      <c r="Q1031" s="2">
        <v>45702</v>
      </c>
      <c r="R1031" s="38"/>
      <c r="S1031" s="52"/>
      <c r="T1031" s="4">
        <f>R354*45%</f>
        <v>2533.5</v>
      </c>
      <c r="U1031" s="5"/>
      <c r="V1031" s="4">
        <f>(S1031+T1031)-U1031</f>
        <v>2533.5</v>
      </c>
      <c r="W1031" s="4">
        <f>V1031+AA1030</f>
        <v>42504.225</v>
      </c>
      <c r="X1031" s="3"/>
      <c r="Y1031" s="3"/>
      <c r="Z1031" s="25">
        <f>U1031+Y1031</f>
        <v>0</v>
      </c>
      <c r="AA1031" s="76">
        <f>W1031-Y1031</f>
        <v>42504.225</v>
      </c>
      <c r="AB1031" s="9" t="s">
        <v>10</v>
      </c>
      <c r="AC1031" s="19">
        <v>45702</v>
      </c>
      <c r="AD1031" s="41"/>
      <c r="AE1031" s="42"/>
      <c r="AF1031" s="4">
        <f>AD354-H1031-T1031</f>
        <v>4470.875</v>
      </c>
      <c r="AG1031" s="3"/>
      <c r="AH1031" s="8"/>
      <c r="AI1031" s="4">
        <f>(AE1031+AF1031)-AH1031</f>
        <v>4470.875</v>
      </c>
      <c r="AJ1031" s="4">
        <f>AI1031+BP1030</f>
        <v>-299949.0305</v>
      </c>
      <c r="AK1031" s="8" t="s">
        <v>436</v>
      </c>
      <c r="AL1031" s="8">
        <f>200+4000</f>
        <v>4200</v>
      </c>
      <c r="AM1031" s="86" t="s">
        <v>437</v>
      </c>
      <c r="AN1031" s="47">
        <v>8000</v>
      </c>
      <c r="AO1031" s="8" t="s">
        <v>55</v>
      </c>
      <c r="AP1031" s="8">
        <v>51.5</v>
      </c>
      <c r="AQ1031" s="47"/>
      <c r="AR1031" s="47"/>
      <c r="AS1031" s="8"/>
      <c r="AT1031" s="8"/>
      <c r="AU1031" s="47"/>
      <c r="AV1031" s="47"/>
      <c r="AW1031" s="8"/>
      <c r="AX1031" s="8"/>
      <c r="AY1031" s="47"/>
      <c r="AZ1031" s="47"/>
      <c r="BA1031" s="8" t="s">
        <v>438</v>
      </c>
      <c r="BB1031" s="8">
        <f>187+1000+1715.3</f>
        <v>2902.3</v>
      </c>
      <c r="BC1031" s="47"/>
      <c r="BD1031" s="47"/>
      <c r="BE1031" s="8"/>
      <c r="BF1031" s="8"/>
      <c r="BG1031" s="47" t="s">
        <v>98</v>
      </c>
      <c r="BH1031" s="47">
        <v>1000</v>
      </c>
      <c r="BI1031" s="8"/>
      <c r="BJ1031" s="3"/>
      <c r="BK1031" s="47"/>
      <c r="BL1031" s="47"/>
      <c r="BM1031" s="46"/>
      <c r="BN1031" s="46"/>
      <c r="BO1031" s="24">
        <f>AL1031+AN1031+AP1031+AR1031+AT1031+AV1031+AX1031+AZ1031+BB1031+BD1031+BF1031+BH1031+BJ1031+BL1031</f>
        <v>16153.8</v>
      </c>
      <c r="BP1031" s="28">
        <f>AJ1031-BO1031</f>
        <v>-316102.8305</v>
      </c>
      <c r="BQ1031" s="2">
        <v>45702</v>
      </c>
    </row>
    <row r="1032" spans="1:73" hidden="true">
      <c r="D1032" s="9" t="s">
        <v>11</v>
      </c>
      <c r="E1032" s="2">
        <v>45703</v>
      </c>
      <c r="F1032" s="38"/>
      <c r="G1032" s="127"/>
      <c r="H1032" s="4">
        <f>F355*50%</f>
        <v>1429.35</v>
      </c>
      <c r="I1032" s="120"/>
      <c r="J1032" s="4">
        <f>(G1032+H1032)-I1032</f>
        <v>1429.35</v>
      </c>
      <c r="K1032" s="4">
        <f>J1032+O1031</f>
        <v>115235.51</v>
      </c>
      <c r="L1032" s="3"/>
      <c r="M1032" s="3"/>
      <c r="N1032" s="33">
        <f>I1032+M1032</f>
        <v>0</v>
      </c>
      <c r="O1032" s="28">
        <f>K1032-M1032</f>
        <v>115235.51</v>
      </c>
      <c r="P1032" s="9" t="s">
        <v>11</v>
      </c>
      <c r="Q1032" s="2">
        <v>45703</v>
      </c>
      <c r="R1032" s="38"/>
      <c r="S1032" s="52"/>
      <c r="T1032" s="4">
        <f>R355*45%</f>
        <v>2920.95</v>
      </c>
      <c r="U1032" s="5"/>
      <c r="V1032" s="4">
        <f>(S1032+T1032)-U1032</f>
        <v>2920.95</v>
      </c>
      <c r="W1032" s="4">
        <f>V1032+AA1031</f>
        <v>45425.175</v>
      </c>
      <c r="X1032" s="3"/>
      <c r="Y1032" s="3"/>
      <c r="Z1032" s="25">
        <f>U1032+Y1032</f>
        <v>0</v>
      </c>
      <c r="AA1032" s="76">
        <f>W1032-Y1032</f>
        <v>45425.175</v>
      </c>
      <c r="AB1032" s="9" t="s">
        <v>11</v>
      </c>
      <c r="AC1032" s="19">
        <v>45703</v>
      </c>
      <c r="AD1032" s="41"/>
      <c r="AE1032" s="42"/>
      <c r="AF1032" s="4">
        <f>AD355-H1032-T1032</f>
        <v>4999.4</v>
      </c>
      <c r="AG1032" s="3"/>
      <c r="AH1032" s="8"/>
      <c r="AI1032" s="4">
        <f>(AE1032+AF1032)-AH1032</f>
        <v>4999.4</v>
      </c>
      <c r="AJ1032" s="4">
        <f>AI1032+BP1031</f>
        <v>-311103.4305</v>
      </c>
      <c r="AK1032" s="8"/>
      <c r="AL1032" s="8"/>
      <c r="AM1032" s="47"/>
      <c r="AN1032" s="47"/>
      <c r="AO1032" s="8"/>
      <c r="AP1032" s="8"/>
      <c r="AQ1032" s="47"/>
      <c r="AR1032" s="47"/>
      <c r="AS1032" s="8"/>
      <c r="AT1032" s="8"/>
      <c r="AU1032" s="47"/>
      <c r="AV1032" s="47"/>
      <c r="AW1032" s="8"/>
      <c r="AX1032" s="8"/>
      <c r="AY1032" s="47"/>
      <c r="AZ1032" s="47"/>
      <c r="BA1032" s="8" t="s">
        <v>341</v>
      </c>
      <c r="BB1032" s="8">
        <v>176</v>
      </c>
      <c r="BC1032" s="47"/>
      <c r="BD1032" s="47"/>
      <c r="BE1032" s="8"/>
      <c r="BF1032" s="8"/>
      <c r="BG1032" s="47" t="s">
        <v>98</v>
      </c>
      <c r="BH1032" s="47">
        <v>1000</v>
      </c>
      <c r="BI1032" s="8"/>
      <c r="BJ1032" s="3"/>
      <c r="BK1032" s="47"/>
      <c r="BL1032" s="47"/>
      <c r="BM1032" s="46"/>
      <c r="BN1032" s="46"/>
      <c r="BO1032" s="24">
        <f>AL1032+AN1032+AP1032+AR1032+AT1032+AV1032+AX1032+AZ1032+BB1032+BD1032+BF1032+BH1032+BJ1032+BL1032</f>
        <v>1176</v>
      </c>
      <c r="BP1032" s="28">
        <f>AJ1032-BO1032</f>
        <v>-312279.4305</v>
      </c>
      <c r="BQ1032" s="2">
        <v>45703</v>
      </c>
    </row>
    <row r="1033" spans="1:73" hidden="true">
      <c r="D1033" s="9" t="s">
        <v>12</v>
      </c>
      <c r="E1033" s="2">
        <v>45704</v>
      </c>
      <c r="F1033" s="38"/>
      <c r="G1033" s="127"/>
      <c r="H1033" s="4">
        <f>F356*50%</f>
        <v>1930.425</v>
      </c>
      <c r="I1033" s="120"/>
      <c r="J1033" s="4">
        <f>(G1033+H1033)-I1033</f>
        <v>1930.425</v>
      </c>
      <c r="K1033" s="4">
        <f>J1033+O1032</f>
        <v>117165.935</v>
      </c>
      <c r="L1033" s="3"/>
      <c r="M1033" s="3"/>
      <c r="N1033" s="33">
        <f>I1033+M1033</f>
        <v>0</v>
      </c>
      <c r="O1033" s="28">
        <f>K1033-M1033</f>
        <v>117165.935</v>
      </c>
      <c r="P1033" s="9" t="s">
        <v>12</v>
      </c>
      <c r="Q1033" s="2">
        <v>45704</v>
      </c>
      <c r="R1033" s="38"/>
      <c r="S1033" s="52"/>
      <c r="T1033" s="4">
        <f>R356*45%</f>
        <v>1268.1</v>
      </c>
      <c r="U1033" s="5"/>
      <c r="V1033" s="4">
        <f>(S1033+T1033)-U1033</f>
        <v>1268.1</v>
      </c>
      <c r="W1033" s="4">
        <f>V1033+AA1032</f>
        <v>46693.275</v>
      </c>
      <c r="X1033" s="3"/>
      <c r="Y1033" s="3"/>
      <c r="Z1033" s="25">
        <f>U1033+Y1033</f>
        <v>0</v>
      </c>
      <c r="AA1033" s="76">
        <f>W1033-Y1033</f>
        <v>46693.275</v>
      </c>
      <c r="AB1033" s="9" t="s">
        <v>12</v>
      </c>
      <c r="AC1033" s="19">
        <v>45704</v>
      </c>
      <c r="AD1033" s="41"/>
      <c r="AE1033" s="42"/>
      <c r="AF1033" s="4">
        <f>AD356-H1033-T1033</f>
        <v>3480.325</v>
      </c>
      <c r="AG1033" s="3"/>
      <c r="AH1033" s="8"/>
      <c r="AI1033" s="4">
        <f>(AE1033+AF1033)-AH1033</f>
        <v>3480.325</v>
      </c>
      <c r="AJ1033" s="4">
        <f>AI1033+BP1032</f>
        <v>-308799.1055</v>
      </c>
      <c r="AK1033" s="8"/>
      <c r="AL1033" s="8"/>
      <c r="AM1033" s="47"/>
      <c r="AN1033" s="47"/>
      <c r="AO1033" s="8"/>
      <c r="AP1033" s="8"/>
      <c r="AQ1033" s="47"/>
      <c r="AR1033" s="47"/>
      <c r="AS1033" s="8" t="s">
        <v>439</v>
      </c>
      <c r="AT1033" s="8">
        <v>250</v>
      </c>
      <c r="AU1033" s="47"/>
      <c r="AV1033" s="47"/>
      <c r="AW1033" s="8"/>
      <c r="AX1033" s="8"/>
      <c r="AY1033" s="47"/>
      <c r="AZ1033" s="47"/>
      <c r="BA1033" s="8" t="s">
        <v>440</v>
      </c>
      <c r="BB1033" s="8">
        <f>401+4210</f>
        <v>4611</v>
      </c>
      <c r="BC1033" s="47"/>
      <c r="BD1033" s="47"/>
      <c r="BE1033" s="8"/>
      <c r="BF1033" s="8"/>
      <c r="BG1033" s="47" t="s">
        <v>98</v>
      </c>
      <c r="BH1033" s="47">
        <v>1000</v>
      </c>
      <c r="BI1033" s="8"/>
      <c r="BJ1033" s="3"/>
      <c r="BK1033" s="47"/>
      <c r="BL1033" s="47"/>
      <c r="BM1033" s="46"/>
      <c r="BN1033" s="46"/>
      <c r="BO1033" s="24">
        <f>AL1033+AN1033+AP1033+AR1033+AT1033+AV1033+AX1033+AZ1033+BB1033+BD1033+BF1033+BH1033+BJ1033+BL1033</f>
        <v>5861</v>
      </c>
      <c r="BP1033" s="28">
        <f>AJ1033-BO1033</f>
        <v>-314660.1055</v>
      </c>
      <c r="BQ1033" s="2">
        <v>45704</v>
      </c>
    </row>
    <row r="1034" spans="1:73" hidden="true">
      <c r="D1034" s="9" t="s">
        <v>13</v>
      </c>
      <c r="E1034" s="2">
        <v>45705</v>
      </c>
      <c r="F1034" s="38"/>
      <c r="G1034" s="127"/>
      <c r="H1034" s="4">
        <f>F357*50%</f>
        <v>1892.1</v>
      </c>
      <c r="I1034" s="120"/>
      <c r="J1034" s="4">
        <f>(G1034+H1034)-I1034</f>
        <v>1892.1</v>
      </c>
      <c r="K1034" s="4">
        <f>J1034+O1033</f>
        <v>119058.035</v>
      </c>
      <c r="L1034" s="3"/>
      <c r="M1034" s="3"/>
      <c r="N1034" s="33">
        <f>I1034+M1034</f>
        <v>0</v>
      </c>
      <c r="O1034" s="28">
        <f>K1034-M1034</f>
        <v>119058.035</v>
      </c>
      <c r="P1034" s="9" t="s">
        <v>13</v>
      </c>
      <c r="Q1034" s="2">
        <v>45705</v>
      </c>
      <c r="R1034" s="38"/>
      <c r="S1034" s="52"/>
      <c r="T1034" s="4">
        <f>R357*45%</f>
        <v>1080.9</v>
      </c>
      <c r="U1034" s="5"/>
      <c r="V1034" s="4">
        <f>(S1034+T1034)-U1034</f>
        <v>1080.9</v>
      </c>
      <c r="W1034" s="4">
        <f>V1034+AA1033</f>
        <v>47774.175</v>
      </c>
      <c r="X1034" s="3"/>
      <c r="Y1034" s="3"/>
      <c r="Z1034" s="25">
        <f>U1034+Y1034</f>
        <v>0</v>
      </c>
      <c r="AA1034" s="76">
        <f>W1034-Y1034</f>
        <v>47774.175</v>
      </c>
      <c r="AB1034" s="9" t="s">
        <v>13</v>
      </c>
      <c r="AC1034" s="19">
        <v>45705</v>
      </c>
      <c r="AD1034" s="41"/>
      <c r="AE1034" s="42"/>
      <c r="AF1034" s="4">
        <f>AD357-H1034-T1034</f>
        <v>3213.2</v>
      </c>
      <c r="AG1034" s="3"/>
      <c r="AH1034" s="8"/>
      <c r="AI1034" s="4">
        <f>(AE1034+AF1034)-AH1034</f>
        <v>3213.2</v>
      </c>
      <c r="AJ1034" s="4">
        <f>AI1034+BP1033</f>
        <v>-311446.9055</v>
      </c>
      <c r="AK1034" s="8" t="s">
        <v>41</v>
      </c>
      <c r="AL1034" s="8">
        <f>4000</f>
        <v>4000</v>
      </c>
      <c r="AM1034" s="47" t="s">
        <v>441</v>
      </c>
      <c r="AN1034" s="47">
        <f>375</f>
        <v>375</v>
      </c>
      <c r="AO1034" s="8" t="s">
        <v>55</v>
      </c>
      <c r="AP1034" s="8">
        <v>0.5</v>
      </c>
      <c r="AQ1034" s="47"/>
      <c r="AR1034" s="47"/>
      <c r="AS1034" s="8"/>
      <c r="AT1034" s="8"/>
      <c r="AU1034" s="47"/>
      <c r="AV1034" s="47"/>
      <c r="AW1034" s="8"/>
      <c r="AX1034" s="8"/>
      <c r="AY1034" s="47"/>
      <c r="AZ1034" s="47"/>
      <c r="BA1034" s="8" t="s">
        <v>341</v>
      </c>
      <c r="BB1034" s="8">
        <v>354.13</v>
      </c>
      <c r="BC1034" s="47"/>
      <c r="BD1034" s="47"/>
      <c r="BE1034" s="8"/>
      <c r="BF1034" s="8"/>
      <c r="BG1034" s="47"/>
      <c r="BH1034" s="47"/>
      <c r="BI1034" s="8"/>
      <c r="BJ1034" s="3"/>
      <c r="BK1034" s="47"/>
      <c r="BL1034" s="47"/>
      <c r="BM1034" s="46"/>
      <c r="BN1034" s="46"/>
      <c r="BO1034" s="24">
        <f>AL1034+AN1034+AP1034+AR1034+AT1034+AV1034+AX1034+AZ1034+BB1034+BD1034+BF1034+BH1034+BJ1034+BL1034</f>
        <v>4729.63</v>
      </c>
      <c r="BP1034" s="28">
        <f>AJ1034-BO1034</f>
        <v>-316176.5355</v>
      </c>
      <c r="BQ1034" s="2">
        <v>45705</v>
      </c>
    </row>
    <row r="1035" spans="1:73" hidden="true">
      <c r="D1035" s="9" t="s">
        <v>14</v>
      </c>
      <c r="E1035" s="2">
        <v>45706</v>
      </c>
      <c r="F1035" s="38"/>
      <c r="G1035" s="127"/>
      <c r="H1035" s="4">
        <f>F358*50%</f>
        <v>1180.225</v>
      </c>
      <c r="I1035" s="120"/>
      <c r="J1035" s="4">
        <f>(G1035+H1035)-I1035</f>
        <v>1180.225</v>
      </c>
      <c r="K1035" s="4">
        <f>J1035+O1034</f>
        <v>120238.26</v>
      </c>
      <c r="L1035" s="3"/>
      <c r="M1035" s="3"/>
      <c r="N1035" s="33">
        <f>I1035+M1035</f>
        <v>0</v>
      </c>
      <c r="O1035" s="28">
        <f>K1035-M1035</f>
        <v>120238.26</v>
      </c>
      <c r="P1035" s="9" t="s">
        <v>14</v>
      </c>
      <c r="Q1035" s="2">
        <v>45706</v>
      </c>
      <c r="R1035" s="38"/>
      <c r="S1035" s="52"/>
      <c r="T1035" s="4">
        <f>R358*45%</f>
        <v>1040.4</v>
      </c>
      <c r="U1035" s="5"/>
      <c r="V1035" s="4">
        <f>(S1035+T1035)-U1035</f>
        <v>1040.4</v>
      </c>
      <c r="W1035" s="4">
        <f>V1035+AA1034</f>
        <v>48814.575</v>
      </c>
      <c r="X1035" s="113" t="s">
        <v>442</v>
      </c>
      <c r="Y1035" s="3">
        <v>7000</v>
      </c>
      <c r="Z1035" s="25">
        <f>U1035+Y1035</f>
        <v>7000</v>
      </c>
      <c r="AA1035" s="76">
        <f>W1035-Y1035</f>
        <v>41814.575</v>
      </c>
      <c r="AB1035" s="9" t="s">
        <v>14</v>
      </c>
      <c r="AC1035" s="19">
        <v>45706</v>
      </c>
      <c r="AD1035" s="41"/>
      <c r="AE1035" s="42"/>
      <c r="AF1035" s="4">
        <f>AD358-H1035-T1035</f>
        <v>2451.825</v>
      </c>
      <c r="AG1035" s="3"/>
      <c r="AH1035" s="8"/>
      <c r="AI1035" s="4">
        <f>(AE1035+AF1035)-AH1035</f>
        <v>2451.825</v>
      </c>
      <c r="AJ1035" s="4">
        <f>AI1035+BP1034</f>
        <v>-313724.7105</v>
      </c>
      <c r="AK1035" s="8" t="s">
        <v>41</v>
      </c>
      <c r="AL1035" s="8">
        <v>2000</v>
      </c>
      <c r="AM1035" s="47" t="s">
        <v>364</v>
      </c>
      <c r="AN1035" s="47">
        <v>2080</v>
      </c>
      <c r="AO1035" s="8" t="s">
        <v>55</v>
      </c>
      <c r="AP1035" s="8">
        <v>1</v>
      </c>
      <c r="AQ1035" s="47"/>
      <c r="AR1035" s="47"/>
      <c r="AS1035" s="8"/>
      <c r="AT1035" s="8"/>
      <c r="AU1035" s="47"/>
      <c r="AV1035" s="47"/>
      <c r="AW1035" s="8"/>
      <c r="AX1035" s="8"/>
      <c r="AY1035" s="47" t="s">
        <v>443</v>
      </c>
      <c r="AZ1035" s="47">
        <v>500</v>
      </c>
      <c r="BA1035" s="8" t="s">
        <v>341</v>
      </c>
      <c r="BB1035" s="8">
        <v>244</v>
      </c>
      <c r="BC1035" s="47"/>
      <c r="BD1035" s="47"/>
      <c r="BE1035" s="8"/>
      <c r="BF1035" s="8"/>
      <c r="BG1035" s="47"/>
      <c r="BH1035" s="47"/>
      <c r="BI1035" s="8"/>
      <c r="BJ1035" s="3"/>
      <c r="BK1035" s="47" t="s">
        <v>444</v>
      </c>
      <c r="BL1035" s="47">
        <v>3500</v>
      </c>
      <c r="BM1035" s="46"/>
      <c r="BN1035" s="46"/>
      <c r="BO1035" s="24">
        <f>AL1035+AN1035+AP1035+AR1035+AT1035+AV1035+AX1035+AZ1035+BB1035+BD1035+BF1035+BH1035+BJ1035+BL1035</f>
        <v>8325</v>
      </c>
      <c r="BP1035" s="28">
        <f>AJ1035-BO1035</f>
        <v>-322049.7105</v>
      </c>
      <c r="BQ1035" s="2">
        <v>45706</v>
      </c>
    </row>
    <row r="1036" spans="1:73" hidden="true">
      <c r="D1036" s="9" t="s">
        <v>15</v>
      </c>
      <c r="E1036" s="2">
        <v>45707</v>
      </c>
      <c r="F1036" s="38"/>
      <c r="G1036" s="127"/>
      <c r="H1036" s="4">
        <f>F359*50%</f>
        <v>799.475</v>
      </c>
      <c r="I1036" s="120"/>
      <c r="J1036" s="4">
        <f>(G1036+H1036)-I1036</f>
        <v>799.475</v>
      </c>
      <c r="K1036" s="4">
        <f>J1036+O1035</f>
        <v>121037.735</v>
      </c>
      <c r="L1036" s="3"/>
      <c r="M1036" s="3"/>
      <c r="N1036" s="33">
        <f>I1036+M1036</f>
        <v>0</v>
      </c>
      <c r="O1036" s="28">
        <f>K1036-M1036</f>
        <v>121037.735</v>
      </c>
      <c r="P1036" s="9" t="s">
        <v>15</v>
      </c>
      <c r="Q1036" s="2">
        <v>45707</v>
      </c>
      <c r="R1036" s="38"/>
      <c r="S1036" s="52"/>
      <c r="T1036" s="4">
        <f>R359*45%</f>
        <v>1661.4</v>
      </c>
      <c r="U1036" s="5"/>
      <c r="V1036" s="4">
        <f>(S1036+T1036)-U1036</f>
        <v>1661.4</v>
      </c>
      <c r="W1036" s="4">
        <f>V1036+AA1035</f>
        <v>43475.975</v>
      </c>
      <c r="X1036" s="3" t="s">
        <v>445</v>
      </c>
      <c r="Y1036" s="3">
        <v>350.3</v>
      </c>
      <c r="Z1036" s="25">
        <f>U1036+Y1036</f>
        <v>350.3</v>
      </c>
      <c r="AA1036" s="76">
        <f>W1036-Y1036</f>
        <v>43125.675</v>
      </c>
      <c r="AB1036" s="9" t="s">
        <v>15</v>
      </c>
      <c r="AC1036" s="19">
        <v>45707</v>
      </c>
      <c r="AD1036" s="41"/>
      <c r="AE1036" s="42"/>
      <c r="AF1036" s="4">
        <f>AD359-H1036-T1036</f>
        <v>2830.075</v>
      </c>
      <c r="AG1036" s="3"/>
      <c r="AH1036" s="8"/>
      <c r="AI1036" s="4">
        <f>(AE1036+AF1036)-AH1036</f>
        <v>2830.075</v>
      </c>
      <c r="AJ1036" s="4">
        <f>AI1036+BP1035</f>
        <v>-319219.6355</v>
      </c>
      <c r="AK1036" s="8"/>
      <c r="AL1036" s="8"/>
      <c r="AM1036" s="47"/>
      <c r="AN1036" s="47"/>
      <c r="AO1036" s="8" t="s">
        <v>55</v>
      </c>
      <c r="AP1036" s="8">
        <v>51</v>
      </c>
      <c r="AQ1036" s="47"/>
      <c r="AR1036" s="47"/>
      <c r="AS1036" s="8"/>
      <c r="AT1036" s="8"/>
      <c r="AU1036" s="47"/>
      <c r="AV1036" s="47"/>
      <c r="AW1036" s="8"/>
      <c r="AX1036" s="8"/>
      <c r="AY1036" s="47"/>
      <c r="AZ1036" s="47"/>
      <c r="BA1036" s="8" t="s">
        <v>446</v>
      </c>
      <c r="BB1036" s="8">
        <f>538.9+2102+103.6</f>
        <v>2744.5</v>
      </c>
      <c r="BC1036" s="47"/>
      <c r="BD1036" s="47"/>
      <c r="BE1036" s="8"/>
      <c r="BF1036" s="8"/>
      <c r="BG1036" s="47" t="s">
        <v>98</v>
      </c>
      <c r="BH1036" s="47">
        <v>1000</v>
      </c>
      <c r="BI1036" s="8"/>
      <c r="BJ1036" s="3"/>
      <c r="BK1036" s="47"/>
      <c r="BL1036" s="47"/>
      <c r="BM1036" s="46"/>
      <c r="BN1036" s="46"/>
      <c r="BO1036" s="24">
        <f>AL1036+AN1036+AP1036+AR1036+AT1036+AV1036+AX1036+AZ1036+BB1036+BD1036+BF1036+BH1036+BJ1036+BL1036</f>
        <v>3795.5</v>
      </c>
      <c r="BP1036" s="28">
        <f>AJ1036-BO1036</f>
        <v>-323015.1355</v>
      </c>
      <c r="BQ1036" s="2">
        <v>45707</v>
      </c>
    </row>
    <row r="1037" spans="1:73" hidden="true">
      <c r="D1037" s="9" t="s">
        <v>16</v>
      </c>
      <c r="E1037" s="2">
        <v>45708</v>
      </c>
      <c r="F1037" s="38"/>
      <c r="G1037" s="127"/>
      <c r="H1037" s="4">
        <f>F360*50%</f>
        <v>1157.125</v>
      </c>
      <c r="I1037" s="120"/>
      <c r="J1037" s="4">
        <f>(G1037+H1037)-I1037</f>
        <v>1157.125</v>
      </c>
      <c r="K1037" s="4">
        <f>J1037+O1036</f>
        <v>122194.86</v>
      </c>
      <c r="L1037" s="3"/>
      <c r="M1037" s="3"/>
      <c r="N1037" s="33">
        <f>I1037+M1037</f>
        <v>0</v>
      </c>
      <c r="O1037" s="28">
        <f>K1037-M1037</f>
        <v>122194.86</v>
      </c>
      <c r="P1037" s="9" t="s">
        <v>16</v>
      </c>
      <c r="Q1037" s="2">
        <v>45708</v>
      </c>
      <c r="R1037" s="38"/>
      <c r="S1037" s="52"/>
      <c r="T1037" s="4">
        <f>R360*45%</f>
        <v>746.55</v>
      </c>
      <c r="U1037" s="5"/>
      <c r="V1037" s="4">
        <f>(S1037+T1037)-U1037</f>
        <v>746.55</v>
      </c>
      <c r="W1037" s="4">
        <f>V1037+AA1036</f>
        <v>43872.225</v>
      </c>
      <c r="X1037" s="3"/>
      <c r="Y1037" s="3"/>
      <c r="Z1037" s="25">
        <f>U1037+Y1037</f>
        <v>0</v>
      </c>
      <c r="AA1037" s="76">
        <f>W1037-Y1037</f>
        <v>43872.225</v>
      </c>
      <c r="AB1037" s="9" t="s">
        <v>16</v>
      </c>
      <c r="AC1037" s="19">
        <v>45708</v>
      </c>
      <c r="AD1037" s="41"/>
      <c r="AE1037" s="42"/>
      <c r="AF1037" s="4">
        <f>AD360-H1037-T1037</f>
        <v>2069.575</v>
      </c>
      <c r="AG1037" s="3"/>
      <c r="AH1037" s="8"/>
      <c r="AI1037" s="4">
        <f>(AE1037+AF1037)-AH1037</f>
        <v>2069.575</v>
      </c>
      <c r="AJ1037" s="4">
        <f>AI1037+BP1036</f>
        <v>-320945.5605</v>
      </c>
      <c r="AK1037" s="8" t="s">
        <v>41</v>
      </c>
      <c r="AL1037" s="8">
        <v>5000</v>
      </c>
      <c r="AM1037" s="47"/>
      <c r="AN1037" s="47"/>
      <c r="AO1037" s="8" t="s">
        <v>55</v>
      </c>
      <c r="AP1037" s="8">
        <v>0.5</v>
      </c>
      <c r="AQ1037" s="47"/>
      <c r="AR1037" s="47"/>
      <c r="AS1037" s="8"/>
      <c r="AT1037" s="8"/>
      <c r="AU1037" s="47"/>
      <c r="AV1037" s="47"/>
      <c r="AW1037" s="8"/>
      <c r="AX1037" s="8"/>
      <c r="AY1037" s="47"/>
      <c r="AZ1037" s="47"/>
      <c r="BA1037" s="8" t="s">
        <v>341</v>
      </c>
      <c r="BB1037" s="8">
        <v>165</v>
      </c>
      <c r="BC1037" s="47"/>
      <c r="BD1037" s="47"/>
      <c r="BE1037" s="8"/>
      <c r="BF1037" s="8"/>
      <c r="BG1037" s="47"/>
      <c r="BH1037" s="47"/>
      <c r="BI1037" s="8"/>
      <c r="BJ1037" s="3"/>
      <c r="BK1037" s="47"/>
      <c r="BL1037" s="47"/>
      <c r="BM1037" s="46"/>
      <c r="BN1037" s="46"/>
      <c r="BO1037" s="24">
        <f>AL1037+AN1037+AP1037+AR1037+AT1037+AV1037+AX1037+AZ1037+BB1037+BD1037+BF1037+BH1037+BJ1037+BL1037</f>
        <v>5165.5</v>
      </c>
      <c r="BP1037" s="28">
        <f>AJ1037-BO1037</f>
        <v>-326111.0605</v>
      </c>
      <c r="BQ1037" s="2">
        <v>45708</v>
      </c>
    </row>
    <row r="1038" spans="1:73" hidden="true">
      <c r="D1038" s="9" t="s">
        <v>10</v>
      </c>
      <c r="E1038" s="2">
        <v>45709</v>
      </c>
      <c r="F1038" s="38"/>
      <c r="G1038" s="127"/>
      <c r="H1038" s="4">
        <f>F361*50%</f>
        <v>1031.95</v>
      </c>
      <c r="I1038" s="120"/>
      <c r="J1038" s="4">
        <f>(G1038+H1038)-I1038</f>
        <v>1031.95</v>
      </c>
      <c r="K1038" s="4">
        <f>J1038+O1037</f>
        <v>123226.81</v>
      </c>
      <c r="L1038" s="3" t="s">
        <v>447</v>
      </c>
      <c r="M1038" s="3">
        <f>2000+14274</f>
        <v>16274</v>
      </c>
      <c r="N1038" s="33">
        <f>I1038+M1038</f>
        <v>16274</v>
      </c>
      <c r="O1038" s="28">
        <f>K1038-M1038</f>
        <v>106952.81</v>
      </c>
      <c r="P1038" s="9" t="s">
        <v>10</v>
      </c>
      <c r="Q1038" s="2">
        <v>45709</v>
      </c>
      <c r="R1038" s="38"/>
      <c r="S1038" s="52"/>
      <c r="T1038" s="4">
        <f>R361*45%</f>
        <v>1085.4</v>
      </c>
      <c r="U1038" s="5"/>
      <c r="V1038" s="4">
        <f>(S1038+T1038)-U1038</f>
        <v>1085.4</v>
      </c>
      <c r="W1038" s="4">
        <f>V1038+AA1037</f>
        <v>44957.625</v>
      </c>
      <c r="X1038" s="3"/>
      <c r="Y1038" s="3"/>
      <c r="Z1038" s="25">
        <f>U1038+Y1038</f>
        <v>0</v>
      </c>
      <c r="AA1038" s="76">
        <f>W1038-Y1038</f>
        <v>44957.625</v>
      </c>
      <c r="AB1038" s="9" t="s">
        <v>10</v>
      </c>
      <c r="AC1038" s="19">
        <v>45709</v>
      </c>
      <c r="AD1038" s="41"/>
      <c r="AE1038" s="42"/>
      <c r="AF1038" s="4">
        <f>AD361-H1038-T1038</f>
        <v>2358.55</v>
      </c>
      <c r="AG1038" s="3"/>
      <c r="AH1038" s="8"/>
      <c r="AI1038" s="4">
        <f>(AE1038+AF1038)-AH1038</f>
        <v>2358.55</v>
      </c>
      <c r="AJ1038" s="4">
        <f>AI1038+BP1037</f>
        <v>-323752.5105</v>
      </c>
      <c r="AK1038" s="8"/>
      <c r="AL1038" s="8"/>
      <c r="AM1038" s="47"/>
      <c r="AN1038" s="47"/>
      <c r="AO1038" s="8" t="s">
        <v>55</v>
      </c>
      <c r="AP1038" s="8">
        <v>51</v>
      </c>
      <c r="AQ1038" s="47"/>
      <c r="AR1038" s="47"/>
      <c r="AS1038" s="8"/>
      <c r="AT1038" s="8"/>
      <c r="AU1038" s="47"/>
      <c r="AV1038" s="47"/>
      <c r="AW1038" s="8"/>
      <c r="AX1038" s="8"/>
      <c r="AY1038" s="47"/>
      <c r="AZ1038" s="47"/>
      <c r="BA1038" s="8" t="s">
        <v>341</v>
      </c>
      <c r="BB1038" s="8">
        <v>165</v>
      </c>
      <c r="BC1038" s="47"/>
      <c r="BD1038" s="47"/>
      <c r="BE1038" s="8"/>
      <c r="BF1038" s="8"/>
      <c r="BG1038" s="47"/>
      <c r="BH1038" s="47"/>
      <c r="BI1038" s="8"/>
      <c r="BJ1038" s="3"/>
      <c r="BK1038" s="47"/>
      <c r="BL1038" s="47"/>
      <c r="BM1038" s="46"/>
      <c r="BN1038" s="46"/>
      <c r="BO1038" s="24">
        <f>AL1038+AN1038+AP1038+AR1038+AT1038+AV1038+AX1038+AZ1038+BB1038+BD1038+BF1038+BH1038+BJ1038+BL1038</f>
        <v>216</v>
      </c>
      <c r="BP1038" s="28">
        <f>AJ1038-BO1038</f>
        <v>-323968.5105</v>
      </c>
      <c r="BQ1038" s="2">
        <v>45709</v>
      </c>
    </row>
    <row r="1039" spans="1:73" hidden="true">
      <c r="D1039" s="9" t="s">
        <v>11</v>
      </c>
      <c r="E1039" s="2">
        <v>45710</v>
      </c>
      <c r="F1039" s="38"/>
      <c r="G1039" s="127"/>
      <c r="H1039" s="4">
        <f>F362*50%</f>
        <v>973.9</v>
      </c>
      <c r="I1039" s="120"/>
      <c r="J1039" s="4">
        <f>(G1039+H1039)-I1039</f>
        <v>973.9</v>
      </c>
      <c r="K1039" s="4">
        <f>J1039+O1038</f>
        <v>107926.71</v>
      </c>
      <c r="L1039" s="3"/>
      <c r="M1039" s="3"/>
      <c r="N1039" s="33">
        <f>I1039+M1039</f>
        <v>0</v>
      </c>
      <c r="O1039" s="28">
        <f>K1039-M1039</f>
        <v>107926.71</v>
      </c>
      <c r="P1039" s="9" t="s">
        <v>11</v>
      </c>
      <c r="Q1039" s="2">
        <v>45710</v>
      </c>
      <c r="R1039" s="38"/>
      <c r="S1039" s="52"/>
      <c r="T1039" s="4">
        <f>R362*45%</f>
        <v>1641.6</v>
      </c>
      <c r="U1039" s="5"/>
      <c r="V1039" s="4">
        <f>(S1039+T1039)-U1039</f>
        <v>1641.6</v>
      </c>
      <c r="W1039" s="4">
        <f>V1039+AA1038</f>
        <v>46599.225</v>
      </c>
      <c r="X1039" s="3"/>
      <c r="Y1039" s="3"/>
      <c r="Z1039" s="25">
        <f>U1039+Y1039</f>
        <v>0</v>
      </c>
      <c r="AA1039" s="76">
        <f>W1039-Y1039</f>
        <v>46599.225</v>
      </c>
      <c r="AB1039" s="9" t="s">
        <v>11</v>
      </c>
      <c r="AC1039" s="19">
        <v>45710</v>
      </c>
      <c r="AD1039" s="41"/>
      <c r="AE1039" s="42"/>
      <c r="AF1039" s="4">
        <f>AD362-H1039-T1039</f>
        <v>2980.3</v>
      </c>
      <c r="AG1039" s="3"/>
      <c r="AH1039" s="8"/>
      <c r="AI1039" s="4">
        <f>(AE1039+AF1039)-AH1039</f>
        <v>2980.3</v>
      </c>
      <c r="AJ1039" s="4">
        <f>AI1039+BP1038</f>
        <v>-320988.2105</v>
      </c>
      <c r="AK1039" s="8" t="s">
        <v>41</v>
      </c>
      <c r="AL1039" s="8">
        <v>2000</v>
      </c>
      <c r="AM1039" s="47"/>
      <c r="AN1039" s="47"/>
      <c r="AO1039" s="8"/>
      <c r="AP1039" s="8"/>
      <c r="AQ1039" s="47"/>
      <c r="AR1039" s="47"/>
      <c r="AS1039" s="8"/>
      <c r="AT1039" s="8"/>
      <c r="AU1039" s="47"/>
      <c r="AV1039" s="47"/>
      <c r="AW1039" s="8"/>
      <c r="AX1039" s="8"/>
      <c r="AY1039" s="47"/>
      <c r="AZ1039" s="47"/>
      <c r="BA1039" s="8" t="s">
        <v>341</v>
      </c>
      <c r="BB1039" s="8">
        <v>252</v>
      </c>
      <c r="BC1039" s="47"/>
      <c r="BD1039" s="47"/>
      <c r="BE1039" s="8"/>
      <c r="BF1039" s="8"/>
      <c r="BG1039" s="47"/>
      <c r="BH1039" s="47"/>
      <c r="BI1039" s="8"/>
      <c r="BJ1039" s="3"/>
      <c r="BK1039" s="47"/>
      <c r="BL1039" s="47"/>
      <c r="BM1039" s="46"/>
      <c r="BN1039" s="46"/>
      <c r="BO1039" s="24">
        <f>AL1039+AN1039+AP1039+AR1039+AT1039+AV1039+AX1039+AZ1039+BB1039+BD1039+BF1039+BH1039+BJ1039+BL1039</f>
        <v>2252</v>
      </c>
      <c r="BP1039" s="28">
        <f>AJ1039-BO1039</f>
        <v>-323240.2105</v>
      </c>
      <c r="BQ1039" s="2">
        <v>45710</v>
      </c>
    </row>
    <row r="1040" spans="1:73" hidden="true">
      <c r="D1040" s="9" t="s">
        <v>12</v>
      </c>
      <c r="E1040" s="2">
        <v>45711</v>
      </c>
      <c r="F1040" s="38"/>
      <c r="G1040" s="127"/>
      <c r="H1040" s="4">
        <f>F363*50%</f>
        <v>1324</v>
      </c>
      <c r="I1040" s="120">
        <v>960</v>
      </c>
      <c r="J1040" s="4">
        <f>(G1040+H1040)-I1040</f>
        <v>364</v>
      </c>
      <c r="K1040" s="4">
        <f>J1040+O1039</f>
        <v>108290.71</v>
      </c>
      <c r="L1040" s="3"/>
      <c r="M1040" s="3"/>
      <c r="N1040" s="33">
        <f>I1040+M1040</f>
        <v>960</v>
      </c>
      <c r="O1040" s="28">
        <f>K1040-M1040</f>
        <v>108290.71</v>
      </c>
      <c r="P1040" s="9" t="s">
        <v>12</v>
      </c>
      <c r="Q1040" s="2">
        <v>45711</v>
      </c>
      <c r="R1040" s="38"/>
      <c r="S1040" s="52"/>
      <c r="T1040" s="4">
        <f>R363*45%</f>
        <v>1960.155</v>
      </c>
      <c r="U1040" s="5"/>
      <c r="V1040" s="4">
        <f>(S1040+T1040)-U1040</f>
        <v>1960.155</v>
      </c>
      <c r="W1040" s="4">
        <f>V1040+AA1039</f>
        <v>48559.38</v>
      </c>
      <c r="X1040" s="3"/>
      <c r="Y1040" s="3"/>
      <c r="Z1040" s="25">
        <f>U1040+Y1040</f>
        <v>0</v>
      </c>
      <c r="AA1040" s="76">
        <f>W1040-Y1040</f>
        <v>48559.38</v>
      </c>
      <c r="AB1040" s="9" t="s">
        <v>12</v>
      </c>
      <c r="AC1040" s="19">
        <v>45711</v>
      </c>
      <c r="AD1040" s="41"/>
      <c r="AE1040" s="42"/>
      <c r="AF1040" s="4">
        <f>AD363-H1040-T1040</f>
        <v>3719.745</v>
      </c>
      <c r="AG1040" s="3"/>
      <c r="AH1040" s="8"/>
      <c r="AI1040" s="4">
        <f>(AE1040+AF1040)-AH1040</f>
        <v>3719.745</v>
      </c>
      <c r="AJ1040" s="4">
        <f>AI1040+BP1039</f>
        <v>-319520.4655</v>
      </c>
      <c r="AK1040" s="8"/>
      <c r="AL1040" s="8"/>
      <c r="AM1040" s="47"/>
      <c r="AN1040" s="47"/>
      <c r="AO1040" s="8"/>
      <c r="AP1040" s="8"/>
      <c r="AQ1040" s="47"/>
      <c r="AR1040" s="47"/>
      <c r="AS1040" s="8"/>
      <c r="AT1040" s="8"/>
      <c r="AU1040" s="47"/>
      <c r="AV1040" s="47"/>
      <c r="AW1040" s="8"/>
      <c r="AX1040" s="8"/>
      <c r="AY1040" s="47"/>
      <c r="AZ1040" s="47"/>
      <c r="BA1040" s="8" t="s">
        <v>341</v>
      </c>
      <c r="BB1040" s="8">
        <v>302</v>
      </c>
      <c r="BC1040" s="47"/>
      <c r="BD1040" s="47"/>
      <c r="BE1040" s="8"/>
      <c r="BF1040" s="8"/>
      <c r="BG1040" s="47" t="s">
        <v>98</v>
      </c>
      <c r="BH1040" s="47">
        <v>870</v>
      </c>
      <c r="BI1040" s="8"/>
      <c r="BJ1040" s="3"/>
      <c r="BK1040" s="47"/>
      <c r="BL1040" s="47"/>
      <c r="BM1040" s="46"/>
      <c r="BN1040" s="46"/>
      <c r="BO1040" s="24">
        <f>AL1040+AN1040+AP1040+AR1040+AT1040+AV1040+AX1040+AZ1040+BB1040+BD1040+BF1040+BH1040+BJ1040+BL1040</f>
        <v>1172</v>
      </c>
      <c r="BP1040" s="28">
        <f>AJ1040-BO1040</f>
        <v>-320692.4655</v>
      </c>
      <c r="BQ1040" s="2">
        <v>45711</v>
      </c>
    </row>
    <row r="1041" spans="1:73" hidden="true">
      <c r="D1041" s="9" t="s">
        <v>13</v>
      </c>
      <c r="E1041" s="2">
        <v>45712</v>
      </c>
      <c r="F1041" s="38"/>
      <c r="G1041" s="127"/>
      <c r="H1041" s="4">
        <f>F364*50%</f>
        <v>1253.5</v>
      </c>
      <c r="I1041" s="120"/>
      <c r="J1041" s="4">
        <f>(G1041+H1041)-I1041</f>
        <v>1253.5</v>
      </c>
      <c r="K1041" s="4">
        <f>J1041+O1040</f>
        <v>109544.21</v>
      </c>
      <c r="L1041" s="3"/>
      <c r="M1041" s="3"/>
      <c r="N1041" s="33">
        <f>I1041+M1041</f>
        <v>0</v>
      </c>
      <c r="O1041" s="28">
        <f>K1041-M1041</f>
        <v>109544.21</v>
      </c>
      <c r="P1041" s="9" t="s">
        <v>13</v>
      </c>
      <c r="Q1041" s="2">
        <v>45712</v>
      </c>
      <c r="R1041" s="38"/>
      <c r="S1041" s="52"/>
      <c r="T1041" s="4">
        <f>R364*45%</f>
        <v>1246.05</v>
      </c>
      <c r="U1041" s="5"/>
      <c r="V1041" s="4">
        <f>(S1041+T1041)-U1041</f>
        <v>1246.05</v>
      </c>
      <c r="W1041" s="4">
        <f>V1041+AA1040</f>
        <v>49805.43</v>
      </c>
      <c r="X1041" s="3" t="s">
        <v>369</v>
      </c>
      <c r="Y1041" s="3">
        <v>12130</v>
      </c>
      <c r="Z1041" s="25">
        <f>U1041+Y1041</f>
        <v>12130</v>
      </c>
      <c r="AA1041" s="76">
        <f>W1041-Y1041</f>
        <v>37675.43</v>
      </c>
      <c r="AB1041" s="9" t="s">
        <v>13</v>
      </c>
      <c r="AC1041" s="19">
        <v>45712</v>
      </c>
      <c r="AD1041" s="41"/>
      <c r="AE1041" s="42"/>
      <c r="AF1041" s="4">
        <f>AD364-H1041-T1041</f>
        <v>2776.45</v>
      </c>
      <c r="AG1041" s="3"/>
      <c r="AH1041" s="8"/>
      <c r="AI1041" s="4">
        <f>(AE1041+AF1041)-AH1041</f>
        <v>2776.45</v>
      </c>
      <c r="AJ1041" s="4">
        <f>AI1041+BP1040</f>
        <v>-317916.0155</v>
      </c>
      <c r="AK1041" s="8" t="s">
        <v>41</v>
      </c>
      <c r="AL1041" s="8">
        <v>23114.1</v>
      </c>
      <c r="AM1041" s="47"/>
      <c r="AN1041" s="47"/>
      <c r="AO1041" s="8" t="s">
        <v>55</v>
      </c>
      <c r="AP1041" s="8">
        <v>0.5</v>
      </c>
      <c r="AQ1041" s="47"/>
      <c r="AR1041" s="47"/>
      <c r="AS1041" s="8"/>
      <c r="AT1041" s="8"/>
      <c r="AU1041" s="47"/>
      <c r="AV1041" s="47"/>
      <c r="AW1041" s="8"/>
      <c r="AX1041" s="8"/>
      <c r="AY1041" s="47" t="s">
        <v>443</v>
      </c>
      <c r="AZ1041" s="47">
        <v>1519.25</v>
      </c>
      <c r="BA1041" s="8" t="s">
        <v>448</v>
      </c>
      <c r="BB1041" s="8">
        <f>168+1000</f>
        <v>1168</v>
      </c>
      <c r="BC1041" s="47"/>
      <c r="BD1041" s="47"/>
      <c r="BE1041" s="8"/>
      <c r="BF1041" s="8"/>
      <c r="BG1041" s="47" t="s">
        <v>98</v>
      </c>
      <c r="BH1041" s="47">
        <v>840</v>
      </c>
      <c r="BI1041" s="8"/>
      <c r="BJ1041" s="3"/>
      <c r="BK1041" s="47"/>
      <c r="BL1041" s="47"/>
      <c r="BM1041" s="46"/>
      <c r="BN1041" s="46"/>
      <c r="BO1041" s="24">
        <f>AL1041+AN1041+AP1041+AR1041+AT1041+AV1041+AX1041+AZ1041+BB1041+BD1041+BF1041+BH1041+BJ1041+BL1041</f>
        <v>26641.85</v>
      </c>
      <c r="BP1041" s="28">
        <f>AJ1041-BO1041</f>
        <v>-344557.8655</v>
      </c>
      <c r="BQ1041" s="2">
        <v>45712</v>
      </c>
    </row>
    <row r="1042" spans="1:73" hidden="true">
      <c r="D1042" s="9" t="s">
        <v>14</v>
      </c>
      <c r="E1042" s="2">
        <v>45713</v>
      </c>
      <c r="F1042" s="38"/>
      <c r="G1042" s="127"/>
      <c r="H1042" s="4">
        <f>F365*50%</f>
        <v>1513.675</v>
      </c>
      <c r="I1042" s="120">
        <f>507+945</f>
        <v>1452</v>
      </c>
      <c r="J1042" s="4">
        <f>(G1042+H1042)-I1042</f>
        <v>61.675</v>
      </c>
      <c r="K1042" s="4">
        <f>J1042+O1041</f>
        <v>109605.885</v>
      </c>
      <c r="L1042" s="3"/>
      <c r="M1042" s="3"/>
      <c r="N1042" s="33">
        <f>I1042+M1042</f>
        <v>1452</v>
      </c>
      <c r="O1042" s="28">
        <f>K1042-M1042</f>
        <v>109605.885</v>
      </c>
      <c r="P1042" s="9" t="s">
        <v>14</v>
      </c>
      <c r="Q1042" s="2">
        <v>45713</v>
      </c>
      <c r="R1042" s="38"/>
      <c r="S1042" s="52"/>
      <c r="T1042" s="4">
        <f>R365*45%</f>
        <v>3020.4</v>
      </c>
      <c r="U1042" s="5"/>
      <c r="V1042" s="4">
        <f>(S1042+T1042)-U1042</f>
        <v>3020.4</v>
      </c>
      <c r="W1042" s="4">
        <f>V1042+AA1041</f>
        <v>40695.83</v>
      </c>
      <c r="X1042" s="3"/>
      <c r="Y1042" s="3"/>
      <c r="Z1042" s="25">
        <f>U1042+Y1042</f>
        <v>0</v>
      </c>
      <c r="AA1042" s="76">
        <f>W1042-Y1042</f>
        <v>40695.83</v>
      </c>
      <c r="AB1042" s="9" t="s">
        <v>14</v>
      </c>
      <c r="AC1042" s="19">
        <v>45713</v>
      </c>
      <c r="AD1042" s="41"/>
      <c r="AE1042" s="42"/>
      <c r="AF1042" s="4">
        <f>AD365-H1042-T1042</f>
        <v>5205.275</v>
      </c>
      <c r="AG1042" s="3"/>
      <c r="AH1042" s="8"/>
      <c r="AI1042" s="4">
        <f>(AE1042+AF1042)-AH1042</f>
        <v>5205.275</v>
      </c>
      <c r="AJ1042" s="4">
        <f>AI1042+BP1041</f>
        <v>-339352.5905</v>
      </c>
      <c r="AK1042" s="8"/>
      <c r="AL1042" s="8"/>
      <c r="AM1042" s="47"/>
      <c r="AN1042" s="47"/>
      <c r="AO1042" s="8" t="s">
        <v>55</v>
      </c>
      <c r="AP1042" s="8">
        <v>600</v>
      </c>
      <c r="AQ1042" s="47"/>
      <c r="AR1042" s="47"/>
      <c r="AS1042" s="8"/>
      <c r="AT1042" s="8"/>
      <c r="AU1042" s="47"/>
      <c r="AV1042" s="47"/>
      <c r="AW1042" s="8"/>
      <c r="AX1042" s="8"/>
      <c r="AY1042" s="47"/>
      <c r="AZ1042" s="47"/>
      <c r="BA1042" s="8" t="s">
        <v>341</v>
      </c>
      <c r="BB1042" s="8">
        <v>272</v>
      </c>
      <c r="BC1042" s="47"/>
      <c r="BD1042" s="47"/>
      <c r="BE1042" s="8"/>
      <c r="BF1042" s="8"/>
      <c r="BG1042" s="47"/>
      <c r="BH1042" s="47"/>
      <c r="BI1042" s="8"/>
      <c r="BJ1042" s="3"/>
      <c r="BK1042" s="47"/>
      <c r="BL1042" s="47"/>
      <c r="BM1042" s="46"/>
      <c r="BN1042" s="46"/>
      <c r="BO1042" s="24">
        <f>AL1042+AN1042+AP1042+AR1042+AT1042+AV1042+AX1042+AZ1042+BB1042+BD1042+BF1042+BH1042+BJ1042+BL1042</f>
        <v>872</v>
      </c>
      <c r="BP1042" s="28">
        <f>AJ1042-BO1042</f>
        <v>-340224.5905</v>
      </c>
      <c r="BQ1042" s="2">
        <v>45713</v>
      </c>
    </row>
    <row r="1043" spans="1:73" hidden="true">
      <c r="D1043" s="9" t="s">
        <v>15</v>
      </c>
      <c r="E1043" s="2">
        <v>45714</v>
      </c>
      <c r="F1043" s="38"/>
      <c r="G1043" s="127"/>
      <c r="H1043" s="4">
        <f>F366*50%</f>
        <v>1003.025</v>
      </c>
      <c r="I1043" s="120">
        <v>870</v>
      </c>
      <c r="J1043" s="4">
        <f>(G1043+H1043)-I1043</f>
        <v>133.025</v>
      </c>
      <c r="K1043" s="4">
        <f>J1043+O1042</f>
        <v>109738.91</v>
      </c>
      <c r="L1043" s="3"/>
      <c r="M1043" s="3"/>
      <c r="N1043" s="33">
        <f>I1043+M1043</f>
        <v>870</v>
      </c>
      <c r="O1043" s="28">
        <f>K1043-M1043</f>
        <v>109738.91</v>
      </c>
      <c r="P1043" s="9" t="s">
        <v>15</v>
      </c>
      <c r="Q1043" s="2">
        <v>45714</v>
      </c>
      <c r="R1043" s="38"/>
      <c r="S1043" s="52"/>
      <c r="T1043" s="4">
        <f>R366*45%</f>
        <v>1264.5</v>
      </c>
      <c r="U1043" s="5"/>
      <c r="V1043" s="4">
        <f>(S1043+T1043)-U1043</f>
        <v>1264.5</v>
      </c>
      <c r="W1043" s="4">
        <f>V1043+AA1042</f>
        <v>41960.33</v>
      </c>
      <c r="X1043" s="3"/>
      <c r="Y1043" s="3"/>
      <c r="Z1043" s="25">
        <f>U1043+Y1043</f>
        <v>0</v>
      </c>
      <c r="AA1043" s="76">
        <f>W1043-Y1043</f>
        <v>41960.33</v>
      </c>
      <c r="AB1043" s="9" t="s">
        <v>15</v>
      </c>
      <c r="AC1043" s="19">
        <v>45714</v>
      </c>
      <c r="AD1043" s="41"/>
      <c r="AE1043" s="42"/>
      <c r="AF1043" s="4">
        <f>AD366-H1043-T1043</f>
        <v>2548.525</v>
      </c>
      <c r="AG1043" s="3"/>
      <c r="AH1043" s="8"/>
      <c r="AI1043" s="4">
        <f>(AE1043+AF1043)-AH1043</f>
        <v>2548.525</v>
      </c>
      <c r="AJ1043" s="4">
        <f>AI1043+BP1042</f>
        <v>-337676.0655</v>
      </c>
      <c r="AK1043" s="8" t="s">
        <v>41</v>
      </c>
      <c r="AL1043" s="8">
        <v>1000</v>
      </c>
      <c r="AM1043" s="47" t="s">
        <v>449</v>
      </c>
      <c r="AN1043" s="47">
        <v>47200</v>
      </c>
      <c r="AO1043" s="8" t="s">
        <v>55</v>
      </c>
      <c r="AP1043" s="8">
        <v>10.5</v>
      </c>
      <c r="AQ1043" s="47" t="s">
        <v>167</v>
      </c>
      <c r="AR1043" s="47">
        <v>290</v>
      </c>
      <c r="AS1043" s="8"/>
      <c r="AT1043" s="8"/>
      <c r="AU1043" s="47"/>
      <c r="AV1043" s="47"/>
      <c r="AW1043" s="8"/>
      <c r="AX1043" s="8"/>
      <c r="AY1043" s="47"/>
      <c r="AZ1043" s="47"/>
      <c r="BA1043" s="8" t="s">
        <v>450</v>
      </c>
      <c r="BB1043" s="8">
        <f>180+342</f>
        <v>522</v>
      </c>
      <c r="BC1043" s="47"/>
      <c r="BD1043" s="47"/>
      <c r="BE1043" s="8" t="s">
        <v>451</v>
      </c>
      <c r="BF1043" s="8">
        <v>15000</v>
      </c>
      <c r="BG1043" s="47" t="s">
        <v>98</v>
      </c>
      <c r="BH1043" s="47">
        <v>1000</v>
      </c>
      <c r="BI1043" s="8"/>
      <c r="BJ1043" s="3"/>
      <c r="BK1043" s="47" t="s">
        <v>452</v>
      </c>
      <c r="BL1043" s="47">
        <v>6500</v>
      </c>
      <c r="BM1043" s="46"/>
      <c r="BN1043" s="46"/>
      <c r="BO1043" s="24">
        <f>AL1043+AN1043+AP1043+AR1043+AT1043+AV1043+AX1043+AZ1043+BB1043+BD1043+BF1043+BH1043+BJ1043+BL1043</f>
        <v>71522.5</v>
      </c>
      <c r="BP1043" s="28">
        <f>AJ1043-BO1043</f>
        <v>-409198.5655</v>
      </c>
      <c r="BQ1043" s="2">
        <v>45714</v>
      </c>
    </row>
    <row r="1044" spans="1:73" hidden="true">
      <c r="D1044" s="9" t="s">
        <v>16</v>
      </c>
      <c r="E1044" s="2">
        <v>45715</v>
      </c>
      <c r="F1044" s="38"/>
      <c r="G1044" s="127"/>
      <c r="H1044" s="4">
        <f>F367*50%</f>
        <v>1763.5</v>
      </c>
      <c r="I1044" s="120">
        <v>798.5</v>
      </c>
      <c r="J1044" s="4">
        <f>(G1044+H1044)-I1044</f>
        <v>965</v>
      </c>
      <c r="K1044" s="4">
        <f>J1044+O1043</f>
        <v>110703.91</v>
      </c>
      <c r="L1044" s="3"/>
      <c r="M1044" s="3"/>
      <c r="N1044" s="33">
        <f>I1044+M1044</f>
        <v>798.5</v>
      </c>
      <c r="O1044" s="28">
        <f>K1044-M1044</f>
        <v>110703.91</v>
      </c>
      <c r="P1044" s="9" t="s">
        <v>16</v>
      </c>
      <c r="Q1044" s="2">
        <v>45715</v>
      </c>
      <c r="R1044" s="38"/>
      <c r="S1044" s="52"/>
      <c r="T1044" s="4">
        <f>R367*45%</f>
        <v>1520.55</v>
      </c>
      <c r="U1044" s="5"/>
      <c r="V1044" s="4">
        <f>(S1044+T1044)-U1044</f>
        <v>1520.55</v>
      </c>
      <c r="W1044" s="4">
        <f>V1044+AA1043</f>
        <v>43480.88</v>
      </c>
      <c r="X1044" s="3"/>
      <c r="Y1044" s="3"/>
      <c r="Z1044" s="25">
        <f>U1044+Y1044</f>
        <v>0</v>
      </c>
      <c r="AA1044" s="76">
        <f>W1044-Y1044</f>
        <v>43480.88</v>
      </c>
      <c r="AB1044" s="9" t="s">
        <v>16</v>
      </c>
      <c r="AC1044" s="19">
        <v>45715</v>
      </c>
      <c r="AD1044" s="41"/>
      <c r="AE1044" s="42"/>
      <c r="AF1044" s="4">
        <f>AD367-H1044-T1044</f>
        <v>3621.95</v>
      </c>
      <c r="AG1044" s="3"/>
      <c r="AH1044" s="8"/>
      <c r="AI1044" s="4">
        <f>(AE1044+AF1044)-AH1044</f>
        <v>3621.95</v>
      </c>
      <c r="AJ1044" s="4">
        <f>AI1044+BP1043</f>
        <v>-405576.6155</v>
      </c>
      <c r="AK1044" s="8"/>
      <c r="AL1044" s="8"/>
      <c r="AM1044" s="47"/>
      <c r="AN1044" s="47"/>
      <c r="AO1044" s="8" t="s">
        <v>55</v>
      </c>
      <c r="AP1044" s="8">
        <v>0.5</v>
      </c>
      <c r="AQ1044" s="47" t="s">
        <v>453</v>
      </c>
      <c r="AR1044" s="47">
        <v>144</v>
      </c>
      <c r="AS1044" s="8"/>
      <c r="AT1044" s="8"/>
      <c r="AU1044" s="47"/>
      <c r="AV1044" s="47"/>
      <c r="AW1044" s="8"/>
      <c r="AX1044" s="8"/>
      <c r="AY1044" s="47"/>
      <c r="AZ1044" s="47"/>
      <c r="BA1044" s="8" t="s">
        <v>341</v>
      </c>
      <c r="BB1044" s="8">
        <v>464</v>
      </c>
      <c r="BC1044" s="47" t="s">
        <v>454</v>
      </c>
      <c r="BD1044" s="47">
        <v>918</v>
      </c>
      <c r="BE1044" s="8"/>
      <c r="BF1044" s="8"/>
      <c r="BG1044" s="47"/>
      <c r="BH1044" s="47"/>
      <c r="BI1044" s="8"/>
      <c r="BJ1044" s="3"/>
      <c r="BK1044" s="47"/>
      <c r="BL1044" s="47"/>
      <c r="BM1044" s="46"/>
      <c r="BN1044" s="46"/>
      <c r="BO1044" s="24">
        <f>AL1044+AN1044+AP1044+AR1044+AT1044+AV1044+AX1044+AZ1044+BB1044+BD1044+BF1044+BH1044+BJ1044+BL1044</f>
        <v>1526.5</v>
      </c>
      <c r="BP1044" s="28">
        <f>AJ1044-BO1044</f>
        <v>-407103.1155</v>
      </c>
      <c r="BQ1044" s="2">
        <v>45715</v>
      </c>
    </row>
    <row r="1045" spans="1:73" hidden="true">
      <c r="D1045" s="9" t="s">
        <v>10</v>
      </c>
      <c r="E1045" s="2">
        <v>45716</v>
      </c>
      <c r="F1045" s="38"/>
      <c r="G1045" s="127"/>
      <c r="H1045" s="4">
        <f>F368*50%</f>
        <v>1683.35</v>
      </c>
      <c r="I1045" s="120"/>
      <c r="J1045" s="4">
        <f>(G1045+H1045)-I1045</f>
        <v>1683.35</v>
      </c>
      <c r="K1045" s="4">
        <f>J1045+O1044</f>
        <v>112387.26</v>
      </c>
      <c r="L1045" s="3"/>
      <c r="M1045" s="3"/>
      <c r="N1045" s="33">
        <f>I1045+M1045</f>
        <v>0</v>
      </c>
      <c r="O1045" s="28">
        <f>K1045-M1045</f>
        <v>112387.26</v>
      </c>
      <c r="P1045" s="9" t="s">
        <v>10</v>
      </c>
      <c r="Q1045" s="2">
        <v>45716</v>
      </c>
      <c r="R1045" s="38"/>
      <c r="S1045" s="52"/>
      <c r="T1045" s="4">
        <f>R368*45%</f>
        <v>2183.4</v>
      </c>
      <c r="U1045" s="5"/>
      <c r="V1045" s="4">
        <f>(S1045+T1045)-U1045</f>
        <v>2183.4</v>
      </c>
      <c r="W1045" s="4">
        <f>V1045+AA1044</f>
        <v>45664.28</v>
      </c>
      <c r="X1045" s="3"/>
      <c r="Y1045" s="3"/>
      <c r="Z1045" s="25">
        <f>U1045+Y1045</f>
        <v>0</v>
      </c>
      <c r="AA1045" s="76">
        <f>W1045-Y1045</f>
        <v>45664.28</v>
      </c>
      <c r="AB1045" s="9" t="s">
        <v>10</v>
      </c>
      <c r="AC1045" s="19">
        <v>45716</v>
      </c>
      <c r="AD1045" s="41"/>
      <c r="AE1045" s="42"/>
      <c r="AF1045" s="4">
        <f>AD368-H1045-T1045</f>
        <v>4351.95</v>
      </c>
      <c r="AG1045" s="3"/>
      <c r="AH1045" s="8"/>
      <c r="AI1045" s="4">
        <f>(AE1045+AF1045)-AH1045</f>
        <v>4351.95</v>
      </c>
      <c r="AJ1045" s="4">
        <f>AI1045+BP1044</f>
        <v>-402751.1655</v>
      </c>
      <c r="AK1045" s="8"/>
      <c r="AL1045" s="8"/>
      <c r="AM1045" s="47"/>
      <c r="AN1045" s="47"/>
      <c r="AO1045" s="8"/>
      <c r="AP1045" s="8"/>
      <c r="AQ1045" s="47"/>
      <c r="AR1045" s="47"/>
      <c r="AS1045" s="8"/>
      <c r="AT1045" s="8"/>
      <c r="AU1045" s="47"/>
      <c r="AV1045" s="47"/>
      <c r="AW1045" s="8"/>
      <c r="AX1045" s="8"/>
      <c r="AY1045" s="47"/>
      <c r="AZ1045" s="47"/>
      <c r="BA1045" s="8" t="s">
        <v>341</v>
      </c>
      <c r="BB1045" s="8">
        <v>312.8</v>
      </c>
      <c r="BC1045" s="47"/>
      <c r="BD1045" s="47"/>
      <c r="BE1045" s="8"/>
      <c r="BF1045" s="8"/>
      <c r="BG1045" s="47" t="s">
        <v>98</v>
      </c>
      <c r="BH1045" s="47">
        <v>1000</v>
      </c>
      <c r="BI1045" s="8"/>
      <c r="BJ1045" s="3"/>
      <c r="BK1045" s="47"/>
      <c r="BL1045" s="47"/>
      <c r="BM1045" s="46"/>
      <c r="BN1045" s="46"/>
      <c r="BO1045" s="24">
        <f>AL1045+AN1045+AP1045+AR1045+AT1045+AV1045+AX1045+AZ1045+BB1045+BD1045+BF1045+BH1045+BJ1045+BL1045</f>
        <v>1312.8</v>
      </c>
      <c r="BP1045" s="28">
        <f>AJ1045-BO1045</f>
        <v>-404063.9655</v>
      </c>
      <c r="BQ1045" s="2">
        <v>45716</v>
      </c>
    </row>
    <row r="1046" spans="1:73" hidden="true">
      <c r="D1046" s="9" t="s">
        <v>11</v>
      </c>
      <c r="E1046" s="2">
        <v>45717</v>
      </c>
      <c r="F1046" s="38"/>
      <c r="G1046" s="127"/>
      <c r="H1046" s="4">
        <f>F369*50%</f>
        <v>1727</v>
      </c>
      <c r="I1046" s="120"/>
      <c r="J1046" s="4">
        <f>(G1046+H1046)-I1046</f>
        <v>1727</v>
      </c>
      <c r="K1046" s="4">
        <f>J1046+O1045</f>
        <v>114114.26</v>
      </c>
      <c r="L1046" s="3"/>
      <c r="M1046" s="3"/>
      <c r="N1046" s="33">
        <f>I1046+M1046</f>
        <v>0</v>
      </c>
      <c r="O1046" s="28">
        <f>K1046-M1046</f>
        <v>114114.26</v>
      </c>
      <c r="P1046" s="9" t="s">
        <v>11</v>
      </c>
      <c r="Q1046" s="2">
        <v>45717</v>
      </c>
      <c r="R1046" s="38"/>
      <c r="S1046" s="52"/>
      <c r="T1046" s="4">
        <f>R369*45%</f>
        <v>2279.7</v>
      </c>
      <c r="U1046" s="5"/>
      <c r="V1046" s="4">
        <f>(S1046+T1046)-U1046</f>
        <v>2279.7</v>
      </c>
      <c r="W1046" s="4">
        <f>V1046+AA1045</f>
        <v>47943.98</v>
      </c>
      <c r="X1046" s="3"/>
      <c r="Y1046" s="3"/>
      <c r="Z1046" s="25">
        <f>U1046+Y1046</f>
        <v>0</v>
      </c>
      <c r="AA1046" s="76">
        <f>W1046-Y1046</f>
        <v>47943.98</v>
      </c>
      <c r="AB1046" s="9" t="s">
        <v>11</v>
      </c>
      <c r="AC1046" s="19">
        <v>45717</v>
      </c>
      <c r="AD1046" s="41"/>
      <c r="AE1046" s="42"/>
      <c r="AF1046" s="4">
        <f>AD369-H1046-T1046</f>
        <v>4513.3</v>
      </c>
      <c r="AG1046" s="3"/>
      <c r="AH1046" s="8"/>
      <c r="AI1046" s="4">
        <f>(AE1046+AF1046)-AH1046</f>
        <v>4513.3</v>
      </c>
      <c r="AJ1046" s="4">
        <f>AI1046+BP1045</f>
        <v>-399550.6655</v>
      </c>
      <c r="AK1046" s="8"/>
      <c r="AL1046" s="8"/>
      <c r="AM1046" s="47"/>
      <c r="AN1046" s="47"/>
      <c r="AO1046" s="8"/>
      <c r="AP1046" s="8"/>
      <c r="AQ1046" s="47"/>
      <c r="AR1046" s="47"/>
      <c r="AS1046" s="8"/>
      <c r="AT1046" s="8"/>
      <c r="AU1046" s="47"/>
      <c r="AV1046" s="47"/>
      <c r="AW1046" s="8"/>
      <c r="AX1046" s="8"/>
      <c r="AY1046" s="47"/>
      <c r="AZ1046" s="47"/>
      <c r="BA1046" s="8" t="s">
        <v>341</v>
      </c>
      <c r="BB1046" s="8">
        <v>448</v>
      </c>
      <c r="BC1046" s="47"/>
      <c r="BD1046" s="47"/>
      <c r="BE1046" s="8"/>
      <c r="BF1046" s="8"/>
      <c r="BG1046" s="47" t="s">
        <v>98</v>
      </c>
      <c r="BH1046" s="47">
        <v>900</v>
      </c>
      <c r="BI1046" s="8"/>
      <c r="BJ1046" s="3"/>
      <c r="BK1046" s="47"/>
      <c r="BL1046" s="47"/>
      <c r="BM1046" s="46"/>
      <c r="BN1046" s="46"/>
      <c r="BO1046" s="24">
        <f>AL1046+AN1046+AP1046+AR1046+AT1046+AV1046+AX1046+AZ1046+BB1046+BD1046+BF1046+BH1046+BJ1046+BL1046</f>
        <v>1348</v>
      </c>
      <c r="BP1046" s="28">
        <f>AJ1046-BO1046</f>
        <v>-400898.6655</v>
      </c>
      <c r="BQ1046" s="2">
        <v>45717</v>
      </c>
    </row>
    <row r="1047" spans="1:73" hidden="true">
      <c r="D1047" s="9" t="s">
        <v>12</v>
      </c>
      <c r="E1047" s="2">
        <v>45718</v>
      </c>
      <c r="F1047" s="38"/>
      <c r="G1047" s="127"/>
      <c r="H1047" s="4">
        <f>F370*50%</f>
        <v>1144.5</v>
      </c>
      <c r="I1047" s="120"/>
      <c r="J1047" s="4">
        <f>(G1047+H1047)-I1047</f>
        <v>1144.5</v>
      </c>
      <c r="K1047" s="4">
        <f>J1047+O1046</f>
        <v>115258.76</v>
      </c>
      <c r="L1047" s="3"/>
      <c r="M1047" s="3"/>
      <c r="N1047" s="33">
        <f>I1047+M1047</f>
        <v>0</v>
      </c>
      <c r="O1047" s="28">
        <f>K1047-M1047</f>
        <v>115258.76</v>
      </c>
      <c r="P1047" s="9" t="s">
        <v>12</v>
      </c>
      <c r="Q1047" s="2">
        <v>45718</v>
      </c>
      <c r="R1047" s="38"/>
      <c r="S1047" s="52"/>
      <c r="T1047" s="4">
        <f>R370*45%</f>
        <v>1592.1</v>
      </c>
      <c r="U1047" s="5"/>
      <c r="V1047" s="4">
        <f>(S1047+T1047)-U1047</f>
        <v>1592.1</v>
      </c>
      <c r="W1047" s="4">
        <f>V1047+AA1046</f>
        <v>49536.08</v>
      </c>
      <c r="X1047" s="3"/>
      <c r="Y1047" s="3"/>
      <c r="Z1047" s="25">
        <f>U1047+Y1047</f>
        <v>0</v>
      </c>
      <c r="AA1047" s="76">
        <f>W1047-Y1047</f>
        <v>49536.08</v>
      </c>
      <c r="AB1047" s="9" t="s">
        <v>12</v>
      </c>
      <c r="AC1047" s="19">
        <v>45718</v>
      </c>
      <c r="AD1047" s="41"/>
      <c r="AE1047" s="42"/>
      <c r="AF1047" s="4">
        <f>AD370-H1047-T1047</f>
        <v>3090.4</v>
      </c>
      <c r="AG1047" s="3"/>
      <c r="AH1047" s="8"/>
      <c r="AI1047" s="4">
        <f>(AE1047+AF1047)-AH1047</f>
        <v>3090.4</v>
      </c>
      <c r="AJ1047" s="4">
        <f>AI1047+BP1046</f>
        <v>-397808.2655</v>
      </c>
      <c r="AK1047" s="8" t="s">
        <v>41</v>
      </c>
      <c r="AL1047" s="8">
        <v>1050</v>
      </c>
      <c r="AM1047" s="47"/>
      <c r="AN1047" s="47"/>
      <c r="AO1047" s="8"/>
      <c r="AP1047" s="8"/>
      <c r="AQ1047" s="47"/>
      <c r="AR1047" s="47"/>
      <c r="AS1047" s="8"/>
      <c r="AT1047" s="8"/>
      <c r="AU1047" s="47"/>
      <c r="AV1047" s="47"/>
      <c r="AW1047" s="8"/>
      <c r="AX1047" s="8"/>
      <c r="AY1047" s="47"/>
      <c r="AZ1047" s="47"/>
      <c r="BA1047" s="8" t="s">
        <v>341</v>
      </c>
      <c r="BB1047" s="8">
        <v>267</v>
      </c>
      <c r="BC1047" s="47"/>
      <c r="BD1047" s="47"/>
      <c r="BE1047" s="8"/>
      <c r="BF1047" s="8"/>
      <c r="BG1047" s="47"/>
      <c r="BH1047" s="47"/>
      <c r="BI1047" s="8"/>
      <c r="BJ1047" s="3"/>
      <c r="BK1047" s="47" t="s">
        <v>455</v>
      </c>
      <c r="BL1047" s="47">
        <v>15000</v>
      </c>
      <c r="BM1047" s="46"/>
      <c r="BN1047" s="46"/>
      <c r="BO1047" s="24">
        <f>AL1047+AN1047+AP1047+AR1047+AT1047+AV1047+AX1047+AZ1047+BB1047+BD1047+BF1047+BH1047+BJ1047+BL1047</f>
        <v>16317</v>
      </c>
      <c r="BP1047" s="28">
        <f>AJ1047-BO1047</f>
        <v>-414125.2655</v>
      </c>
      <c r="BQ1047" s="2">
        <v>45718</v>
      </c>
    </row>
    <row r="1048" spans="1:73" hidden="true">
      <c r="D1048" s="9" t="s">
        <v>13</v>
      </c>
      <c r="E1048" s="2">
        <v>45719</v>
      </c>
      <c r="F1048" s="38"/>
      <c r="G1048" s="127"/>
      <c r="H1048" s="4">
        <f>F371*50%</f>
        <v>968.5</v>
      </c>
      <c r="I1048" s="120"/>
      <c r="J1048" s="4">
        <f>(G1048+H1048)-I1048</f>
        <v>968.5</v>
      </c>
      <c r="K1048" s="4">
        <f>J1048+O1047</f>
        <v>116227.26</v>
      </c>
      <c r="L1048" s="3"/>
      <c r="M1048" s="3"/>
      <c r="N1048" s="33">
        <f>I1048+M1048</f>
        <v>0</v>
      </c>
      <c r="O1048" s="28">
        <f>K1048-M1048</f>
        <v>116227.26</v>
      </c>
      <c r="P1048" s="9" t="s">
        <v>13</v>
      </c>
      <c r="Q1048" s="2">
        <v>45719</v>
      </c>
      <c r="R1048" s="38"/>
      <c r="S1048" s="52"/>
      <c r="T1048" s="4">
        <f>R371*45%</f>
        <v>294.3</v>
      </c>
      <c r="U1048" s="5"/>
      <c r="V1048" s="4">
        <f>(S1048+T1048)-U1048</f>
        <v>294.3</v>
      </c>
      <c r="W1048" s="4">
        <f>V1048+AA1047</f>
        <v>49830.38</v>
      </c>
      <c r="X1048" s="3"/>
      <c r="Y1048" s="3"/>
      <c r="Z1048" s="25">
        <f>U1048+Y1048</f>
        <v>0</v>
      </c>
      <c r="AA1048" s="76">
        <f>W1048-Y1048</f>
        <v>49830.38</v>
      </c>
      <c r="AB1048" s="9" t="s">
        <v>13</v>
      </c>
      <c r="AC1048" s="19">
        <v>45719</v>
      </c>
      <c r="AD1048" s="41"/>
      <c r="AE1048" s="42"/>
      <c r="AF1048" s="4">
        <f>AD371-H1048-T1048</f>
        <v>1328.2</v>
      </c>
      <c r="AG1048" s="3"/>
      <c r="AH1048" s="8"/>
      <c r="AI1048" s="4">
        <f>(AE1048+AF1048)-AH1048</f>
        <v>1328.2</v>
      </c>
      <c r="AJ1048" s="4">
        <f>AI1048+BP1047</f>
        <v>-412797.0655</v>
      </c>
      <c r="AK1048" s="8"/>
      <c r="AL1048" s="8"/>
      <c r="AM1048" s="47"/>
      <c r="AN1048" s="47"/>
      <c r="AO1048" s="8" t="s">
        <v>456</v>
      </c>
      <c r="AP1048" s="8">
        <f>1142+10</f>
        <v>1152</v>
      </c>
      <c r="AQ1048" s="47"/>
      <c r="AR1048" s="47"/>
      <c r="AS1048" s="8"/>
      <c r="AT1048" s="8"/>
      <c r="AU1048" s="47"/>
      <c r="AV1048" s="47"/>
      <c r="AW1048" s="8"/>
      <c r="AX1048" s="8"/>
      <c r="AY1048" s="47"/>
      <c r="AZ1048" s="47"/>
      <c r="BA1048" s="8" t="s">
        <v>341</v>
      </c>
      <c r="BB1048" s="8">
        <v>215</v>
      </c>
      <c r="BC1048" s="47"/>
      <c r="BD1048" s="47"/>
      <c r="BE1048" s="8"/>
      <c r="BF1048" s="8"/>
      <c r="BG1048" s="47"/>
      <c r="BH1048" s="47"/>
      <c r="BI1048" s="8"/>
      <c r="BJ1048" s="3"/>
      <c r="BK1048" s="47"/>
      <c r="BL1048" s="47"/>
      <c r="BM1048" s="46"/>
      <c r="BN1048" s="46"/>
      <c r="BO1048" s="24">
        <f>AL1048+AN1048+AP1048+AR1048+AT1048+AV1048+AX1048+AZ1048+BB1048+BD1048+BF1048+BH1048+BJ1048+BL1048</f>
        <v>1367</v>
      </c>
      <c r="BP1048" s="28">
        <f>AJ1048-BO1048</f>
        <v>-414164.0655</v>
      </c>
      <c r="BQ1048" s="2">
        <v>45719</v>
      </c>
    </row>
    <row r="1049" spans="1:73" hidden="true">
      <c r="D1049" s="9" t="s">
        <v>14</v>
      </c>
      <c r="E1049" s="2">
        <v>45720</v>
      </c>
      <c r="F1049" s="38"/>
      <c r="G1049" s="127"/>
      <c r="H1049" s="4">
        <f>F372*50%</f>
        <v>960.5</v>
      </c>
      <c r="I1049" s="120"/>
      <c r="J1049" s="4">
        <f>(G1049+H1049)-I1049</f>
        <v>960.5</v>
      </c>
      <c r="K1049" s="4">
        <f>J1049+O1048</f>
        <v>117187.76</v>
      </c>
      <c r="L1049" s="3"/>
      <c r="M1049" s="3"/>
      <c r="N1049" s="33">
        <f>I1049+M1049</f>
        <v>0</v>
      </c>
      <c r="O1049" s="28">
        <f>K1049-M1049</f>
        <v>117187.76</v>
      </c>
      <c r="P1049" s="9" t="s">
        <v>14</v>
      </c>
      <c r="Q1049" s="2">
        <v>45720</v>
      </c>
      <c r="R1049" s="38"/>
      <c r="S1049" s="52"/>
      <c r="T1049" s="4">
        <f>R372*45%</f>
        <v>1402.2</v>
      </c>
      <c r="U1049" s="5"/>
      <c r="V1049" s="4">
        <f>(S1049+T1049)-U1049</f>
        <v>1402.2</v>
      </c>
      <c r="W1049" s="4">
        <f>V1049+AA1048</f>
        <v>51232.58</v>
      </c>
      <c r="X1049" s="3" t="s">
        <v>457</v>
      </c>
      <c r="Y1049" s="3">
        <v>710</v>
      </c>
      <c r="Z1049" s="25">
        <f>U1049+Y1049</f>
        <v>710</v>
      </c>
      <c r="AA1049" s="76">
        <f>W1049-Y1049</f>
        <v>50522.58</v>
      </c>
      <c r="AB1049" s="9" t="s">
        <v>14</v>
      </c>
      <c r="AC1049" s="19">
        <v>45720</v>
      </c>
      <c r="AD1049" s="41"/>
      <c r="AE1049" s="42"/>
      <c r="AF1049" s="4">
        <f>AD372-H1049-T1049</f>
        <v>2674.3</v>
      </c>
      <c r="AG1049" s="3"/>
      <c r="AH1049" s="8"/>
      <c r="AI1049" s="4">
        <f>(AE1049+AF1049)-AH1049</f>
        <v>2674.3</v>
      </c>
      <c r="AJ1049" s="4">
        <f>AI1049+BP1048</f>
        <v>-411489.7655</v>
      </c>
      <c r="AK1049" s="8" t="s">
        <v>458</v>
      </c>
      <c r="AL1049" s="8">
        <v>4080</v>
      </c>
      <c r="AM1049" s="47" t="s">
        <v>459</v>
      </c>
      <c r="AN1049" s="47">
        <v>6000</v>
      </c>
      <c r="AO1049" s="8" t="s">
        <v>55</v>
      </c>
      <c r="AP1049" s="8">
        <v>301</v>
      </c>
      <c r="AQ1049" s="47"/>
      <c r="AR1049" s="47"/>
      <c r="AS1049" s="8"/>
      <c r="AT1049" s="8"/>
      <c r="AU1049" s="47"/>
      <c r="AV1049" s="47"/>
      <c r="AW1049" s="8"/>
      <c r="AX1049" s="8"/>
      <c r="AY1049" s="47"/>
      <c r="AZ1049" s="47"/>
      <c r="BA1049" s="8" t="s">
        <v>341</v>
      </c>
      <c r="BB1049" s="8">
        <v>219</v>
      </c>
      <c r="BC1049" s="47"/>
      <c r="BD1049" s="47"/>
      <c r="BE1049" s="8"/>
      <c r="BF1049" s="8"/>
      <c r="BG1049" s="47"/>
      <c r="BH1049" s="47"/>
      <c r="BI1049" s="8"/>
      <c r="BJ1049" s="3"/>
      <c r="BK1049" s="47"/>
      <c r="BL1049" s="47"/>
      <c r="BM1049" s="46"/>
      <c r="BN1049" s="46"/>
      <c r="BO1049" s="24">
        <f>AL1049+AN1049+AP1049+AR1049+AT1049+AV1049+AX1049+AZ1049+BB1049+BD1049+BF1049+BH1049+BJ1049+BL1049</f>
        <v>10600</v>
      </c>
      <c r="BP1049" s="28">
        <f>AJ1049-BO1049</f>
        <v>-422089.7655</v>
      </c>
      <c r="BQ1049" s="2">
        <v>45720</v>
      </c>
    </row>
    <row r="1050" spans="1:73" hidden="true">
      <c r="D1050" s="9" t="s">
        <v>15</v>
      </c>
      <c r="E1050" s="2">
        <v>45721</v>
      </c>
      <c r="F1050" s="38"/>
      <c r="G1050" s="127"/>
      <c r="H1050" s="4">
        <f>F373*50%</f>
        <v>684.5</v>
      </c>
      <c r="I1050" s="120"/>
      <c r="J1050" s="4">
        <f>(G1050+H1050)-I1050</f>
        <v>684.5</v>
      </c>
      <c r="K1050" s="4">
        <f>J1050+O1049</f>
        <v>117872.26</v>
      </c>
      <c r="L1050" s="3"/>
      <c r="M1050" s="3"/>
      <c r="N1050" s="33">
        <f>I1050+M1050</f>
        <v>0</v>
      </c>
      <c r="O1050" s="28">
        <f>K1050-M1050</f>
        <v>117872.26</v>
      </c>
      <c r="P1050" s="9" t="s">
        <v>15</v>
      </c>
      <c r="Q1050" s="2">
        <v>45721</v>
      </c>
      <c r="R1050" s="38"/>
      <c r="S1050" s="52"/>
      <c r="T1050" s="4">
        <f>R373*45%</f>
        <v>1638</v>
      </c>
      <c r="U1050" s="5"/>
      <c r="V1050" s="4">
        <f>(S1050+T1050)-U1050</f>
        <v>1638</v>
      </c>
      <c r="W1050" s="4">
        <f>V1050+AA1049</f>
        <v>52160.58</v>
      </c>
      <c r="X1050" s="3"/>
      <c r="Y1050" s="3"/>
      <c r="Z1050" s="25">
        <f>U1050+Y1050</f>
        <v>0</v>
      </c>
      <c r="AA1050" s="76">
        <f>W1050-Y1050</f>
        <v>52160.58</v>
      </c>
      <c r="AB1050" s="9" t="s">
        <v>15</v>
      </c>
      <c r="AC1050" s="19">
        <v>45721</v>
      </c>
      <c r="AD1050" s="41"/>
      <c r="AE1050" s="42"/>
      <c r="AF1050" s="4">
        <f>AD373-H1050-T1050</f>
        <v>2686.5</v>
      </c>
      <c r="AG1050" s="3"/>
      <c r="AH1050" s="8"/>
      <c r="AI1050" s="4">
        <f>(AE1050+AF1050)-AH1050</f>
        <v>2686.5</v>
      </c>
      <c r="AJ1050" s="4">
        <f>AI1050+BP1049</f>
        <v>-419403.2655</v>
      </c>
      <c r="AK1050" s="8"/>
      <c r="AL1050" s="8"/>
      <c r="AM1050" s="47"/>
      <c r="AN1050" s="47"/>
      <c r="AO1050" s="8" t="s">
        <v>460</v>
      </c>
      <c r="AP1050" s="8">
        <f>1707+300+10</f>
        <v>2017</v>
      </c>
      <c r="AQ1050" s="47"/>
      <c r="AR1050" s="47"/>
      <c r="AS1050" s="8"/>
      <c r="AT1050" s="8"/>
      <c r="AU1050" s="47"/>
      <c r="AV1050" s="47"/>
      <c r="AW1050" s="8"/>
      <c r="AX1050" s="8"/>
      <c r="AY1050" s="47"/>
      <c r="AZ1050" s="47"/>
      <c r="BA1050" s="8" t="s">
        <v>341</v>
      </c>
      <c r="BB1050" s="8">
        <v>315</v>
      </c>
      <c r="BC1050" s="47"/>
      <c r="BD1050" s="47"/>
      <c r="BE1050" s="8" t="s">
        <v>461</v>
      </c>
      <c r="BF1050" s="8">
        <v>7400</v>
      </c>
      <c r="BG1050" s="47" t="s">
        <v>98</v>
      </c>
      <c r="BH1050" s="47">
        <v>1000</v>
      </c>
      <c r="BI1050" s="8"/>
      <c r="BJ1050" s="3"/>
      <c r="BK1050" s="47"/>
      <c r="BL1050" s="47"/>
      <c r="BM1050" s="46"/>
      <c r="BN1050" s="46"/>
      <c r="BO1050" s="24">
        <f>AL1050+AN1050+AP1050+AR1050+AT1050+AV1050+AX1050+AZ1050+BB1050+BD1050+BF1050+BH1050+BJ1050+BL1050</f>
        <v>10732</v>
      </c>
      <c r="BP1050" s="28">
        <f>AJ1050-BO1050</f>
        <v>-430135.2655</v>
      </c>
      <c r="BQ1050" s="2">
        <v>45721</v>
      </c>
    </row>
    <row r="1051" spans="1:73" hidden="true">
      <c r="D1051" s="9" t="s">
        <v>16</v>
      </c>
      <c r="E1051" s="2">
        <v>45722</v>
      </c>
      <c r="F1051" s="38"/>
      <c r="G1051" s="127"/>
      <c r="H1051" s="4">
        <f>F374*50%</f>
        <v>879.5</v>
      </c>
      <c r="I1051" s="120"/>
      <c r="J1051" s="4">
        <f>(G1051+H1051)-I1051</f>
        <v>879.5</v>
      </c>
      <c r="K1051" s="4">
        <f>J1051+O1050</f>
        <v>118751.76</v>
      </c>
      <c r="L1051" s="3"/>
      <c r="M1051" s="3"/>
      <c r="N1051" s="33">
        <f>I1051+M1051</f>
        <v>0</v>
      </c>
      <c r="O1051" s="28">
        <f>K1051-M1051</f>
        <v>118751.76</v>
      </c>
      <c r="P1051" s="9" t="s">
        <v>16</v>
      </c>
      <c r="Q1051" s="2">
        <v>45722</v>
      </c>
      <c r="R1051" s="38"/>
      <c r="S1051" s="52"/>
      <c r="T1051" s="4">
        <f>R374*45%</f>
        <v>1559.25</v>
      </c>
      <c r="U1051" s="5"/>
      <c r="V1051" s="4">
        <f>(S1051+T1051)-U1051</f>
        <v>1559.25</v>
      </c>
      <c r="W1051" s="4">
        <f>V1051+AA1050</f>
        <v>53719.83</v>
      </c>
      <c r="X1051" s="3"/>
      <c r="Y1051" s="3"/>
      <c r="Z1051" s="25">
        <f>U1051+Y1051</f>
        <v>0</v>
      </c>
      <c r="AA1051" s="76">
        <f>W1051-Y1051</f>
        <v>53719.83</v>
      </c>
      <c r="AB1051" s="9" t="s">
        <v>16</v>
      </c>
      <c r="AC1051" s="19">
        <v>45722</v>
      </c>
      <c r="AD1051" s="41"/>
      <c r="AE1051" s="42"/>
      <c r="AF1051" s="4">
        <f>AD374-H1051-T1051</f>
        <v>2785.25</v>
      </c>
      <c r="AG1051" s="3"/>
      <c r="AH1051" s="8"/>
      <c r="AI1051" s="4">
        <f>(AE1051+AF1051)-AH1051</f>
        <v>2785.25</v>
      </c>
      <c r="AJ1051" s="4">
        <f>AI1051+BP1050</f>
        <v>-427350.0155</v>
      </c>
      <c r="AK1051" s="8"/>
      <c r="AL1051" s="8"/>
      <c r="AM1051" s="47"/>
      <c r="AN1051" s="47"/>
      <c r="AO1051" s="8" t="s">
        <v>462</v>
      </c>
      <c r="AP1051" s="8">
        <f>2000+100</f>
        <v>2100</v>
      </c>
      <c r="AQ1051" s="47"/>
      <c r="AR1051" s="47"/>
      <c r="AS1051" s="8"/>
      <c r="AT1051" s="8"/>
      <c r="AU1051" s="47"/>
      <c r="AV1051" s="47"/>
      <c r="AW1051" s="8"/>
      <c r="AX1051" s="8"/>
      <c r="AY1051" s="47"/>
      <c r="AZ1051" s="47"/>
      <c r="BA1051" s="8" t="s">
        <v>341</v>
      </c>
      <c r="BB1051" s="8">
        <v>299</v>
      </c>
      <c r="BC1051" s="47"/>
      <c r="BD1051" s="47"/>
      <c r="BE1051" s="8"/>
      <c r="BF1051" s="8"/>
      <c r="BG1051" s="47"/>
      <c r="BH1051" s="47"/>
      <c r="BI1051" s="8"/>
      <c r="BJ1051" s="3"/>
      <c r="BK1051" s="47"/>
      <c r="BL1051" s="47"/>
      <c r="BM1051" s="46"/>
      <c r="BN1051" s="46"/>
      <c r="BO1051" s="24">
        <f>AL1051+AN1051+AP1051+AR1051+AT1051+AV1051+AX1051+AZ1051+BB1051+BD1051+BF1051+BH1051+BJ1051+BL1051</f>
        <v>2399</v>
      </c>
      <c r="BP1051" s="28">
        <f>AJ1051-BO1051</f>
        <v>-429749.0155</v>
      </c>
      <c r="BQ1051" s="2">
        <v>45722</v>
      </c>
    </row>
    <row r="1052" spans="1:73" hidden="true">
      <c r="D1052" s="9" t="s">
        <v>10</v>
      </c>
      <c r="E1052" s="2">
        <v>45723</v>
      </c>
      <c r="F1052" s="38" t="s">
        <v>463</v>
      </c>
      <c r="G1052" s="127">
        <f>3000+500</f>
        <v>3500</v>
      </c>
      <c r="H1052" s="4">
        <f>F375*50%</f>
        <v>988.5</v>
      </c>
      <c r="I1052" s="120"/>
      <c r="J1052" s="4">
        <f>(G1052+H1052)-I1052</f>
        <v>4488.5</v>
      </c>
      <c r="K1052" s="4">
        <f>J1052+O1051</f>
        <v>123240.26</v>
      </c>
      <c r="L1052" s="3"/>
      <c r="M1052" s="3"/>
      <c r="N1052" s="33">
        <f>I1052+M1052</f>
        <v>0</v>
      </c>
      <c r="O1052" s="28">
        <f>K1052-M1052</f>
        <v>123240.26</v>
      </c>
      <c r="P1052" s="9" t="s">
        <v>10</v>
      </c>
      <c r="Q1052" s="2">
        <v>45723</v>
      </c>
      <c r="R1052" s="38"/>
      <c r="S1052" s="52"/>
      <c r="T1052" s="4">
        <f>R375*45%</f>
        <v>785.655</v>
      </c>
      <c r="U1052" s="5"/>
      <c r="V1052" s="4">
        <f>(S1052+T1052)-U1052</f>
        <v>785.655</v>
      </c>
      <c r="W1052" s="4">
        <f>V1052+AA1051</f>
        <v>54505.485</v>
      </c>
      <c r="X1052" s="3"/>
      <c r="Y1052" s="3"/>
      <c r="Z1052" s="25">
        <f>U1052+Y1052</f>
        <v>0</v>
      </c>
      <c r="AA1052" s="76">
        <f>W1052-Y1052</f>
        <v>54505.485</v>
      </c>
      <c r="AB1052" s="9" t="s">
        <v>10</v>
      </c>
      <c r="AC1052" s="19">
        <v>45723</v>
      </c>
      <c r="AD1052" s="41"/>
      <c r="AE1052" s="42"/>
      <c r="AF1052" s="4">
        <f>AD375-H1052-T1052</f>
        <v>1948.745</v>
      </c>
      <c r="AG1052" s="3"/>
      <c r="AH1052" s="8"/>
      <c r="AI1052" s="4">
        <f>(AE1052+AF1052)-AH1052</f>
        <v>1948.745</v>
      </c>
      <c r="AJ1052" s="4">
        <f>AI1052+BP1051</f>
        <v>-427800.2705</v>
      </c>
      <c r="AK1052" s="8" t="s">
        <v>41</v>
      </c>
      <c r="AL1052" s="8">
        <f>3666.56+2054.46+2000+411.14+3000</f>
        <v>11132.16</v>
      </c>
      <c r="AM1052" s="47" t="s">
        <v>424</v>
      </c>
      <c r="AN1052" s="47">
        <v>2200</v>
      </c>
      <c r="AO1052" s="8"/>
      <c r="AP1052" s="8"/>
      <c r="AQ1052" s="47"/>
      <c r="AR1052" s="47"/>
      <c r="AS1052" s="8" t="s">
        <v>463</v>
      </c>
      <c r="AT1052" s="8">
        <f>3000+500</f>
        <v>3500</v>
      </c>
      <c r="AU1052" s="47"/>
      <c r="AV1052" s="47"/>
      <c r="AW1052" s="8"/>
      <c r="AX1052" s="8"/>
      <c r="AY1052" s="47"/>
      <c r="AZ1052" s="47"/>
      <c r="BA1052" s="8" t="s">
        <v>341</v>
      </c>
      <c r="BB1052" s="8">
        <v>170</v>
      </c>
      <c r="BC1052" s="47"/>
      <c r="BD1052" s="47"/>
      <c r="BE1052" s="8"/>
      <c r="BF1052" s="8"/>
      <c r="BG1052" s="47"/>
      <c r="BH1052" s="47"/>
      <c r="BI1052" s="8"/>
      <c r="BJ1052" s="3"/>
      <c r="BK1052" s="47"/>
      <c r="BL1052" s="47"/>
      <c r="BM1052" s="46"/>
      <c r="BN1052" s="46"/>
      <c r="BO1052" s="24">
        <f>AL1052+AN1052+AP1052+AR1052+AT1052+AV1052+AX1052+AZ1052+BB1052+BD1052+BF1052+BH1052+BJ1052+BL1052</f>
        <v>17002.16</v>
      </c>
      <c r="BP1052" s="28">
        <f>AJ1052-BO1052</f>
        <v>-444802.4305</v>
      </c>
      <c r="BQ1052" s="2">
        <v>45723</v>
      </c>
    </row>
    <row r="1053" spans="1:73" hidden="true">
      <c r="D1053" s="9" t="s">
        <v>11</v>
      </c>
      <c r="E1053" s="2">
        <v>45724</v>
      </c>
      <c r="F1053" s="38"/>
      <c r="G1053" s="127"/>
      <c r="H1053" s="4">
        <f>F376*50%</f>
        <v>1295.225</v>
      </c>
      <c r="I1053" s="120"/>
      <c r="J1053" s="4">
        <f>(G1053+H1053)-I1053</f>
        <v>1295.225</v>
      </c>
      <c r="K1053" s="4">
        <f>J1053+O1052</f>
        <v>124535.485</v>
      </c>
      <c r="L1053" s="3"/>
      <c r="M1053" s="3"/>
      <c r="N1053" s="33">
        <f>I1053+M1053</f>
        <v>0</v>
      </c>
      <c r="O1053" s="28">
        <f>K1053-M1053</f>
        <v>124535.485</v>
      </c>
      <c r="P1053" s="9" t="s">
        <v>11</v>
      </c>
      <c r="Q1053" s="2">
        <v>45724</v>
      </c>
      <c r="R1053" s="38"/>
      <c r="S1053" s="52"/>
      <c r="T1053" s="4">
        <f>R376*45%</f>
        <v>879.21</v>
      </c>
      <c r="U1053" s="5"/>
      <c r="V1053" s="4">
        <f>(S1053+T1053)-U1053</f>
        <v>879.21</v>
      </c>
      <c r="W1053" s="4">
        <f>V1053+AA1052</f>
        <v>55384.695</v>
      </c>
      <c r="X1053" s="3"/>
      <c r="Y1053" s="3"/>
      <c r="Z1053" s="25">
        <f>U1053+Y1053</f>
        <v>0</v>
      </c>
      <c r="AA1053" s="76">
        <f>W1053-Y1053</f>
        <v>55384.695</v>
      </c>
      <c r="AB1053" s="9" t="s">
        <v>11</v>
      </c>
      <c r="AC1053" s="19">
        <v>45724</v>
      </c>
      <c r="AD1053" s="41"/>
      <c r="AE1053" s="42"/>
      <c r="AF1053" s="4">
        <f>AD376-H1053-T1053</f>
        <v>2369.815</v>
      </c>
      <c r="AG1053" s="3"/>
      <c r="AH1053" s="8"/>
      <c r="AI1053" s="4">
        <f>(AE1053+AF1053)-AH1053</f>
        <v>2369.815</v>
      </c>
      <c r="AJ1053" s="4">
        <f>AI1053+BP1052</f>
        <v>-442432.6155</v>
      </c>
      <c r="AK1053" s="8" t="s">
        <v>41</v>
      </c>
      <c r="AL1053" s="8">
        <v>2266.56</v>
      </c>
      <c r="AM1053" s="47"/>
      <c r="AN1053" s="47"/>
      <c r="AO1053" s="8"/>
      <c r="AP1053" s="8"/>
      <c r="AQ1053" s="47" t="s">
        <v>167</v>
      </c>
      <c r="AR1053" s="47">
        <v>210</v>
      </c>
      <c r="AS1053" s="8"/>
      <c r="AT1053" s="8"/>
      <c r="AU1053" s="47"/>
      <c r="AV1053" s="47"/>
      <c r="AW1053" s="8"/>
      <c r="AX1053" s="8"/>
      <c r="AY1053" s="47"/>
      <c r="AZ1053" s="47"/>
      <c r="BA1053" s="8" t="s">
        <v>341</v>
      </c>
      <c r="BB1053" s="8">
        <v>413</v>
      </c>
      <c r="BC1053" s="47"/>
      <c r="BD1053" s="47"/>
      <c r="BE1053" s="8"/>
      <c r="BF1053" s="8"/>
      <c r="BG1053" s="47"/>
      <c r="BH1053" s="47"/>
      <c r="BI1053" s="8"/>
      <c r="BJ1053" s="3"/>
      <c r="BK1053" s="47"/>
      <c r="BL1053" s="47"/>
      <c r="BM1053" s="46"/>
      <c r="BN1053" s="46"/>
      <c r="BO1053" s="24">
        <f>AL1053+AN1053+AP1053+AR1053+AT1053+AV1053+AX1053+AZ1053+BB1053+BD1053+BF1053+BH1053+BJ1053+BL1053</f>
        <v>2889.56</v>
      </c>
      <c r="BP1053" s="28">
        <f>AJ1053-BO1053</f>
        <v>-445322.1755</v>
      </c>
      <c r="BQ1053" s="2">
        <v>45724</v>
      </c>
    </row>
    <row r="1054" spans="1:73" hidden="true">
      <c r="D1054" s="9" t="s">
        <v>12</v>
      </c>
      <c r="E1054" s="2">
        <v>45725</v>
      </c>
      <c r="F1054" s="38"/>
      <c r="G1054" s="127"/>
      <c r="H1054" s="4">
        <f>F377*50%</f>
        <v>1433.3</v>
      </c>
      <c r="I1054" s="120"/>
      <c r="J1054" s="4">
        <f>(G1054+H1054)-I1054</f>
        <v>1433.3</v>
      </c>
      <c r="K1054" s="4">
        <f>J1054+O1053</f>
        <v>125968.785</v>
      </c>
      <c r="L1054" s="3"/>
      <c r="M1054" s="3"/>
      <c r="N1054" s="33">
        <f>I1054+M1054</f>
        <v>0</v>
      </c>
      <c r="O1054" s="28">
        <f>K1054-M1054</f>
        <v>125968.785</v>
      </c>
      <c r="P1054" s="9" t="s">
        <v>12</v>
      </c>
      <c r="Q1054" s="2">
        <v>45725</v>
      </c>
      <c r="R1054" s="38"/>
      <c r="S1054" s="52"/>
      <c r="T1054" s="4">
        <f>R377*45%</f>
        <v>1793.655</v>
      </c>
      <c r="U1054" s="5"/>
      <c r="V1054" s="4">
        <f>(S1054+T1054)-U1054</f>
        <v>1793.655</v>
      </c>
      <c r="W1054" s="4">
        <f>V1054+AA1053</f>
        <v>57178.35</v>
      </c>
      <c r="X1054" s="3"/>
      <c r="Y1054" s="3"/>
      <c r="Z1054" s="25">
        <f>U1054+Y1054</f>
        <v>0</v>
      </c>
      <c r="AA1054" s="76">
        <f>W1054-Y1054</f>
        <v>57178.35</v>
      </c>
      <c r="AB1054" s="9" t="s">
        <v>12</v>
      </c>
      <c r="AC1054" s="19">
        <v>45725</v>
      </c>
      <c r="AD1054" s="41"/>
      <c r="AE1054" s="42"/>
      <c r="AF1054" s="4">
        <f>AD377-H1054-T1054</f>
        <v>3625.545</v>
      </c>
      <c r="AG1054" s="3"/>
      <c r="AH1054" s="8"/>
      <c r="AI1054" s="4">
        <f>(AE1054+AF1054)-AH1054</f>
        <v>3625.545</v>
      </c>
      <c r="AJ1054" s="4">
        <f>AI1054+BP1053</f>
        <v>-441696.6305</v>
      </c>
      <c r="AK1054" s="8" t="s">
        <v>41</v>
      </c>
      <c r="AL1054" s="8">
        <v>5497.15</v>
      </c>
      <c r="AM1054" s="47"/>
      <c r="AN1054" s="47"/>
      <c r="AO1054" s="8"/>
      <c r="AP1054" s="8"/>
      <c r="AQ1054" s="47"/>
      <c r="AR1054" s="47"/>
      <c r="AS1054" s="8"/>
      <c r="AT1054" s="8"/>
      <c r="AU1054" s="47"/>
      <c r="AV1054" s="47"/>
      <c r="AW1054" s="8"/>
      <c r="AX1054" s="8"/>
      <c r="AY1054" s="47"/>
      <c r="AZ1054" s="47"/>
      <c r="BA1054" s="8" t="s">
        <v>341</v>
      </c>
      <c r="BB1054" s="8">
        <v>244</v>
      </c>
      <c r="BC1054" s="47"/>
      <c r="BD1054" s="47"/>
      <c r="BE1054" s="8"/>
      <c r="BF1054" s="8"/>
      <c r="BG1054" s="47"/>
      <c r="BH1054" s="47"/>
      <c r="BI1054" s="8"/>
      <c r="BJ1054" s="3"/>
      <c r="BK1054" s="47"/>
      <c r="BL1054" s="47"/>
      <c r="BM1054" s="46"/>
      <c r="BN1054" s="46"/>
      <c r="BO1054" s="24">
        <f>AL1054+AN1054+AP1054+AR1054+AT1054+AV1054+AX1054+AZ1054+BB1054+BD1054+BF1054+BH1054+BJ1054+BL1054</f>
        <v>5741.15</v>
      </c>
      <c r="BP1054" s="28">
        <f>AJ1054-BO1054</f>
        <v>-447437.7805</v>
      </c>
      <c r="BQ1054" s="2">
        <v>45725</v>
      </c>
    </row>
    <row r="1055" spans="1:73" hidden="true">
      <c r="D1055" s="9" t="s">
        <v>13</v>
      </c>
      <c r="E1055" s="2">
        <v>45726</v>
      </c>
      <c r="F1055" s="38"/>
      <c r="G1055" s="127"/>
      <c r="H1055" s="4">
        <f>F378*50%</f>
        <v>652.25</v>
      </c>
      <c r="I1055" s="120"/>
      <c r="J1055" s="4">
        <f>(G1055+H1055)-I1055</f>
        <v>652.25</v>
      </c>
      <c r="K1055" s="4">
        <f>J1055+O1054</f>
        <v>126621.035</v>
      </c>
      <c r="L1055" s="3"/>
      <c r="M1055" s="3"/>
      <c r="N1055" s="33">
        <f>I1055+M1055</f>
        <v>0</v>
      </c>
      <c r="O1055" s="28">
        <f>K1055-M1055</f>
        <v>126621.035</v>
      </c>
      <c r="P1055" s="9" t="s">
        <v>13</v>
      </c>
      <c r="Q1055" s="2">
        <v>45726</v>
      </c>
      <c r="R1055" s="38"/>
      <c r="S1055" s="52"/>
      <c r="T1055" s="4">
        <f>R378*45%</f>
        <v>411.3</v>
      </c>
      <c r="U1055" s="5"/>
      <c r="V1055" s="4">
        <f>(S1055+T1055)-U1055</f>
        <v>411.3</v>
      </c>
      <c r="W1055" s="4">
        <f>V1055+AA1054</f>
        <v>57589.65</v>
      </c>
      <c r="X1055" s="3"/>
      <c r="Y1055" s="3"/>
      <c r="Z1055" s="25">
        <f>U1055+Y1055</f>
        <v>0</v>
      </c>
      <c r="AA1055" s="76">
        <f>W1055-Y1055</f>
        <v>57589.65</v>
      </c>
      <c r="AB1055" s="9" t="s">
        <v>13</v>
      </c>
      <c r="AC1055" s="19">
        <v>45726</v>
      </c>
      <c r="AD1055" s="41"/>
      <c r="AE1055" s="42"/>
      <c r="AF1055" s="4">
        <f>AD378-H1055-T1055</f>
        <v>1154.95</v>
      </c>
      <c r="AG1055" s="3"/>
      <c r="AH1055" s="8"/>
      <c r="AI1055" s="4">
        <f>(AE1055+AF1055)-AH1055</f>
        <v>1154.95</v>
      </c>
      <c r="AJ1055" s="4">
        <f>AI1055+BP1054</f>
        <v>-446282.8305</v>
      </c>
      <c r="AK1055" s="8"/>
      <c r="AL1055" s="8"/>
      <c r="AM1055" s="47"/>
      <c r="AN1055" s="47"/>
      <c r="AO1055" s="8"/>
      <c r="AP1055" s="8"/>
      <c r="AQ1055" s="47"/>
      <c r="AR1055" s="47"/>
      <c r="AS1055" s="8"/>
      <c r="AT1055" s="8"/>
      <c r="AU1055" s="47"/>
      <c r="AV1055" s="47"/>
      <c r="AW1055" s="8"/>
      <c r="AX1055" s="8"/>
      <c r="AY1055" s="47"/>
      <c r="AZ1055" s="47"/>
      <c r="BA1055" s="8" t="s">
        <v>341</v>
      </c>
      <c r="BB1055" s="8">
        <v>205.8</v>
      </c>
      <c r="BC1055" s="47"/>
      <c r="BD1055" s="47"/>
      <c r="BE1055" s="8"/>
      <c r="BF1055" s="8"/>
      <c r="BG1055" s="47"/>
      <c r="BH1055" s="47"/>
      <c r="BI1055" s="8"/>
      <c r="BJ1055" s="3"/>
      <c r="BK1055" s="47"/>
      <c r="BL1055" s="47"/>
      <c r="BM1055" s="46"/>
      <c r="BN1055" s="46"/>
      <c r="BO1055" s="24">
        <f>AL1055+AN1055+AP1055+AR1055+AT1055+AV1055+AX1055+AZ1055+BB1055+BD1055+BF1055+BH1055+BJ1055+BL1055</f>
        <v>205.8</v>
      </c>
      <c r="BP1055" s="28">
        <f>AJ1055-BO1055</f>
        <v>-446488.6305</v>
      </c>
      <c r="BQ1055" s="2">
        <v>45726</v>
      </c>
    </row>
    <row r="1056" spans="1:73" hidden="true">
      <c r="D1056" s="9" t="s">
        <v>14</v>
      </c>
      <c r="E1056" s="2">
        <v>45727</v>
      </c>
      <c r="F1056" s="38"/>
      <c r="G1056" s="127"/>
      <c r="H1056" s="4">
        <f>F379*50%</f>
        <v>489.2</v>
      </c>
      <c r="I1056" s="120"/>
      <c r="J1056" s="4">
        <f>(G1056+H1056)-I1056</f>
        <v>489.2</v>
      </c>
      <c r="K1056" s="4">
        <f>J1056+O1055</f>
        <v>127110.235</v>
      </c>
      <c r="L1056" s="3"/>
      <c r="M1056" s="3"/>
      <c r="N1056" s="33">
        <f>I1056+M1056</f>
        <v>0</v>
      </c>
      <c r="O1056" s="28">
        <f>K1056-M1056</f>
        <v>127110.235</v>
      </c>
      <c r="P1056" s="9" t="s">
        <v>14</v>
      </c>
      <c r="Q1056" s="2">
        <v>45727</v>
      </c>
      <c r="R1056" s="38"/>
      <c r="S1056" s="52"/>
      <c r="T1056" s="4">
        <f>R379*45%</f>
        <v>865.8</v>
      </c>
      <c r="U1056" s="5"/>
      <c r="V1056" s="4">
        <f>(S1056+T1056)-U1056</f>
        <v>865.8</v>
      </c>
      <c r="W1056" s="4">
        <f>V1056+AA1055</f>
        <v>58455.45</v>
      </c>
      <c r="X1056" s="3" t="s">
        <v>369</v>
      </c>
      <c r="Y1056" s="3">
        <v>9740</v>
      </c>
      <c r="Z1056" s="25">
        <f>U1056+Y1056</f>
        <v>9740</v>
      </c>
      <c r="AA1056" s="76">
        <f>W1056-Y1056</f>
        <v>48715.45</v>
      </c>
      <c r="AB1056" s="9" t="s">
        <v>14</v>
      </c>
      <c r="AC1056" s="19">
        <v>45727</v>
      </c>
      <c r="AD1056" s="41"/>
      <c r="AE1056" s="42"/>
      <c r="AF1056" s="4">
        <f>AD379-H1056-T1056</f>
        <v>1547.4</v>
      </c>
      <c r="AG1056" s="3"/>
      <c r="AH1056" s="8"/>
      <c r="AI1056" s="4">
        <f>(AE1056+AF1056)-AH1056</f>
        <v>1547.4</v>
      </c>
      <c r="AJ1056" s="4">
        <f>AI1056+BP1055</f>
        <v>-444941.2305</v>
      </c>
      <c r="AK1056" s="8"/>
      <c r="AL1056" s="8"/>
      <c r="AM1056" s="47"/>
      <c r="AN1056" s="47"/>
      <c r="AO1056" s="8" t="s">
        <v>55</v>
      </c>
      <c r="AP1056" s="8">
        <v>100.5</v>
      </c>
      <c r="AQ1056" s="47"/>
      <c r="AR1056" s="47"/>
      <c r="AS1056" s="8"/>
      <c r="AT1056" s="8"/>
      <c r="AU1056" s="47"/>
      <c r="AV1056" s="47"/>
      <c r="AW1056" s="8"/>
      <c r="AX1056" s="8"/>
      <c r="AY1056" s="47"/>
      <c r="AZ1056" s="47"/>
      <c r="BA1056" s="8" t="s">
        <v>341</v>
      </c>
      <c r="BB1056" s="8">
        <v>508</v>
      </c>
      <c r="BC1056" s="47"/>
      <c r="BD1056" s="47"/>
      <c r="BE1056" s="8"/>
      <c r="BF1056" s="8"/>
      <c r="BG1056" s="47"/>
      <c r="BH1056" s="47"/>
      <c r="BI1056" s="8"/>
      <c r="BJ1056" s="3"/>
      <c r="BK1056" s="47"/>
      <c r="BL1056" s="47"/>
      <c r="BM1056" s="46"/>
      <c r="BN1056" s="46"/>
      <c r="BO1056" s="24">
        <f>AL1056+AN1056+AP1056+AR1056+AT1056+AV1056+AX1056+AZ1056+BB1056+BD1056+BF1056+BH1056+BJ1056+BL1056</f>
        <v>608.5</v>
      </c>
      <c r="BP1056" s="28">
        <f>AJ1056-BO1056</f>
        <v>-445549.7305</v>
      </c>
      <c r="BQ1056" s="2">
        <v>45727</v>
      </c>
    </row>
    <row r="1057" spans="1:73" hidden="true">
      <c r="D1057" s="9" t="s">
        <v>15</v>
      </c>
      <c r="E1057" s="2">
        <v>45728</v>
      </c>
      <c r="F1057" s="38"/>
      <c r="G1057" s="127"/>
      <c r="H1057" s="4">
        <f>F380*50%</f>
        <v>698.95</v>
      </c>
      <c r="I1057" s="120"/>
      <c r="J1057" s="4">
        <f>(G1057+H1057)-I1057</f>
        <v>698.95</v>
      </c>
      <c r="K1057" s="4">
        <f>J1057+O1056</f>
        <v>127809.185</v>
      </c>
      <c r="L1057" s="3"/>
      <c r="M1057" s="3"/>
      <c r="N1057" s="33">
        <f>I1057+M1057</f>
        <v>0</v>
      </c>
      <c r="O1057" s="28">
        <f>K1057-M1057</f>
        <v>127809.185</v>
      </c>
      <c r="P1057" s="9" t="s">
        <v>15</v>
      </c>
      <c r="Q1057" s="2">
        <v>45728</v>
      </c>
      <c r="R1057" s="38"/>
      <c r="S1057" s="52"/>
      <c r="T1057" s="4">
        <f>R380*45%</f>
        <v>1104.255</v>
      </c>
      <c r="U1057" s="5"/>
      <c r="V1057" s="4">
        <f>(S1057+T1057)-U1057</f>
        <v>1104.255</v>
      </c>
      <c r="W1057" s="4">
        <f>V1057+AA1056</f>
        <v>49819.705</v>
      </c>
      <c r="X1057" s="3"/>
      <c r="Y1057" s="3"/>
      <c r="Z1057" s="25">
        <f>U1057+Y1057</f>
        <v>0</v>
      </c>
      <c r="AA1057" s="76">
        <f>W1057-Y1057</f>
        <v>49819.705</v>
      </c>
      <c r="AB1057" s="9" t="s">
        <v>15</v>
      </c>
      <c r="AC1057" s="19">
        <v>45728</v>
      </c>
      <c r="AD1057" s="41"/>
      <c r="AE1057" s="42"/>
      <c r="AF1057" s="4">
        <f>AD380-H1057-T1057</f>
        <v>2048.595</v>
      </c>
      <c r="AG1057" s="3"/>
      <c r="AH1057" s="8"/>
      <c r="AI1057" s="4">
        <f>(AE1057+AF1057)-AH1057</f>
        <v>2048.595</v>
      </c>
      <c r="AJ1057" s="4">
        <f>AI1057+BP1056</f>
        <v>-443501.1355</v>
      </c>
      <c r="AK1057" s="8" t="s">
        <v>41</v>
      </c>
      <c r="AL1057" s="8">
        <v>4557.58</v>
      </c>
      <c r="AM1057" s="47"/>
      <c r="AN1057" s="47"/>
      <c r="AO1057" s="8"/>
      <c r="AP1057" s="8"/>
      <c r="AQ1057" s="47"/>
      <c r="AR1057" s="47"/>
      <c r="AS1057" s="8"/>
      <c r="AT1057" s="8"/>
      <c r="AU1057" s="47"/>
      <c r="AV1057" s="47"/>
      <c r="AW1057" s="8"/>
      <c r="AX1057" s="8"/>
      <c r="AY1057" s="47"/>
      <c r="AZ1057" s="47"/>
      <c r="BA1057" s="8" t="s">
        <v>341</v>
      </c>
      <c r="BB1057" s="8">
        <v>214</v>
      </c>
      <c r="BC1057" s="47" t="s">
        <v>464</v>
      </c>
      <c r="BD1057" s="47">
        <v>2700</v>
      </c>
      <c r="BE1057" s="8"/>
      <c r="BF1057" s="8"/>
      <c r="BG1057" s="47"/>
      <c r="BH1057" s="47"/>
      <c r="BI1057" s="8"/>
      <c r="BJ1057" s="3"/>
      <c r="BK1057" s="47"/>
      <c r="BL1057" s="47"/>
      <c r="BM1057" s="46"/>
      <c r="BN1057" s="46"/>
      <c r="BO1057" s="24">
        <f>AL1057+AN1057+AP1057+AR1057+AT1057+AV1057+AX1057+AZ1057+BB1057+BD1057+BF1057+BH1057+BJ1057+BL1057</f>
        <v>7471.58</v>
      </c>
      <c r="BP1057" s="28">
        <f>AJ1057-BO1057</f>
        <v>-450972.7155</v>
      </c>
      <c r="BQ1057" s="2">
        <v>45728</v>
      </c>
    </row>
    <row r="1058" spans="1:73" hidden="true">
      <c r="D1058" s="9" t="s">
        <v>16</v>
      </c>
      <c r="E1058" s="2">
        <v>45729</v>
      </c>
      <c r="F1058" s="38"/>
      <c r="G1058" s="127"/>
      <c r="H1058" s="4">
        <f>F381*50%</f>
        <v>690.65</v>
      </c>
      <c r="I1058" s="120"/>
      <c r="J1058" s="4">
        <f>(G1058+H1058)-I1058</f>
        <v>690.65</v>
      </c>
      <c r="K1058" s="4">
        <f>J1058+O1057</f>
        <v>128499.835</v>
      </c>
      <c r="L1058" s="3"/>
      <c r="M1058" s="3"/>
      <c r="N1058" s="33">
        <f>I1058+M1058</f>
        <v>0</v>
      </c>
      <c r="O1058" s="28">
        <f>K1058-M1058</f>
        <v>128499.835</v>
      </c>
      <c r="P1058" s="9" t="s">
        <v>16</v>
      </c>
      <c r="Q1058" s="2">
        <v>45729</v>
      </c>
      <c r="R1058" s="38"/>
      <c r="S1058" s="52"/>
      <c r="T1058" s="4">
        <f>R381*45%</f>
        <v>1022.22</v>
      </c>
      <c r="U1058" s="5"/>
      <c r="V1058" s="4">
        <f>(S1058+T1058)-U1058</f>
        <v>1022.22</v>
      </c>
      <c r="W1058" s="4">
        <f>V1058+AA1057</f>
        <v>50841.925</v>
      </c>
      <c r="X1058" s="3"/>
      <c r="Y1058" s="3"/>
      <c r="Z1058" s="25">
        <f>U1058+Y1058</f>
        <v>0</v>
      </c>
      <c r="AA1058" s="76">
        <f>W1058-Y1058</f>
        <v>50841.925</v>
      </c>
      <c r="AB1058" s="9" t="s">
        <v>16</v>
      </c>
      <c r="AC1058" s="19">
        <v>45729</v>
      </c>
      <c r="AD1058" s="41"/>
      <c r="AE1058" s="42"/>
      <c r="AF1058" s="4">
        <f>AD381-H1058-T1058</f>
        <v>1940.03</v>
      </c>
      <c r="AG1058" s="3"/>
      <c r="AH1058" s="8"/>
      <c r="AI1058" s="4">
        <f>(AE1058+AF1058)-AH1058</f>
        <v>1940.03</v>
      </c>
      <c r="AJ1058" s="4">
        <f>AI1058+BP1057</f>
        <v>-449032.6855</v>
      </c>
      <c r="AK1058" s="8" t="s">
        <v>41</v>
      </c>
      <c r="AL1058" s="8">
        <v>900</v>
      </c>
      <c r="AM1058" s="47"/>
      <c r="AN1058" s="47"/>
      <c r="AO1058" s="8"/>
      <c r="AP1058" s="8"/>
      <c r="AQ1058" s="47"/>
      <c r="AR1058" s="47"/>
      <c r="AS1058" s="8"/>
      <c r="AT1058" s="8"/>
      <c r="AU1058" s="47"/>
      <c r="AV1058" s="47"/>
      <c r="AW1058" s="8"/>
      <c r="AX1058" s="8"/>
      <c r="AY1058" s="47"/>
      <c r="AZ1058" s="47"/>
      <c r="BA1058" s="8" t="s">
        <v>341</v>
      </c>
      <c r="BB1058" s="8">
        <v>252</v>
      </c>
      <c r="BC1058" s="47"/>
      <c r="BD1058" s="47"/>
      <c r="BE1058" s="8" t="s">
        <v>465</v>
      </c>
      <c r="BF1058" s="8">
        <v>4400</v>
      </c>
      <c r="BG1058" s="47"/>
      <c r="BH1058" s="47"/>
      <c r="BI1058" s="8"/>
      <c r="BJ1058" s="3"/>
      <c r="BK1058" s="47"/>
      <c r="BL1058" s="47"/>
      <c r="BM1058" s="46"/>
      <c r="BN1058" s="46"/>
      <c r="BO1058" s="24">
        <f>AL1058+AN1058+AP1058+AR1058+AT1058+AV1058+AX1058+AZ1058+BB1058+BD1058+BF1058+BH1058+BJ1058+BL1058</f>
        <v>5552</v>
      </c>
      <c r="BP1058" s="28">
        <f>AJ1058-BO1058</f>
        <v>-454584.6855</v>
      </c>
      <c r="BQ1058" s="2">
        <v>45729</v>
      </c>
    </row>
    <row r="1059" spans="1:73" hidden="true">
      <c r="D1059" s="9" t="s">
        <v>10</v>
      </c>
      <c r="E1059" s="2">
        <v>45730</v>
      </c>
      <c r="F1059" s="38"/>
      <c r="G1059" s="127"/>
      <c r="H1059" s="4">
        <f>F382*50%</f>
        <v>945.45</v>
      </c>
      <c r="I1059" s="120"/>
      <c r="J1059" s="4">
        <f>(G1059+H1059)-I1059</f>
        <v>945.45</v>
      </c>
      <c r="K1059" s="4">
        <f>J1059+O1058</f>
        <v>129445.285</v>
      </c>
      <c r="L1059" s="3"/>
      <c r="M1059" s="3"/>
      <c r="N1059" s="33">
        <f>I1059+M1059</f>
        <v>0</v>
      </c>
      <c r="O1059" s="28">
        <f>K1059-M1059</f>
        <v>129445.285</v>
      </c>
      <c r="P1059" s="9" t="s">
        <v>10</v>
      </c>
      <c r="Q1059" s="2">
        <v>45730</v>
      </c>
      <c r="R1059" s="38"/>
      <c r="S1059" s="52"/>
      <c r="T1059" s="4">
        <f>R382*45%</f>
        <v>773.46</v>
      </c>
      <c r="U1059" s="5"/>
      <c r="V1059" s="4">
        <f>(S1059+T1059)-U1059</f>
        <v>773.46</v>
      </c>
      <c r="W1059" s="4">
        <f>V1059+AA1058</f>
        <v>51615.385</v>
      </c>
      <c r="X1059" s="3"/>
      <c r="Y1059" s="3"/>
      <c r="Z1059" s="25">
        <f>U1059+Y1059</f>
        <v>0</v>
      </c>
      <c r="AA1059" s="76">
        <f>W1059-Y1059</f>
        <v>51615.385</v>
      </c>
      <c r="AB1059" s="9" t="s">
        <v>10</v>
      </c>
      <c r="AC1059" s="19">
        <v>45730</v>
      </c>
      <c r="AD1059" s="41"/>
      <c r="AE1059" s="42"/>
      <c r="AF1059" s="4">
        <f>AD382-H1059-T1059</f>
        <v>1890.79</v>
      </c>
      <c r="AG1059" s="3"/>
      <c r="AH1059" s="8"/>
      <c r="AI1059" s="4">
        <f>(AE1059+AF1059)-AH1059</f>
        <v>1890.79</v>
      </c>
      <c r="AJ1059" s="4">
        <f>AI1059+BP1058</f>
        <v>-452693.8955</v>
      </c>
      <c r="AK1059" s="8" t="s">
        <v>41</v>
      </c>
      <c r="AL1059" s="8">
        <v>3887.58</v>
      </c>
      <c r="AM1059" s="47"/>
      <c r="AN1059" s="47"/>
      <c r="AO1059" s="8"/>
      <c r="AP1059" s="8"/>
      <c r="AQ1059" s="47"/>
      <c r="AR1059" s="47"/>
      <c r="AS1059" s="8"/>
      <c r="AT1059" s="8"/>
      <c r="AU1059" s="47"/>
      <c r="AV1059" s="47"/>
      <c r="AW1059" s="8"/>
      <c r="AX1059" s="8"/>
      <c r="AY1059" s="47"/>
      <c r="AZ1059" s="47"/>
      <c r="BA1059" s="8" t="s">
        <v>341</v>
      </c>
      <c r="BB1059" s="8">
        <v>201</v>
      </c>
      <c r="BC1059" s="47"/>
      <c r="BD1059" s="47"/>
      <c r="BE1059" s="8"/>
      <c r="BF1059" s="8"/>
      <c r="BG1059" s="47" t="s">
        <v>98</v>
      </c>
      <c r="BH1059" s="47">
        <v>500</v>
      </c>
      <c r="BI1059" s="8"/>
      <c r="BJ1059" s="3"/>
      <c r="BK1059" s="47"/>
      <c r="BL1059" s="47"/>
      <c r="BM1059" s="46"/>
      <c r="BN1059" s="46"/>
      <c r="BO1059" s="24">
        <f>AL1059+AN1059+AP1059+AR1059+AT1059+AV1059+AX1059+AZ1059+BB1059+BD1059+BF1059+BH1059+BJ1059+BL1059</f>
        <v>4588.58</v>
      </c>
      <c r="BP1059" s="28">
        <f>AJ1059-BO1059</f>
        <v>-457282.4755</v>
      </c>
      <c r="BQ1059" s="2">
        <v>45730</v>
      </c>
    </row>
    <row r="1060" spans="1:73" hidden="true">
      <c r="D1060" s="9" t="s">
        <v>11</v>
      </c>
      <c r="E1060" s="2">
        <v>45731</v>
      </c>
      <c r="F1060" s="38"/>
      <c r="G1060" s="127"/>
      <c r="H1060" s="4">
        <f>F383*50%</f>
        <v>576.75</v>
      </c>
      <c r="I1060" s="120"/>
      <c r="J1060" s="4">
        <f>(G1060+H1060)-I1060</f>
        <v>576.75</v>
      </c>
      <c r="K1060" s="4">
        <f>J1060+O1059</f>
        <v>130022.035</v>
      </c>
      <c r="L1060" s="3"/>
      <c r="M1060" s="3"/>
      <c r="N1060" s="33">
        <f>I1060+M1060</f>
        <v>0</v>
      </c>
      <c r="O1060" s="28">
        <f>K1060-M1060</f>
        <v>130022.035</v>
      </c>
      <c r="P1060" s="9" t="s">
        <v>11</v>
      </c>
      <c r="Q1060" s="2">
        <v>45731</v>
      </c>
      <c r="R1060" s="38"/>
      <c r="S1060" s="52"/>
      <c r="T1060" s="4">
        <f>R383*45%</f>
        <v>1623.78</v>
      </c>
      <c r="U1060" s="5"/>
      <c r="V1060" s="4">
        <f>(S1060+T1060)-U1060</f>
        <v>1623.78</v>
      </c>
      <c r="W1060" s="4">
        <f>V1060+AA1059</f>
        <v>53239.165</v>
      </c>
      <c r="X1060" s="3"/>
      <c r="Y1060" s="3"/>
      <c r="Z1060" s="25">
        <f>U1060+Y1060</f>
        <v>0</v>
      </c>
      <c r="AA1060" s="76">
        <f>W1060-Y1060</f>
        <v>53239.165</v>
      </c>
      <c r="AB1060" s="9" t="s">
        <v>11</v>
      </c>
      <c r="AC1060" s="19">
        <v>45731</v>
      </c>
      <c r="AD1060" s="41"/>
      <c r="AE1060" s="42"/>
      <c r="AF1060" s="4">
        <f>AD383-H1060-T1060</f>
        <v>2561.37</v>
      </c>
      <c r="AG1060" s="3"/>
      <c r="AH1060" s="8"/>
      <c r="AI1060" s="4">
        <f>(AE1060+AF1060)-AH1060</f>
        <v>2561.37</v>
      </c>
      <c r="AJ1060" s="4">
        <f>AI1060+BP1059</f>
        <v>-454721.1055</v>
      </c>
      <c r="AK1060" s="8"/>
      <c r="AL1060" s="8"/>
      <c r="AM1060" s="47"/>
      <c r="AN1060" s="47"/>
      <c r="AO1060" s="8"/>
      <c r="AP1060" s="8"/>
      <c r="AQ1060" s="47"/>
      <c r="AR1060" s="47"/>
      <c r="AS1060" s="8"/>
      <c r="AT1060" s="8"/>
      <c r="AU1060" s="47"/>
      <c r="AV1060" s="47"/>
      <c r="AW1060" s="8"/>
      <c r="AX1060" s="8"/>
      <c r="AY1060" s="47"/>
      <c r="AZ1060" s="47"/>
      <c r="BA1060" s="8" t="s">
        <v>341</v>
      </c>
      <c r="BB1060" s="8">
        <v>420</v>
      </c>
      <c r="BC1060" s="47"/>
      <c r="BD1060" s="47"/>
      <c r="BE1060" s="8"/>
      <c r="BF1060" s="8"/>
      <c r="BG1060" s="47"/>
      <c r="BH1060" s="47"/>
      <c r="BI1060" s="8"/>
      <c r="BJ1060" s="3"/>
      <c r="BK1060" s="47"/>
      <c r="BL1060" s="47"/>
      <c r="BM1060" s="46"/>
      <c r="BN1060" s="46"/>
      <c r="BO1060" s="24">
        <f>AL1060+AN1060+AP1060+AR1060+AT1060+AV1060+AX1060+AZ1060+BB1060+BD1060+BF1060+BH1060+BJ1060+BL1060</f>
        <v>420</v>
      </c>
      <c r="BP1060" s="28">
        <f>AJ1060-BO1060</f>
        <v>-455141.1055</v>
      </c>
      <c r="BQ1060" s="2">
        <v>45731</v>
      </c>
    </row>
    <row r="1061" spans="1:73" hidden="true">
      <c r="D1061" s="9" t="s">
        <v>12</v>
      </c>
      <c r="E1061" s="2">
        <v>45732</v>
      </c>
      <c r="F1061" s="38"/>
      <c r="G1061" s="127"/>
      <c r="H1061" s="4">
        <f>F384*50%</f>
        <v>1191.7</v>
      </c>
      <c r="I1061" s="120"/>
      <c r="J1061" s="4">
        <f>(G1061+H1061)-I1061</f>
        <v>1191.7</v>
      </c>
      <c r="K1061" s="4">
        <f>J1061+O1060</f>
        <v>131213.735</v>
      </c>
      <c r="L1061" s="3"/>
      <c r="M1061" s="3"/>
      <c r="N1061" s="33">
        <f>I1061+M1061</f>
        <v>0</v>
      </c>
      <c r="O1061" s="28">
        <f>K1061-M1061</f>
        <v>131213.735</v>
      </c>
      <c r="P1061" s="9" t="s">
        <v>12</v>
      </c>
      <c r="Q1061" s="2">
        <v>45732</v>
      </c>
      <c r="R1061" s="38"/>
      <c r="S1061" s="52"/>
      <c r="T1061" s="4">
        <f>R384*45%</f>
        <v>1502.46</v>
      </c>
      <c r="U1061" s="5"/>
      <c r="V1061" s="4">
        <f>(S1061+T1061)-U1061</f>
        <v>1502.46</v>
      </c>
      <c r="W1061" s="4">
        <f>V1061+AA1060</f>
        <v>54741.625</v>
      </c>
      <c r="X1061" s="3"/>
      <c r="Y1061" s="3"/>
      <c r="Z1061" s="25">
        <f>U1061+Y1061</f>
        <v>0</v>
      </c>
      <c r="AA1061" s="76">
        <f>W1061-Y1061</f>
        <v>54741.625</v>
      </c>
      <c r="AB1061" s="9" t="s">
        <v>12</v>
      </c>
      <c r="AC1061" s="19">
        <v>45732</v>
      </c>
      <c r="AD1061" s="41"/>
      <c r="AE1061" s="42"/>
      <c r="AF1061" s="4">
        <f>AD384-H1061-T1061</f>
        <v>3028.04</v>
      </c>
      <c r="AG1061" s="3"/>
      <c r="AH1061" s="8"/>
      <c r="AI1061" s="4">
        <f>(AE1061+AF1061)-AH1061</f>
        <v>3028.04</v>
      </c>
      <c r="AJ1061" s="4">
        <f>AI1061+BP1060</f>
        <v>-452113.0655</v>
      </c>
      <c r="AK1061" s="8"/>
      <c r="AL1061" s="8"/>
      <c r="AM1061" s="47"/>
      <c r="AN1061" s="47"/>
      <c r="AO1061" s="8" t="s">
        <v>55</v>
      </c>
      <c r="AP1061" s="8">
        <v>42.5</v>
      </c>
      <c r="AQ1061" s="47"/>
      <c r="AR1061" s="47"/>
      <c r="AS1061" s="8"/>
      <c r="AT1061" s="8"/>
      <c r="AU1061" s="47"/>
      <c r="AV1061" s="47"/>
      <c r="AW1061" s="8"/>
      <c r="AX1061" s="8"/>
      <c r="AY1061" s="47"/>
      <c r="AZ1061" s="47"/>
      <c r="BA1061" s="8" t="s">
        <v>341</v>
      </c>
      <c r="BB1061" s="8">
        <v>376</v>
      </c>
      <c r="BC1061" s="47" t="s">
        <v>466</v>
      </c>
      <c r="BD1061" s="47">
        <v>1000</v>
      </c>
      <c r="BE1061" s="8"/>
      <c r="BF1061" s="8"/>
      <c r="BG1061" s="47" t="s">
        <v>98</v>
      </c>
      <c r="BH1061" s="47">
        <v>730</v>
      </c>
      <c r="BI1061" s="8"/>
      <c r="BJ1061" s="3"/>
      <c r="BK1061" s="47"/>
      <c r="BL1061" s="47"/>
      <c r="BM1061" s="46"/>
      <c r="BN1061" s="46"/>
      <c r="BO1061" s="24">
        <f>AL1061+AN1061+AP1061+AR1061+AT1061+AV1061+AX1061+AZ1061+BB1061+BD1061+BF1061+BH1061+BJ1061+BL1061</f>
        <v>2148.5</v>
      </c>
      <c r="BP1061" s="28">
        <f>AJ1061-BO1061</f>
        <v>-454261.5655</v>
      </c>
      <c r="BQ1061" s="2">
        <v>45732</v>
      </c>
    </row>
    <row r="1062" spans="1:73" hidden="true">
      <c r="D1062" s="9" t="s">
        <v>13</v>
      </c>
      <c r="E1062" s="2">
        <v>45733</v>
      </c>
      <c r="F1062" s="38" t="s">
        <v>409</v>
      </c>
      <c r="G1062" s="127">
        <v>1600</v>
      </c>
      <c r="H1062" s="4">
        <f>F385*50%</f>
        <v>1150.325</v>
      </c>
      <c r="I1062" s="120"/>
      <c r="J1062" s="4">
        <f>(G1062+H1062)-I1062</f>
        <v>2750.325</v>
      </c>
      <c r="K1062" s="4">
        <f>J1062+O1061</f>
        <v>133964.06</v>
      </c>
      <c r="L1062" s="3"/>
      <c r="M1062" s="3"/>
      <c r="N1062" s="33">
        <f>I1062+M1062</f>
        <v>0</v>
      </c>
      <c r="O1062" s="28">
        <f>K1062-M1062</f>
        <v>133964.06</v>
      </c>
      <c r="P1062" s="9" t="s">
        <v>13</v>
      </c>
      <c r="Q1062" s="2">
        <v>45733</v>
      </c>
      <c r="R1062" s="38"/>
      <c r="S1062" s="52"/>
      <c r="T1062" s="4">
        <f>R385*45%</f>
        <v>641.655</v>
      </c>
      <c r="U1062" s="5"/>
      <c r="V1062" s="4">
        <f>(S1062+T1062)-U1062</f>
        <v>641.655</v>
      </c>
      <c r="W1062" s="4">
        <f>V1062+AA1061</f>
        <v>55383.28</v>
      </c>
      <c r="X1062" s="3"/>
      <c r="Y1062" s="3"/>
      <c r="Z1062" s="25">
        <f>U1062+Y1062</f>
        <v>0</v>
      </c>
      <c r="AA1062" s="76">
        <f>W1062-Y1062</f>
        <v>55383.28</v>
      </c>
      <c r="AB1062" s="9" t="s">
        <v>13</v>
      </c>
      <c r="AC1062" s="19">
        <v>45733</v>
      </c>
      <c r="AD1062" s="41"/>
      <c r="AE1062" s="42"/>
      <c r="AF1062" s="4">
        <f>AD385-H1062-T1062</f>
        <v>1934.57</v>
      </c>
      <c r="AG1062" s="3"/>
      <c r="AH1062" s="8"/>
      <c r="AI1062" s="4">
        <f>(AE1062+AF1062)-AH1062</f>
        <v>1934.57</v>
      </c>
      <c r="AJ1062" s="4">
        <f>AI1062+BP1061</f>
        <v>-452326.9955</v>
      </c>
      <c r="AK1062" s="8" t="s">
        <v>436</v>
      </c>
      <c r="AL1062" s="8">
        <f>1064+6000</f>
        <v>7064</v>
      </c>
      <c r="AM1062" s="47" t="s">
        <v>467</v>
      </c>
      <c r="AN1062" s="47">
        <v>375</v>
      </c>
      <c r="AO1062" s="8"/>
      <c r="AP1062" s="8"/>
      <c r="AQ1062" s="47"/>
      <c r="AR1062" s="47"/>
      <c r="AS1062" s="8"/>
      <c r="AT1062" s="8"/>
      <c r="AU1062" s="47"/>
      <c r="AV1062" s="47"/>
      <c r="AW1062" s="8"/>
      <c r="AX1062" s="8"/>
      <c r="AY1062" s="47"/>
      <c r="AZ1062" s="47"/>
      <c r="BA1062" s="8" t="s">
        <v>341</v>
      </c>
      <c r="BB1062" s="8">
        <v>340</v>
      </c>
      <c r="BC1062" s="47"/>
      <c r="BD1062" s="47"/>
      <c r="BE1062" s="8" t="s">
        <v>461</v>
      </c>
      <c r="BF1062" s="8">
        <v>1600</v>
      </c>
      <c r="BG1062" s="47"/>
      <c r="BH1062" s="47"/>
      <c r="BI1062" s="8"/>
      <c r="BJ1062" s="3"/>
      <c r="BK1062" s="47"/>
      <c r="BL1062" s="47"/>
      <c r="BM1062" s="46"/>
      <c r="BN1062" s="46"/>
      <c r="BO1062" s="24">
        <f>AL1062+AN1062+AP1062+AR1062+AT1062+AV1062+AX1062+AZ1062+BB1062+BD1062+BF1062+BH1062+BJ1062+BL1062</f>
        <v>9379</v>
      </c>
      <c r="BP1062" s="28">
        <f>AJ1062-BO1062</f>
        <v>-461705.9955</v>
      </c>
      <c r="BQ1062" s="2">
        <v>45733</v>
      </c>
    </row>
    <row r="1063" spans="1:73" hidden="true">
      <c r="D1063" s="9" t="s">
        <v>14</v>
      </c>
      <c r="E1063" s="2">
        <v>45734</v>
      </c>
      <c r="F1063" s="38"/>
      <c r="G1063" s="127"/>
      <c r="H1063" s="4">
        <f>F386*50%</f>
        <v>1051.65</v>
      </c>
      <c r="I1063" s="120"/>
      <c r="J1063" s="4">
        <f>(G1063+H1063)-I1063</f>
        <v>1051.65</v>
      </c>
      <c r="K1063" s="4">
        <f>J1063+O1062</f>
        <v>135015.71</v>
      </c>
      <c r="L1063" s="3"/>
      <c r="M1063" s="3"/>
      <c r="N1063" s="33">
        <f>I1063+M1063</f>
        <v>0</v>
      </c>
      <c r="O1063" s="28">
        <f>K1063-M1063</f>
        <v>135015.71</v>
      </c>
      <c r="P1063" s="9" t="s">
        <v>14</v>
      </c>
      <c r="Q1063" s="2">
        <v>45734</v>
      </c>
      <c r="R1063" s="38"/>
      <c r="S1063" s="52"/>
      <c r="T1063" s="4">
        <f>R386*45%</f>
        <v>1136.745</v>
      </c>
      <c r="U1063" s="5"/>
      <c r="V1063" s="4">
        <f>(S1063+T1063)-U1063</f>
        <v>1136.745</v>
      </c>
      <c r="W1063" s="4">
        <f>V1063+AA1062</f>
        <v>56520.025</v>
      </c>
      <c r="X1063" s="3"/>
      <c r="Y1063" s="3"/>
      <c r="Z1063" s="25">
        <f>U1063+Y1063</f>
        <v>0</v>
      </c>
      <c r="AA1063" s="76">
        <f>W1063-Y1063</f>
        <v>56520.025</v>
      </c>
      <c r="AB1063" s="9" t="s">
        <v>14</v>
      </c>
      <c r="AC1063" s="19">
        <v>45734</v>
      </c>
      <c r="AD1063" s="41"/>
      <c r="AE1063" s="42"/>
      <c r="AF1063" s="4">
        <f>AD386-H1063-T1063</f>
        <v>2441.005</v>
      </c>
      <c r="AG1063" s="3"/>
      <c r="AH1063" s="8"/>
      <c r="AI1063" s="4">
        <f>(AE1063+AF1063)-AH1063</f>
        <v>2441.005</v>
      </c>
      <c r="AJ1063" s="4">
        <f>AI1063+BP1062</f>
        <v>-459264.9905</v>
      </c>
      <c r="AK1063" s="8" t="s">
        <v>41</v>
      </c>
      <c r="AL1063" s="8">
        <v>2000</v>
      </c>
      <c r="AM1063" s="47"/>
      <c r="AN1063" s="47"/>
      <c r="AO1063" s="8"/>
      <c r="AP1063" s="8"/>
      <c r="AQ1063" s="47" t="s">
        <v>468</v>
      </c>
      <c r="AR1063" s="47">
        <v>180</v>
      </c>
      <c r="AS1063" s="8"/>
      <c r="AT1063" s="8"/>
      <c r="AU1063" s="47"/>
      <c r="AV1063" s="47"/>
      <c r="AW1063" s="8"/>
      <c r="AX1063" s="8"/>
      <c r="AY1063" s="47"/>
      <c r="AZ1063" s="47"/>
      <c r="BA1063" s="8" t="s">
        <v>341</v>
      </c>
      <c r="BB1063" s="8">
        <v>143.33</v>
      </c>
      <c r="BC1063" s="47"/>
      <c r="BD1063" s="47"/>
      <c r="BE1063" s="8"/>
      <c r="BF1063" s="8"/>
      <c r="BG1063" s="47" t="s">
        <v>98</v>
      </c>
      <c r="BH1063" s="47">
        <v>500</v>
      </c>
      <c r="BI1063" s="8"/>
      <c r="BJ1063" s="3"/>
      <c r="BK1063" s="47"/>
      <c r="BL1063" s="47"/>
      <c r="BM1063" s="46"/>
      <c r="BN1063" s="46"/>
      <c r="BO1063" s="24">
        <f>AL1063+AN1063+AP1063+AR1063+AT1063+AV1063+AX1063+AZ1063+BB1063+BD1063+BF1063+BH1063+BJ1063+BL1063</f>
        <v>2823.33</v>
      </c>
      <c r="BP1063" s="28">
        <f>AJ1063-BO1063</f>
        <v>-462088.3205</v>
      </c>
      <c r="BQ1063" s="2">
        <v>45734</v>
      </c>
    </row>
    <row r="1064" spans="1:73" hidden="true">
      <c r="D1064" s="9" t="s">
        <v>15</v>
      </c>
      <c r="E1064" s="2">
        <v>45735</v>
      </c>
      <c r="F1064" s="38"/>
      <c r="G1064" s="127"/>
      <c r="H1064" s="4">
        <f>F387*50%</f>
        <v>741.3</v>
      </c>
      <c r="I1064" s="120"/>
      <c r="J1064" s="4">
        <f>(G1064+H1064)-I1064</f>
        <v>741.3</v>
      </c>
      <c r="K1064" s="4">
        <f>J1064+O1063</f>
        <v>135757.01</v>
      </c>
      <c r="L1064" s="3"/>
      <c r="M1064" s="3"/>
      <c r="N1064" s="33">
        <f>I1064+M1064</f>
        <v>0</v>
      </c>
      <c r="O1064" s="28">
        <f>K1064-M1064</f>
        <v>135757.01</v>
      </c>
      <c r="P1064" s="9" t="s">
        <v>15</v>
      </c>
      <c r="Q1064" s="2">
        <v>45735</v>
      </c>
      <c r="R1064" s="38"/>
      <c r="S1064" s="52"/>
      <c r="T1064" s="4">
        <f>R387*45%</f>
        <v>805.905</v>
      </c>
      <c r="U1064" s="5"/>
      <c r="V1064" s="4">
        <f>(S1064+T1064)-U1064</f>
        <v>805.905</v>
      </c>
      <c r="W1064" s="4">
        <f>V1064+AA1063</f>
        <v>57325.93</v>
      </c>
      <c r="X1064" s="3"/>
      <c r="Y1064" s="3"/>
      <c r="Z1064" s="25">
        <f>U1064+Y1064</f>
        <v>0</v>
      </c>
      <c r="AA1064" s="76">
        <f>W1064-Y1064</f>
        <v>57325.93</v>
      </c>
      <c r="AB1064" s="9" t="s">
        <v>15</v>
      </c>
      <c r="AC1064" s="19">
        <v>45735</v>
      </c>
      <c r="AD1064" s="41"/>
      <c r="AE1064" s="42"/>
      <c r="AF1064" s="4">
        <f>AD387-H1064-T1064</f>
        <v>1726.295</v>
      </c>
      <c r="AG1064" s="3"/>
      <c r="AH1064" s="8"/>
      <c r="AI1064" s="4">
        <f>(AE1064+AF1064)-AH1064</f>
        <v>1726.295</v>
      </c>
      <c r="AJ1064" s="4">
        <f>AI1064+BP1063</f>
        <v>-460362.0255</v>
      </c>
      <c r="AK1064" s="8"/>
      <c r="AL1064" s="8"/>
      <c r="AM1064" s="47"/>
      <c r="AN1064" s="47"/>
      <c r="AO1064" s="8" t="s">
        <v>55</v>
      </c>
      <c r="AP1064" s="8">
        <v>100</v>
      </c>
      <c r="AQ1064" s="47"/>
      <c r="AR1064" s="47"/>
      <c r="AS1064" s="8"/>
      <c r="AT1064" s="8"/>
      <c r="AU1064" s="47"/>
      <c r="AV1064" s="47"/>
      <c r="AW1064" s="8"/>
      <c r="AX1064" s="8"/>
      <c r="AY1064" s="47"/>
      <c r="AZ1064" s="47"/>
      <c r="BA1064" s="8" t="s">
        <v>341</v>
      </c>
      <c r="BB1064" s="8">
        <v>101</v>
      </c>
      <c r="BC1064" s="47"/>
      <c r="BD1064" s="47"/>
      <c r="BE1064" s="8"/>
      <c r="BF1064" s="8"/>
      <c r="BG1064" s="47"/>
      <c r="BH1064" s="47"/>
      <c r="BI1064" s="8"/>
      <c r="BJ1064" s="3"/>
      <c r="BK1064" s="47"/>
      <c r="BL1064" s="47"/>
      <c r="BM1064" s="46"/>
      <c r="BN1064" s="46"/>
      <c r="BO1064" s="24">
        <f>AL1064+AN1064+AP1064+AR1064+AT1064+AV1064+AX1064+AZ1064+BB1064+BD1064+BF1064+BH1064+BJ1064+BL1064</f>
        <v>201</v>
      </c>
      <c r="BP1064" s="28">
        <f>AJ1064-BO1064</f>
        <v>-460563.0255</v>
      </c>
      <c r="BQ1064" s="2">
        <v>45735</v>
      </c>
    </row>
    <row r="1065" spans="1:73" hidden="true">
      <c r="D1065" s="9" t="s">
        <v>16</v>
      </c>
      <c r="E1065" s="2">
        <v>45736</v>
      </c>
      <c r="F1065" s="38"/>
      <c r="G1065" s="127"/>
      <c r="H1065" s="4">
        <f>F388*50%</f>
        <v>1335.325</v>
      </c>
      <c r="I1065" s="120"/>
      <c r="J1065" s="4">
        <f>(G1065+H1065)-I1065</f>
        <v>1335.325</v>
      </c>
      <c r="K1065" s="4">
        <f>J1065+O1064</f>
        <v>137092.335</v>
      </c>
      <c r="L1065" s="3"/>
      <c r="M1065" s="3"/>
      <c r="N1065" s="33">
        <f>I1065+M1065</f>
        <v>0</v>
      </c>
      <c r="O1065" s="28">
        <f>K1065-M1065</f>
        <v>137092.335</v>
      </c>
      <c r="P1065" s="9" t="s">
        <v>16</v>
      </c>
      <c r="Q1065" s="2">
        <v>45736</v>
      </c>
      <c r="R1065" s="38"/>
      <c r="S1065" s="52"/>
      <c r="T1065" s="4">
        <f>R388*45%</f>
        <v>1291.005</v>
      </c>
      <c r="U1065" s="5"/>
      <c r="V1065" s="4">
        <f>(S1065+T1065)-U1065</f>
        <v>1291.005</v>
      </c>
      <c r="W1065" s="4">
        <f>V1065+AA1064</f>
        <v>58616.935</v>
      </c>
      <c r="X1065" s="3"/>
      <c r="Y1065" s="3"/>
      <c r="Z1065" s="25">
        <f>U1065+Y1065</f>
        <v>0</v>
      </c>
      <c r="AA1065" s="76">
        <f>W1065-Y1065</f>
        <v>58616.935</v>
      </c>
      <c r="AB1065" s="9" t="s">
        <v>16</v>
      </c>
      <c r="AC1065" s="19">
        <v>45736</v>
      </c>
      <c r="AD1065" s="41"/>
      <c r="AE1065" s="42"/>
      <c r="AF1065" s="4">
        <f>AD388-H1065-T1065</f>
        <v>2913.22</v>
      </c>
      <c r="AG1065" s="3"/>
      <c r="AH1065" s="8"/>
      <c r="AI1065" s="4">
        <f>(AE1065+AF1065)-AH1065</f>
        <v>2913.22</v>
      </c>
      <c r="AJ1065" s="4">
        <f>AI1065+BP1064</f>
        <v>-457649.8055</v>
      </c>
      <c r="AK1065" s="8" t="s">
        <v>41</v>
      </c>
      <c r="AL1065" s="8">
        <v>2000</v>
      </c>
      <c r="AM1065" s="86" t="s">
        <v>469</v>
      </c>
      <c r="AN1065" s="47">
        <v>8000</v>
      </c>
      <c r="AO1065" s="8" t="s">
        <v>55</v>
      </c>
      <c r="AP1065" s="8">
        <v>100.5</v>
      </c>
      <c r="AQ1065" s="47"/>
      <c r="AR1065" s="47"/>
      <c r="AS1065" s="8"/>
      <c r="AT1065" s="8"/>
      <c r="AU1065" s="47"/>
      <c r="AV1065" s="47"/>
      <c r="AW1065" s="8"/>
      <c r="AX1065" s="8"/>
      <c r="AY1065" s="47"/>
      <c r="AZ1065" s="47"/>
      <c r="BA1065" s="8" t="s">
        <v>470</v>
      </c>
      <c r="BB1065" s="8">
        <f>502+1000</f>
        <v>1502</v>
      </c>
      <c r="BC1065" s="47"/>
      <c r="BD1065" s="47"/>
      <c r="BE1065" s="8"/>
      <c r="BF1065" s="8"/>
      <c r="BG1065" s="47" t="s">
        <v>98</v>
      </c>
      <c r="BH1065" s="47">
        <v>480</v>
      </c>
      <c r="BI1065" s="8"/>
      <c r="BJ1065" s="3"/>
      <c r="BK1065" s="47"/>
      <c r="BL1065" s="47"/>
      <c r="BM1065" s="46"/>
      <c r="BN1065" s="46"/>
      <c r="BO1065" s="24">
        <f>AL1065+AN1065+AP1065+AR1065+AT1065+AV1065+AX1065+AZ1065+BB1065+BD1065+BF1065+BH1065+BJ1065+BL1065</f>
        <v>12082.5</v>
      </c>
      <c r="BP1065" s="28">
        <f>AJ1065-BO1065</f>
        <v>-469732.3055</v>
      </c>
      <c r="BQ1065" s="2">
        <v>45736</v>
      </c>
    </row>
    <row r="1066" spans="1:73" hidden="true">
      <c r="D1066" s="9" t="s">
        <v>10</v>
      </c>
      <c r="E1066" s="2">
        <v>45737</v>
      </c>
      <c r="F1066" s="38"/>
      <c r="G1066" s="127"/>
      <c r="H1066" s="4">
        <f>F389*50%</f>
        <v>1339.9</v>
      </c>
      <c r="I1066" s="120"/>
      <c r="J1066" s="4">
        <f>(G1066+H1066)-I1066</f>
        <v>1339.9</v>
      </c>
      <c r="K1066" s="4">
        <f>J1066+O1065</f>
        <v>138432.235</v>
      </c>
      <c r="L1066" s="113" t="s">
        <v>471</v>
      </c>
      <c r="M1066" s="3">
        <v>2000</v>
      </c>
      <c r="N1066" s="33">
        <f>I1066+M1066</f>
        <v>2000</v>
      </c>
      <c r="O1066" s="28">
        <f>K1066-M1066</f>
        <v>136432.235</v>
      </c>
      <c r="P1066" s="9" t="s">
        <v>10</v>
      </c>
      <c r="Q1066" s="2">
        <v>45737</v>
      </c>
      <c r="R1066" s="38"/>
      <c r="S1066" s="52"/>
      <c r="T1066" s="4">
        <f>R389*45%</f>
        <v>1660.5</v>
      </c>
      <c r="U1066" s="5"/>
      <c r="V1066" s="4">
        <f>(S1066+T1066)-U1066</f>
        <v>1660.5</v>
      </c>
      <c r="W1066" s="4">
        <f>V1066+AA1065</f>
        <v>60277.435</v>
      </c>
      <c r="X1066" s="3"/>
      <c r="Y1066" s="3"/>
      <c r="Z1066" s="25">
        <f>U1066+Y1066</f>
        <v>0</v>
      </c>
      <c r="AA1066" s="76">
        <f>W1066-Y1066</f>
        <v>60277.435</v>
      </c>
      <c r="AB1066" s="9" t="s">
        <v>10</v>
      </c>
      <c r="AC1066" s="19">
        <v>45737</v>
      </c>
      <c r="AD1066" s="41"/>
      <c r="AE1066" s="42"/>
      <c r="AF1066" s="4">
        <f>AD389-H1066-T1066</f>
        <v>3369.4</v>
      </c>
      <c r="AG1066" s="3"/>
      <c r="AH1066" s="8"/>
      <c r="AI1066" s="4">
        <f>(AE1066+AF1066)-AH1066</f>
        <v>3369.4</v>
      </c>
      <c r="AJ1066" s="4">
        <f>AI1066+BP1065</f>
        <v>-466362.9055</v>
      </c>
      <c r="AK1066" s="8"/>
      <c r="AL1066" s="8"/>
      <c r="AM1066" s="47"/>
      <c r="AN1066" s="47"/>
      <c r="AO1066" s="8"/>
      <c r="AP1066" s="8"/>
      <c r="AQ1066" s="47"/>
      <c r="AR1066" s="47"/>
      <c r="AS1066" s="8"/>
      <c r="AT1066" s="8"/>
      <c r="AU1066" s="47"/>
      <c r="AV1066" s="47"/>
      <c r="AW1066" s="8"/>
      <c r="AX1066" s="8"/>
      <c r="AY1066" s="47"/>
      <c r="AZ1066" s="47"/>
      <c r="BA1066" s="8" t="s">
        <v>341</v>
      </c>
      <c r="BB1066" s="8">
        <v>737.3</v>
      </c>
      <c r="BC1066" s="47"/>
      <c r="BD1066" s="47"/>
      <c r="BE1066" s="8"/>
      <c r="BF1066" s="8"/>
      <c r="BG1066" s="47"/>
      <c r="BH1066" s="47"/>
      <c r="BI1066" s="8"/>
      <c r="BJ1066" s="3"/>
      <c r="BK1066" s="47"/>
      <c r="BL1066" s="47"/>
      <c r="BM1066" s="46"/>
      <c r="BN1066" s="46"/>
      <c r="BO1066" s="24">
        <f>AL1066+AN1066+AP1066+AR1066+AT1066+AV1066+AX1066+AZ1066+BB1066+BD1066+BF1066+BH1066+BJ1066+BL1066</f>
        <v>737.3</v>
      </c>
      <c r="BP1066" s="28">
        <f>AJ1066-BO1066</f>
        <v>-467100.2055</v>
      </c>
      <c r="BQ1066" s="2">
        <v>45737</v>
      </c>
    </row>
    <row r="1067" spans="1:73" hidden="true">
      <c r="D1067" s="9" t="s">
        <v>11</v>
      </c>
      <c r="E1067" s="2">
        <v>45738</v>
      </c>
      <c r="F1067" s="38"/>
      <c r="G1067" s="127"/>
      <c r="H1067" s="4">
        <f>F390*50%</f>
        <v>1629.65</v>
      </c>
      <c r="I1067" s="120">
        <v>1552</v>
      </c>
      <c r="J1067" s="4">
        <f>(G1067+H1067)-I1067</f>
        <v>77.65</v>
      </c>
      <c r="K1067" s="4">
        <f>J1067+O1066</f>
        <v>136509.885</v>
      </c>
      <c r="L1067" s="3"/>
      <c r="M1067" s="3"/>
      <c r="N1067" s="33">
        <f>I1067+M1067</f>
        <v>1552</v>
      </c>
      <c r="O1067" s="28">
        <f>K1067-M1067</f>
        <v>136509.885</v>
      </c>
      <c r="P1067" s="9" t="s">
        <v>11</v>
      </c>
      <c r="Q1067" s="2">
        <v>45738</v>
      </c>
      <c r="R1067" s="38"/>
      <c r="S1067" s="52"/>
      <c r="T1067" s="4">
        <f>R390*45%</f>
        <v>908.37</v>
      </c>
      <c r="U1067" s="5"/>
      <c r="V1067" s="4">
        <f>(S1067+T1067)-U1067</f>
        <v>908.37</v>
      </c>
      <c r="W1067" s="4">
        <f>V1067+AA1066</f>
        <v>61185.805</v>
      </c>
      <c r="X1067" s="3" t="s">
        <v>472</v>
      </c>
      <c r="Y1067" s="3">
        <v>15000</v>
      </c>
      <c r="Z1067" s="25">
        <f>U1067+Y1067</f>
        <v>15000</v>
      </c>
      <c r="AA1067" s="76">
        <f>W1067-Y1067</f>
        <v>46185.805</v>
      </c>
      <c r="AB1067" s="9" t="s">
        <v>11</v>
      </c>
      <c r="AC1067" s="19">
        <v>45738</v>
      </c>
      <c r="AD1067" s="41"/>
      <c r="AE1067" s="42"/>
      <c r="AF1067" s="4">
        <f>AD390-H1067-T1067</f>
        <v>2739.88</v>
      </c>
      <c r="AG1067" s="3"/>
      <c r="AH1067" s="8"/>
      <c r="AI1067" s="4">
        <f>(AE1067+AF1067)-AH1067</f>
        <v>2739.88</v>
      </c>
      <c r="AJ1067" s="4">
        <f>AI1067+BP1066</f>
        <v>-464360.3255</v>
      </c>
      <c r="AK1067" s="8"/>
      <c r="AL1067" s="8"/>
      <c r="AM1067" s="47"/>
      <c r="AN1067" s="47"/>
      <c r="AO1067" s="8"/>
      <c r="AP1067" s="8"/>
      <c r="AQ1067" s="47"/>
      <c r="AR1067" s="47"/>
      <c r="AS1067" s="8" t="s">
        <v>473</v>
      </c>
      <c r="AT1067" s="8">
        <v>386</v>
      </c>
      <c r="AU1067" s="47"/>
      <c r="AV1067" s="47"/>
      <c r="AW1067" s="8"/>
      <c r="AX1067" s="8"/>
      <c r="AY1067" s="47"/>
      <c r="AZ1067" s="47"/>
      <c r="BA1067" s="8" t="s">
        <v>341</v>
      </c>
      <c r="BB1067" s="8">
        <v>164</v>
      </c>
      <c r="BC1067" s="47"/>
      <c r="BD1067" s="47"/>
      <c r="BE1067" s="8"/>
      <c r="BF1067" s="8"/>
      <c r="BG1067" s="47"/>
      <c r="BH1067" s="47"/>
      <c r="BI1067" s="8"/>
      <c r="BJ1067" s="3"/>
      <c r="BK1067" s="47"/>
      <c r="BL1067" s="47"/>
      <c r="BM1067" s="46"/>
      <c r="BN1067" s="46"/>
      <c r="BO1067" s="24">
        <f>AL1067+AN1067+AP1067+AR1067+AT1067+AV1067+AX1067+AZ1067+BB1067+BD1067+BF1067+BH1067+BJ1067+BL1067</f>
        <v>550</v>
      </c>
      <c r="BP1067" s="28">
        <f>AJ1067-BO1067</f>
        <v>-464910.3255</v>
      </c>
      <c r="BQ1067" s="2">
        <v>45738</v>
      </c>
    </row>
    <row r="1068" spans="1:73" hidden="true">
      <c r="D1068" s="9" t="s">
        <v>12</v>
      </c>
      <c r="E1068" s="2">
        <v>45739</v>
      </c>
      <c r="F1068" s="38"/>
      <c r="G1068" s="127"/>
      <c r="H1068" s="4">
        <f>F391*50%</f>
        <v>1415.95</v>
      </c>
      <c r="I1068" s="120"/>
      <c r="J1068" s="4">
        <f>(G1068+H1068)-I1068</f>
        <v>1415.95</v>
      </c>
      <c r="K1068" s="4">
        <f>J1068+O1067</f>
        <v>137925.835</v>
      </c>
      <c r="L1068" s="3"/>
      <c r="M1068" s="3"/>
      <c r="N1068" s="33">
        <f>I1068+M1068</f>
        <v>0</v>
      </c>
      <c r="O1068" s="28">
        <f>K1068-M1068</f>
        <v>137925.835</v>
      </c>
      <c r="P1068" s="9" t="s">
        <v>12</v>
      </c>
      <c r="Q1068" s="2">
        <v>45739</v>
      </c>
      <c r="R1068" s="38"/>
      <c r="S1068" s="52"/>
      <c r="T1068" s="4">
        <f>R391*45%</f>
        <v>1879.335</v>
      </c>
      <c r="U1068" s="5"/>
      <c r="V1068" s="4">
        <f>(S1068+T1068)-U1068</f>
        <v>1879.335</v>
      </c>
      <c r="W1068" s="4">
        <f>V1068+AA1067</f>
        <v>48065.14</v>
      </c>
      <c r="X1068" s="3"/>
      <c r="Y1068" s="3"/>
      <c r="Z1068" s="25">
        <f>U1068+Y1068</f>
        <v>0</v>
      </c>
      <c r="AA1068" s="76">
        <f>W1068-Y1068</f>
        <v>48065.14</v>
      </c>
      <c r="AB1068" s="9" t="s">
        <v>12</v>
      </c>
      <c r="AC1068" s="19">
        <v>45739</v>
      </c>
      <c r="AD1068" s="41"/>
      <c r="AE1068" s="42"/>
      <c r="AF1068" s="4">
        <f>AD391-H1068-T1068</f>
        <v>3712.915</v>
      </c>
      <c r="AG1068" s="3"/>
      <c r="AH1068" s="8"/>
      <c r="AI1068" s="4">
        <f>(AE1068+AF1068)-AH1068</f>
        <v>3712.915</v>
      </c>
      <c r="AJ1068" s="4">
        <f>AI1068+BP1067</f>
        <v>-461197.4105</v>
      </c>
      <c r="AK1068" s="8" t="s">
        <v>41</v>
      </c>
      <c r="AL1068" s="8">
        <v>2000</v>
      </c>
      <c r="AM1068" s="47"/>
      <c r="AN1068" s="47"/>
      <c r="AO1068" s="8"/>
      <c r="AP1068" s="8"/>
      <c r="AQ1068" s="47"/>
      <c r="AR1068" s="47"/>
      <c r="AS1068" s="8"/>
      <c r="AT1068" s="8"/>
      <c r="AU1068" s="47"/>
      <c r="AV1068" s="47"/>
      <c r="AW1068" s="8"/>
      <c r="AX1068" s="8"/>
      <c r="AY1068" s="47"/>
      <c r="AZ1068" s="47"/>
      <c r="BA1068" s="8" t="s">
        <v>341</v>
      </c>
      <c r="BB1068" s="8">
        <v>324</v>
      </c>
      <c r="BC1068" s="47"/>
      <c r="BD1068" s="47"/>
      <c r="BE1068" s="8"/>
      <c r="BF1068" s="8"/>
      <c r="BG1068" s="47"/>
      <c r="BH1068" s="47"/>
      <c r="BI1068" s="8"/>
      <c r="BJ1068" s="3"/>
      <c r="BK1068" s="47"/>
      <c r="BL1068" s="47"/>
      <c r="BM1068" s="46"/>
      <c r="BN1068" s="46"/>
      <c r="BO1068" s="24">
        <f>AL1068+AN1068+AP1068+AR1068+AT1068+AV1068+AX1068+AZ1068+BB1068+BD1068+BF1068+BH1068+BJ1068+BL1068</f>
        <v>2324</v>
      </c>
      <c r="BP1068" s="28">
        <f>AJ1068-BO1068</f>
        <v>-463521.4105</v>
      </c>
      <c r="BQ1068" s="2">
        <v>45739</v>
      </c>
    </row>
    <row r="1069" spans="1:73" hidden="true">
      <c r="D1069" s="9" t="s">
        <v>13</v>
      </c>
      <c r="E1069" s="2">
        <v>45740</v>
      </c>
      <c r="F1069" s="38" t="s">
        <v>378</v>
      </c>
      <c r="G1069" s="127">
        <v>9100</v>
      </c>
      <c r="H1069" s="4">
        <f>F392*50%</f>
        <v>1384.8</v>
      </c>
      <c r="I1069" s="120"/>
      <c r="J1069" s="4">
        <f>(G1069+H1069)-I1069</f>
        <v>10484.8</v>
      </c>
      <c r="K1069" s="4">
        <f>J1069+O1068</f>
        <v>148410.635</v>
      </c>
      <c r="L1069" s="3"/>
      <c r="M1069" s="3"/>
      <c r="N1069" s="33">
        <f>I1069+M1069</f>
        <v>0</v>
      </c>
      <c r="O1069" s="28">
        <f>K1069-M1069</f>
        <v>148410.635</v>
      </c>
      <c r="P1069" s="9" t="s">
        <v>13</v>
      </c>
      <c r="Q1069" s="2">
        <v>45740</v>
      </c>
      <c r="R1069" s="38"/>
      <c r="S1069" s="52"/>
      <c r="T1069" s="4">
        <f>R392*45%</f>
        <v>1282.005</v>
      </c>
      <c r="U1069" s="5"/>
      <c r="V1069" s="4">
        <f>(S1069+T1069)-U1069</f>
        <v>1282.005</v>
      </c>
      <c r="W1069" s="4">
        <f>V1069+AA1068</f>
        <v>49347.145</v>
      </c>
      <c r="X1069" s="3"/>
      <c r="Y1069" s="3"/>
      <c r="Z1069" s="25">
        <f>U1069+Y1069</f>
        <v>0</v>
      </c>
      <c r="AA1069" s="76">
        <f>W1069-Y1069</f>
        <v>49347.145</v>
      </c>
      <c r="AB1069" s="9" t="s">
        <v>13</v>
      </c>
      <c r="AC1069" s="19">
        <v>45740</v>
      </c>
      <c r="AD1069" s="41"/>
      <c r="AE1069" s="42"/>
      <c r="AF1069" s="4">
        <f>AD392-H1069-T1069</f>
        <v>2951.695</v>
      </c>
      <c r="AG1069" s="3"/>
      <c r="AH1069" s="8"/>
      <c r="AI1069" s="4">
        <f>(AE1069+AF1069)-AH1069</f>
        <v>2951.695</v>
      </c>
      <c r="AJ1069" s="4">
        <f>AI1069+BP1068</f>
        <v>-460569.7155</v>
      </c>
      <c r="AK1069" s="8" t="s">
        <v>436</v>
      </c>
      <c r="AL1069" s="8">
        <f>2000+2400</f>
        <v>4400</v>
      </c>
      <c r="AM1069" s="47" t="s">
        <v>364</v>
      </c>
      <c r="AN1069" s="47">
        <v>2000</v>
      </c>
      <c r="AO1069" s="8"/>
      <c r="AP1069" s="8"/>
      <c r="AQ1069" s="47" t="s">
        <v>167</v>
      </c>
      <c r="AR1069" s="47">
        <v>250</v>
      </c>
      <c r="AS1069" s="8"/>
      <c r="AT1069" s="8"/>
      <c r="AU1069" s="47"/>
      <c r="AV1069" s="47"/>
      <c r="AW1069" s="8"/>
      <c r="AX1069" s="8"/>
      <c r="AY1069" s="47"/>
      <c r="AZ1069" s="47"/>
      <c r="BA1069" s="8" t="s">
        <v>341</v>
      </c>
      <c r="BB1069" s="8">
        <v>533</v>
      </c>
      <c r="BC1069" s="47" t="s">
        <v>474</v>
      </c>
      <c r="BD1069" s="47">
        <v>130</v>
      </c>
      <c r="BE1069" s="8"/>
      <c r="BF1069" s="8"/>
      <c r="BG1069" s="47" t="s">
        <v>98</v>
      </c>
      <c r="BH1069" s="47">
        <f>500</f>
        <v>500</v>
      </c>
      <c r="BI1069" s="8"/>
      <c r="BJ1069" s="3"/>
      <c r="BK1069" s="47"/>
      <c r="BL1069" s="47"/>
      <c r="BM1069" s="46"/>
      <c r="BN1069" s="46"/>
      <c r="BO1069" s="24">
        <f>AL1069+AN1069+AP1069+AR1069+AT1069+AV1069+AX1069+AZ1069+BB1069+BD1069+BF1069+BH1069+BJ1069+BL1069</f>
        <v>7813</v>
      </c>
      <c r="BP1069" s="28">
        <f>AJ1069-BO1069</f>
        <v>-468382.7155</v>
      </c>
      <c r="BQ1069" s="2">
        <v>45740</v>
      </c>
    </row>
    <row r="1070" spans="1:73" hidden="true">
      <c r="D1070" s="9" t="s">
        <v>14</v>
      </c>
      <c r="E1070" s="2">
        <v>45741</v>
      </c>
      <c r="F1070" s="38"/>
      <c r="G1070" s="127"/>
      <c r="H1070" s="4">
        <f>F393*50%</f>
        <v>1114.95</v>
      </c>
      <c r="I1070" s="120"/>
      <c r="J1070" s="4">
        <f>(G1070+H1070)-I1070</f>
        <v>1114.95</v>
      </c>
      <c r="K1070" s="4">
        <f>J1070+O1069</f>
        <v>149525.585</v>
      </c>
      <c r="L1070" s="3"/>
      <c r="M1070" s="3"/>
      <c r="N1070" s="33">
        <f>I1070+M1070</f>
        <v>0</v>
      </c>
      <c r="O1070" s="28">
        <f>K1070-M1070</f>
        <v>149525.585</v>
      </c>
      <c r="P1070" s="9" t="s">
        <v>14</v>
      </c>
      <c r="Q1070" s="2">
        <v>45741</v>
      </c>
      <c r="R1070" s="38"/>
      <c r="S1070" s="52"/>
      <c r="T1070" s="4">
        <f>R393*45%</f>
        <v>2578.905</v>
      </c>
      <c r="U1070" s="5"/>
      <c r="V1070" s="4">
        <f>(S1070+T1070)-U1070</f>
        <v>2578.905</v>
      </c>
      <c r="W1070" s="4">
        <f>V1070+AA1069</f>
        <v>51926.05</v>
      </c>
      <c r="X1070" s="3" t="s">
        <v>475</v>
      </c>
      <c r="Y1070" s="3">
        <v>7320</v>
      </c>
      <c r="Z1070" s="25">
        <f>U1070+Y1070</f>
        <v>7320</v>
      </c>
      <c r="AA1070" s="76">
        <f>W1070-Y1070</f>
        <v>44606.05</v>
      </c>
      <c r="AB1070" s="9" t="s">
        <v>14</v>
      </c>
      <c r="AC1070" s="19">
        <v>45741</v>
      </c>
      <c r="AD1070" s="41"/>
      <c r="AE1070" s="42"/>
      <c r="AF1070" s="4">
        <f>AD393-H1070-T1070</f>
        <v>4266.945</v>
      </c>
      <c r="AG1070" s="3"/>
      <c r="AH1070" s="8"/>
      <c r="AI1070" s="4">
        <f>(AE1070+AF1070)-AH1070</f>
        <v>4266.945</v>
      </c>
      <c r="AJ1070" s="4">
        <f>AI1070+BP1069</f>
        <v>-464115.7705</v>
      </c>
      <c r="AK1070" s="8" t="s">
        <v>41</v>
      </c>
      <c r="AL1070" s="8">
        <v>2782.05</v>
      </c>
      <c r="AM1070" s="47"/>
      <c r="AN1070" s="47"/>
      <c r="AO1070" s="8"/>
      <c r="AP1070" s="8"/>
      <c r="AQ1070" s="47"/>
      <c r="AR1070" s="47"/>
      <c r="AS1070" s="8"/>
      <c r="AT1070" s="8"/>
      <c r="AU1070" s="47"/>
      <c r="AV1070" s="47"/>
      <c r="AW1070" s="8"/>
      <c r="AX1070" s="8"/>
      <c r="AY1070" s="47"/>
      <c r="AZ1070" s="47"/>
      <c r="BA1070" s="8" t="s">
        <v>341</v>
      </c>
      <c r="BB1070" s="8">
        <v>617</v>
      </c>
      <c r="BC1070" s="47"/>
      <c r="BD1070" s="47"/>
      <c r="BE1070" s="8" t="s">
        <v>476</v>
      </c>
      <c r="BF1070" s="8">
        <v>1000</v>
      </c>
      <c r="BG1070" s="47" t="s">
        <v>98</v>
      </c>
      <c r="BH1070" s="47">
        <v>500</v>
      </c>
      <c r="BI1070" s="8"/>
      <c r="BJ1070" s="3"/>
      <c r="BK1070" s="47"/>
      <c r="BL1070" s="47"/>
      <c r="BM1070" s="46"/>
      <c r="BN1070" s="46"/>
      <c r="BO1070" s="24">
        <f>AL1070+AN1070+AP1070+AR1070+AT1070+AV1070+AX1070+AZ1070+BB1070+BD1070+BF1070+BH1070+BJ1070+BL1070</f>
        <v>4899.05</v>
      </c>
      <c r="BP1070" s="28">
        <f>AJ1070-BO1070</f>
        <v>-469014.8205</v>
      </c>
      <c r="BQ1070" s="2">
        <v>45741</v>
      </c>
    </row>
    <row r="1071" spans="1:73" hidden="true">
      <c r="D1071" s="9" t="s">
        <v>15</v>
      </c>
      <c r="E1071" s="2">
        <v>45742</v>
      </c>
      <c r="F1071" s="38" t="s">
        <v>378</v>
      </c>
      <c r="G1071" s="127">
        <v>20000</v>
      </c>
      <c r="H1071" s="4">
        <f>F394*50%</f>
        <v>2483.975</v>
      </c>
      <c r="I1071" s="120">
        <f>3596.1+4050+347</f>
        <v>7993.1</v>
      </c>
      <c r="J1071" s="4">
        <f>(G1071+H1071)-I1071</f>
        <v>14490.875</v>
      </c>
      <c r="K1071" s="4">
        <f>J1071+O1070</f>
        <v>164016.46</v>
      </c>
      <c r="L1071" s="3"/>
      <c r="M1071" s="3"/>
      <c r="N1071" s="33">
        <f>I1071+M1071</f>
        <v>7993.1</v>
      </c>
      <c r="O1071" s="28">
        <f>K1071-M1071</f>
        <v>164016.46</v>
      </c>
      <c r="P1071" s="9" t="s">
        <v>15</v>
      </c>
      <c r="Q1071" s="2">
        <v>45742</v>
      </c>
      <c r="R1071" s="38"/>
      <c r="S1071" s="52"/>
      <c r="T1071" s="4">
        <f>R394*45%</f>
        <v>2625.12</v>
      </c>
      <c r="U1071" s="5"/>
      <c r="V1071" s="4">
        <f>(S1071+T1071)-U1071</f>
        <v>2625.12</v>
      </c>
      <c r="W1071" s="4">
        <f>V1071+AA1070</f>
        <v>47231.17</v>
      </c>
      <c r="X1071" s="3"/>
      <c r="Y1071" s="3"/>
      <c r="Z1071" s="25">
        <f>U1071+Y1071</f>
        <v>0</v>
      </c>
      <c r="AA1071" s="76">
        <f>W1071-Y1071</f>
        <v>47231.17</v>
      </c>
      <c r="AB1071" s="9" t="s">
        <v>15</v>
      </c>
      <c r="AC1071" s="19">
        <v>45742</v>
      </c>
      <c r="AD1071" s="41"/>
      <c r="AE1071" s="42"/>
      <c r="AF1071" s="4">
        <f>AD394-H1071-T1071</f>
        <v>5692.455</v>
      </c>
      <c r="AG1071" s="3"/>
      <c r="AH1071" s="8"/>
      <c r="AI1071" s="4">
        <f>(AE1071+AF1071)-AH1071</f>
        <v>5692.455</v>
      </c>
      <c r="AJ1071" s="4">
        <f>AI1071+BP1070</f>
        <v>-463322.3655</v>
      </c>
      <c r="AK1071" s="8" t="s">
        <v>41</v>
      </c>
      <c r="AL1071" s="8">
        <v>500</v>
      </c>
      <c r="AM1071" s="47"/>
      <c r="AN1071" s="47"/>
      <c r="AO1071" s="8" t="s">
        <v>477</v>
      </c>
      <c r="AP1071" s="8">
        <v>8000</v>
      </c>
      <c r="AQ1071" s="47" t="s">
        <v>167</v>
      </c>
      <c r="AR1071" s="47">
        <v>67</v>
      </c>
      <c r="AS1071" s="8"/>
      <c r="AT1071" s="8"/>
      <c r="AU1071" s="47"/>
      <c r="AV1071" s="47"/>
      <c r="AW1071" s="8"/>
      <c r="AX1071" s="8"/>
      <c r="AY1071" s="47"/>
      <c r="AZ1071" s="47"/>
      <c r="BA1071" s="8" t="s">
        <v>341</v>
      </c>
      <c r="BB1071" s="8">
        <v>608</v>
      </c>
      <c r="BC1071" s="47"/>
      <c r="BD1071" s="47"/>
      <c r="BE1071" s="8" t="s">
        <v>476</v>
      </c>
      <c r="BF1071" s="8">
        <v>3000</v>
      </c>
      <c r="BG1071" s="47"/>
      <c r="BH1071" s="47"/>
      <c r="BI1071" s="8"/>
      <c r="BJ1071" s="3"/>
      <c r="BK1071" s="47"/>
      <c r="BL1071" s="47"/>
      <c r="BM1071" s="46"/>
      <c r="BN1071" s="46"/>
      <c r="BO1071" s="24">
        <f>AL1071+AN1071+AP1071+AR1071+AT1071+AV1071+AX1071+AZ1071+BB1071+BD1071+BF1071+BH1071+BJ1071+BL1071</f>
        <v>12175</v>
      </c>
      <c r="BP1071" s="28">
        <f>AJ1071-BO1071</f>
        <v>-475497.3655</v>
      </c>
      <c r="BQ1071" s="2">
        <v>45742</v>
      </c>
    </row>
    <row r="1072" spans="1:73" hidden="true">
      <c r="D1072" s="9" t="s">
        <v>16</v>
      </c>
      <c r="E1072" s="2">
        <v>45743</v>
      </c>
      <c r="F1072" s="38" t="s">
        <v>378</v>
      </c>
      <c r="G1072" s="127">
        <v>53964</v>
      </c>
      <c r="H1072" s="4">
        <f>F395*50%</f>
        <v>1381</v>
      </c>
      <c r="I1072" s="120">
        <f>1684+2896+4389.62+2377+1125+400+539.4+385+850</f>
        <v>14646.02</v>
      </c>
      <c r="J1072" s="4">
        <f>(G1072+H1072)-I1072</f>
        <v>40698.98</v>
      </c>
      <c r="K1072" s="4">
        <f>J1072+O1071</f>
        <v>204715.44</v>
      </c>
      <c r="L1072" s="3"/>
      <c r="M1072" s="3"/>
      <c r="N1072" s="33">
        <f>I1072+M1072</f>
        <v>14646.02</v>
      </c>
      <c r="O1072" s="28">
        <f>K1072-M1072</f>
        <v>204715.44</v>
      </c>
      <c r="P1072" s="9" t="s">
        <v>16</v>
      </c>
      <c r="Q1072" s="2">
        <v>45743</v>
      </c>
      <c r="R1072" s="38"/>
      <c r="S1072" s="52"/>
      <c r="T1072" s="4">
        <f>R395*45%</f>
        <v>2476.8</v>
      </c>
      <c r="U1072" s="5"/>
      <c r="V1072" s="4">
        <f>(S1072+T1072)-U1072</f>
        <v>2476.8</v>
      </c>
      <c r="W1072" s="4">
        <f>V1072+AA1071</f>
        <v>49707.97</v>
      </c>
      <c r="X1072" s="3"/>
      <c r="Y1072" s="3"/>
      <c r="Z1072" s="25">
        <f>U1072+Y1072</f>
        <v>0</v>
      </c>
      <c r="AA1072" s="76">
        <f>W1072-Y1072</f>
        <v>49707.97</v>
      </c>
      <c r="AB1072" s="9" t="s">
        <v>16</v>
      </c>
      <c r="AC1072" s="19">
        <v>45743</v>
      </c>
      <c r="AD1072" s="41"/>
      <c r="AE1072" s="42"/>
      <c r="AF1072" s="4">
        <f>AD395-H1072-T1072</f>
        <v>4408.2</v>
      </c>
      <c r="AG1072" s="3"/>
      <c r="AH1072" s="8"/>
      <c r="AI1072" s="4">
        <f>(AE1072+AF1072)-AH1072</f>
        <v>4408.2</v>
      </c>
      <c r="AJ1072" s="4">
        <f>AI1072+BP1071</f>
        <v>-471089.1655</v>
      </c>
      <c r="AK1072" s="8" t="s">
        <v>41</v>
      </c>
      <c r="AL1072" s="8">
        <f>5013.84+728+2685.84</f>
        <v>8427.68</v>
      </c>
      <c r="AM1072" s="47" t="s">
        <v>478</v>
      </c>
      <c r="AN1072" s="47">
        <f>8342.71+ 8297.55+6000</f>
        <v>22640.26</v>
      </c>
      <c r="AO1072" s="8"/>
      <c r="AP1072" s="8"/>
      <c r="AQ1072" s="47"/>
      <c r="AR1072" s="47"/>
      <c r="AS1072" s="8"/>
      <c r="AT1072" s="8"/>
      <c r="AU1072" s="47"/>
      <c r="AV1072" s="47"/>
      <c r="AW1072" s="8"/>
      <c r="AX1072" s="8"/>
      <c r="AY1072" s="47"/>
      <c r="AZ1072" s="47"/>
      <c r="BA1072" s="8" t="s">
        <v>479</v>
      </c>
      <c r="BB1072" s="8">
        <f>474.5</f>
        <v>474.5</v>
      </c>
      <c r="BC1072" s="47" t="s">
        <v>480</v>
      </c>
      <c r="BD1072" s="47">
        <f>7100+390</f>
        <v>7490</v>
      </c>
      <c r="BE1072" s="8" t="s">
        <v>481</v>
      </c>
      <c r="BF1072" s="8">
        <f>7000+7000</f>
        <v>14000</v>
      </c>
      <c r="BG1072" s="47"/>
      <c r="BH1072" s="47"/>
      <c r="BI1072" s="8"/>
      <c r="BJ1072" s="3"/>
      <c r="BK1072" s="47"/>
      <c r="BL1072" s="47"/>
      <c r="BM1072" s="46"/>
      <c r="BN1072" s="46"/>
      <c r="BO1072" s="24">
        <f>AL1072+AN1072+AP1072+AR1072+AT1072+AV1072+AX1072+AZ1072+BB1072+BD1072+BF1072+BH1072+BJ1072+BL1072</f>
        <v>53032.44</v>
      </c>
      <c r="BP1072" s="28">
        <f>AJ1072-BO1072</f>
        <v>-524121.6055</v>
      </c>
      <c r="BQ1072" s="2">
        <v>45743</v>
      </c>
    </row>
    <row r="1073" spans="1:73" hidden="true">
      <c r="D1073" s="9" t="s">
        <v>10</v>
      </c>
      <c r="E1073" s="2">
        <v>45744</v>
      </c>
      <c r="F1073" s="38"/>
      <c r="G1073" s="126"/>
      <c r="H1073" s="4">
        <f>F396*50%</f>
        <v>2526.1</v>
      </c>
      <c r="I1073" s="120"/>
      <c r="J1073" s="4">
        <f>(G1073+H1073)-I1073</f>
        <v>2526.1</v>
      </c>
      <c r="K1073" s="4">
        <f>J1073+O1072</f>
        <v>207241.54</v>
      </c>
      <c r="L1073" s="3"/>
      <c r="M1073" s="3"/>
      <c r="N1073" s="33">
        <f>I1073+M1073</f>
        <v>0</v>
      </c>
      <c r="O1073" s="28">
        <f>K1073-M1073</f>
        <v>207241.54</v>
      </c>
      <c r="P1073" s="9" t="s">
        <v>10</v>
      </c>
      <c r="Q1073" s="2">
        <v>45744</v>
      </c>
      <c r="R1073" s="38"/>
      <c r="S1073" s="52"/>
      <c r="T1073" s="4">
        <f>R396*45%</f>
        <v>2501.46</v>
      </c>
      <c r="U1073" s="5"/>
      <c r="V1073" s="4">
        <f>(S1073+T1073)-U1073</f>
        <v>2501.46</v>
      </c>
      <c r="W1073" s="4">
        <f>V1073+AA1072</f>
        <v>52209.43</v>
      </c>
      <c r="X1073" s="3" t="s">
        <v>482</v>
      </c>
      <c r="Y1073" s="3">
        <v>15695</v>
      </c>
      <c r="Z1073" s="25">
        <f>U1073+Y1073</f>
        <v>15695</v>
      </c>
      <c r="AA1073" s="76">
        <f>W1073-Y1073</f>
        <v>36514.43</v>
      </c>
      <c r="AB1073" s="9" t="s">
        <v>10</v>
      </c>
      <c r="AC1073" s="19">
        <v>45744</v>
      </c>
      <c r="AD1073" s="41"/>
      <c r="AE1073" s="42"/>
      <c r="AF1073" s="4">
        <f>AD396-H1073-T1073</f>
        <v>5583.44</v>
      </c>
      <c r="AG1073" s="3"/>
      <c r="AH1073" s="8"/>
      <c r="AI1073" s="4">
        <f>(AE1073+AF1073)-AH1073</f>
        <v>5583.44</v>
      </c>
      <c r="AJ1073" s="4">
        <f>AI1073+BP1072</f>
        <v>-518538.1655</v>
      </c>
      <c r="AK1073" s="8" t="s">
        <v>41</v>
      </c>
      <c r="AL1073" s="8">
        <v>4060</v>
      </c>
      <c r="AM1073" s="47"/>
      <c r="AN1073" s="47"/>
      <c r="AO1073" s="8"/>
      <c r="AP1073" s="8"/>
      <c r="AQ1073" s="47"/>
      <c r="AR1073" s="47"/>
      <c r="AS1073" s="8"/>
      <c r="AT1073" s="8"/>
      <c r="AU1073" s="47"/>
      <c r="AV1073" s="47"/>
      <c r="AW1073" s="8"/>
      <c r="AX1073" s="8"/>
      <c r="AY1073" s="47"/>
      <c r="AZ1073" s="47"/>
      <c r="BA1073" s="8" t="s">
        <v>341</v>
      </c>
      <c r="BB1073" s="8">
        <v>450.6</v>
      </c>
      <c r="BC1073" s="47"/>
      <c r="BD1073" s="47"/>
      <c r="BE1073" s="8" t="s">
        <v>461</v>
      </c>
      <c r="BF1073" s="8">
        <v>3400</v>
      </c>
      <c r="BG1073" s="47" t="s">
        <v>98</v>
      </c>
      <c r="BH1073" s="47">
        <f>550</f>
        <v>550</v>
      </c>
      <c r="BI1073" s="8"/>
      <c r="BJ1073" s="3"/>
      <c r="BK1073" s="47" t="s">
        <v>483</v>
      </c>
      <c r="BL1073" s="47">
        <f>5000+5000</f>
        <v>10000</v>
      </c>
      <c r="BM1073" s="46"/>
      <c r="BN1073" s="46"/>
      <c r="BO1073" s="24">
        <f>AL1073+AN1073+AP1073+AR1073+AT1073+AV1073+AX1073+AZ1073+BB1073+BD1073+BF1073+BH1073+BJ1073+BL1073</f>
        <v>18460.6</v>
      </c>
      <c r="BP1073" s="28">
        <f>AJ1073-BO1073</f>
        <v>-536998.7655</v>
      </c>
      <c r="BQ1073" s="2">
        <v>45744</v>
      </c>
    </row>
    <row r="1074" spans="1:73" hidden="true">
      <c r="D1074" s="9" t="s">
        <v>11</v>
      </c>
      <c r="E1074" s="2">
        <v>45745</v>
      </c>
      <c r="F1074" s="38"/>
      <c r="G1074" s="126"/>
      <c r="H1074" s="4">
        <f>F397*50%</f>
        <v>3476.725</v>
      </c>
      <c r="I1074" s="120"/>
      <c r="J1074" s="4">
        <f>(G1074+H1074)-I1074</f>
        <v>3476.725</v>
      </c>
      <c r="K1074" s="4">
        <f>J1074+O1073</f>
        <v>210718.265</v>
      </c>
      <c r="L1074" s="3"/>
      <c r="M1074" s="3"/>
      <c r="N1074" s="33">
        <f>I1074+M1074</f>
        <v>0</v>
      </c>
      <c r="O1074" s="28">
        <f>K1074-M1074</f>
        <v>210718.265</v>
      </c>
      <c r="P1074" s="9" t="s">
        <v>11</v>
      </c>
      <c r="Q1074" s="2">
        <v>45745</v>
      </c>
      <c r="R1074" s="38"/>
      <c r="S1074" s="52"/>
      <c r="T1074" s="4">
        <f>R397*45%</f>
        <v>1875.87</v>
      </c>
      <c r="U1074" s="5"/>
      <c r="V1074" s="4">
        <f>(S1074+T1074)-U1074</f>
        <v>1875.87</v>
      </c>
      <c r="W1074" s="4">
        <f>V1074+AA1073</f>
        <v>38390.3</v>
      </c>
      <c r="X1074" s="3"/>
      <c r="Y1074" s="3"/>
      <c r="Z1074" s="25">
        <f>U1074+Y1074</f>
        <v>0</v>
      </c>
      <c r="AA1074" s="76">
        <f>W1074-Y1074</f>
        <v>38390.3</v>
      </c>
      <c r="AB1074" s="9" t="s">
        <v>11</v>
      </c>
      <c r="AC1074" s="19">
        <v>45745</v>
      </c>
      <c r="AD1074" s="41"/>
      <c r="AE1074" s="42"/>
      <c r="AF1074" s="4">
        <f>AD397-H1074-T1074</f>
        <v>5769.455</v>
      </c>
      <c r="AG1074" s="3"/>
      <c r="AH1074" s="8"/>
      <c r="AI1074" s="4">
        <f>(AE1074+AF1074)-AH1074</f>
        <v>5769.455</v>
      </c>
      <c r="AJ1074" s="4">
        <f>AI1074+BP1073</f>
        <v>-531229.3105</v>
      </c>
      <c r="AK1074" s="8" t="s">
        <v>41</v>
      </c>
      <c r="AL1074" s="8">
        <v>2091</v>
      </c>
      <c r="AM1074" s="47"/>
      <c r="AN1074" s="47"/>
      <c r="AO1074" s="8"/>
      <c r="AP1074" s="8"/>
      <c r="AQ1074" s="47"/>
      <c r="AR1074" s="47"/>
      <c r="AS1074" s="8"/>
      <c r="AT1074" s="8"/>
      <c r="AU1074" s="47"/>
      <c r="AV1074" s="47"/>
      <c r="AW1074" s="8"/>
      <c r="AX1074" s="8"/>
      <c r="AY1074" s="47"/>
      <c r="AZ1074" s="47"/>
      <c r="BA1074" s="8" t="s">
        <v>341</v>
      </c>
      <c r="BB1074" s="8">
        <v>364.3</v>
      </c>
      <c r="BC1074" s="47"/>
      <c r="BD1074" s="47"/>
      <c r="BE1074" s="8"/>
      <c r="BF1074" s="8"/>
      <c r="BG1074" s="47"/>
      <c r="BH1074" s="47"/>
      <c r="BI1074" s="8"/>
      <c r="BJ1074" s="3"/>
      <c r="BK1074" s="47"/>
      <c r="BL1074" s="47"/>
      <c r="BM1074" s="46"/>
      <c r="BN1074" s="46"/>
      <c r="BO1074" s="24">
        <f>AL1074+AN1074+AP1074+AR1074+AT1074+AV1074+AX1074+AZ1074+BB1074+BD1074+BF1074+BH1074+BJ1074+BL1074</f>
        <v>2455.3</v>
      </c>
      <c r="BP1074" s="28">
        <f>AJ1074-BO1074</f>
        <v>-533684.6105</v>
      </c>
      <c r="BQ1074" s="2">
        <v>45745</v>
      </c>
    </row>
    <row r="1075" spans="1:73" hidden="true">
      <c r="D1075" s="9" t="s">
        <v>12</v>
      </c>
      <c r="E1075" s="2">
        <v>45746</v>
      </c>
      <c r="F1075" s="38"/>
      <c r="G1075" s="126"/>
      <c r="H1075" s="4">
        <f>F398*50%</f>
        <v>1779</v>
      </c>
      <c r="I1075" s="120"/>
      <c r="J1075" s="4">
        <f>(G1075+H1075)-I1075</f>
        <v>1779</v>
      </c>
      <c r="K1075" s="4">
        <f>J1075+O1074</f>
        <v>212497.265</v>
      </c>
      <c r="L1075" s="3"/>
      <c r="M1075" s="3"/>
      <c r="N1075" s="33">
        <f>I1075+M1075</f>
        <v>0</v>
      </c>
      <c r="O1075" s="28">
        <f>K1075-M1075</f>
        <v>212497.265</v>
      </c>
      <c r="P1075" s="9" t="s">
        <v>12</v>
      </c>
      <c r="Q1075" s="2">
        <v>45746</v>
      </c>
      <c r="R1075" s="38"/>
      <c r="S1075" s="52"/>
      <c r="T1075" s="4">
        <f>R398*45%</f>
        <v>2133</v>
      </c>
      <c r="U1075" s="5"/>
      <c r="V1075" s="4">
        <f>(S1075+T1075)-U1075</f>
        <v>2133</v>
      </c>
      <c r="W1075" s="4">
        <f>V1075+AA1074</f>
        <v>40523.3</v>
      </c>
      <c r="X1075" s="3"/>
      <c r="Y1075" s="3"/>
      <c r="Z1075" s="25">
        <f>U1075+Y1075</f>
        <v>0</v>
      </c>
      <c r="AA1075" s="76">
        <f>W1075-Y1075</f>
        <v>40523.3</v>
      </c>
      <c r="AB1075" s="9" t="s">
        <v>12</v>
      </c>
      <c r="AC1075" s="19">
        <v>45746</v>
      </c>
      <c r="AD1075" s="41"/>
      <c r="AE1075" s="42"/>
      <c r="AF1075" s="4">
        <f>AD398-H1075-T1075</f>
        <v>4386</v>
      </c>
      <c r="AG1075" s="3"/>
      <c r="AH1075" s="8"/>
      <c r="AI1075" s="4">
        <f>(AE1075+AF1075)-AH1075</f>
        <v>4386</v>
      </c>
      <c r="AJ1075" s="4">
        <f>AI1075+BP1074</f>
        <v>-529298.6105</v>
      </c>
      <c r="AK1075" s="8" t="s">
        <v>41</v>
      </c>
      <c r="AL1075" s="8">
        <v>2000</v>
      </c>
      <c r="AM1075" s="47"/>
      <c r="AN1075" s="47"/>
      <c r="AO1075" s="8"/>
      <c r="AP1075" s="8"/>
      <c r="AQ1075" s="47"/>
      <c r="AR1075" s="47"/>
      <c r="AS1075" s="8"/>
      <c r="AT1075" s="8"/>
      <c r="AU1075" s="47"/>
      <c r="AV1075" s="47"/>
      <c r="AW1075" s="8"/>
      <c r="AX1075" s="8"/>
      <c r="AY1075" s="47"/>
      <c r="AZ1075" s="47"/>
      <c r="BA1075" s="8" t="s">
        <v>341</v>
      </c>
      <c r="BB1075" s="8">
        <v>379</v>
      </c>
      <c r="BC1075" s="47"/>
      <c r="BD1075" s="47"/>
      <c r="BE1075" s="8"/>
      <c r="BF1075" s="8"/>
      <c r="BG1075" s="47"/>
      <c r="BH1075" s="47"/>
      <c r="BI1075" s="8"/>
      <c r="BJ1075" s="3"/>
      <c r="BK1075" s="47"/>
      <c r="BL1075" s="47"/>
      <c r="BM1075" s="46"/>
      <c r="BN1075" s="46"/>
      <c r="BO1075" s="24">
        <f>AL1075+AN1075+AP1075+AR1075+AT1075+AV1075+AX1075+AZ1075+BB1075+BD1075+BF1075+BH1075+BJ1075+BL1075</f>
        <v>2379</v>
      </c>
      <c r="BP1075" s="28">
        <f>AJ1075-BO1075</f>
        <v>-531677.6105</v>
      </c>
      <c r="BQ1075" s="2">
        <v>45746</v>
      </c>
    </row>
    <row r="1076" spans="1:73" hidden="true">
      <c r="D1076" s="9" t="s">
        <v>13</v>
      </c>
      <c r="E1076" s="2">
        <v>45747</v>
      </c>
      <c r="F1076" s="38"/>
      <c r="G1076" s="126"/>
      <c r="H1076" s="4">
        <f>F399*50%</f>
        <v>1159.875</v>
      </c>
      <c r="I1076" s="120"/>
      <c r="J1076" s="4">
        <f>(G1076+H1076)-I1076</f>
        <v>1159.875</v>
      </c>
      <c r="K1076" s="4">
        <f>J1076+O1075</f>
        <v>213657.14</v>
      </c>
      <c r="L1076" s="3"/>
      <c r="M1076" s="3"/>
      <c r="N1076" s="33">
        <f>I1076+M1076</f>
        <v>0</v>
      </c>
      <c r="O1076" s="28">
        <f>K1076-M1076</f>
        <v>213657.14</v>
      </c>
      <c r="P1076" s="9" t="s">
        <v>13</v>
      </c>
      <c r="Q1076" s="2">
        <v>45747</v>
      </c>
      <c r="R1076" s="38"/>
      <c r="S1076" s="52"/>
      <c r="T1076" s="4">
        <f>R399*45%</f>
        <v>462.96</v>
      </c>
      <c r="U1076" s="5"/>
      <c r="V1076" s="4">
        <f>(S1076+T1076)-U1076</f>
        <v>462.96</v>
      </c>
      <c r="W1076" s="4">
        <f>V1076+AA1075</f>
        <v>40986.26</v>
      </c>
      <c r="X1076" s="3"/>
      <c r="Y1076" s="3"/>
      <c r="Z1076" s="25">
        <f>U1076+Y1076</f>
        <v>0</v>
      </c>
      <c r="AA1076" s="76">
        <f>W1076-Y1076</f>
        <v>40986.26</v>
      </c>
      <c r="AB1076" s="9" t="s">
        <v>13</v>
      </c>
      <c r="AC1076" s="19">
        <v>45747</v>
      </c>
      <c r="AD1076" s="41"/>
      <c r="AE1076" s="42"/>
      <c r="AF1076" s="4">
        <f>AD399-H1076-T1076</f>
        <v>1725.715</v>
      </c>
      <c r="AG1076" s="3"/>
      <c r="AH1076" s="8"/>
      <c r="AI1076" s="4">
        <f>(AE1076+AF1076)-AH1076</f>
        <v>1725.715</v>
      </c>
      <c r="AJ1076" s="4">
        <f>AI1076+BP1075</f>
        <v>-529951.8955</v>
      </c>
      <c r="AK1076" s="8" t="s">
        <v>41</v>
      </c>
      <c r="AL1076" s="8">
        <v>2800</v>
      </c>
      <c r="AM1076" s="47"/>
      <c r="AN1076" s="47"/>
      <c r="AO1076" s="8"/>
      <c r="AP1076" s="8"/>
      <c r="AQ1076" s="47"/>
      <c r="AR1076" s="47"/>
      <c r="AS1076" s="8"/>
      <c r="AT1076" s="8"/>
      <c r="AU1076" s="47"/>
      <c r="AV1076" s="47"/>
      <c r="AW1076" s="8"/>
      <c r="AX1076" s="8"/>
      <c r="AY1076" s="47"/>
      <c r="AZ1076" s="47"/>
      <c r="BA1076" s="8" t="s">
        <v>341</v>
      </c>
      <c r="BB1076" s="8">
        <v>86</v>
      </c>
      <c r="BC1076" s="47"/>
      <c r="BD1076" s="47"/>
      <c r="BE1076" s="8"/>
      <c r="BF1076" s="8"/>
      <c r="BG1076" s="47"/>
      <c r="BH1076" s="47"/>
      <c r="BI1076" s="8"/>
      <c r="BJ1076" s="3"/>
      <c r="BK1076" s="47"/>
      <c r="BL1076" s="47"/>
      <c r="BM1076" s="46"/>
      <c r="BN1076" s="46"/>
      <c r="BO1076" s="24">
        <f>AL1076+AN1076+AP1076+AR1076+AT1076+AV1076+AX1076+AZ1076+BB1076+BD1076+BF1076+BH1076+BJ1076+BL1076</f>
        <v>2886</v>
      </c>
      <c r="BP1076" s="28">
        <f>AJ1076-BO1076</f>
        <v>-532837.8955</v>
      </c>
      <c r="BQ1076" s="2">
        <v>45747</v>
      </c>
    </row>
    <row r="1077" spans="1:73" hidden="true">
      <c r="D1077" s="9" t="s">
        <v>14</v>
      </c>
      <c r="E1077" s="2">
        <v>45748</v>
      </c>
      <c r="F1077" s="38"/>
      <c r="G1077" s="126"/>
      <c r="H1077" s="4">
        <f>F400*50%</f>
        <v>1388.35</v>
      </c>
      <c r="I1077" s="120"/>
      <c r="J1077" s="4">
        <f>(G1077+H1077)-I1077</f>
        <v>1388.35</v>
      </c>
      <c r="K1077" s="4">
        <f>J1077+O1076</f>
        <v>215045.49</v>
      </c>
      <c r="L1077" s="3"/>
      <c r="M1077" s="3"/>
      <c r="N1077" s="33">
        <f>I1077+M1077</f>
        <v>0</v>
      </c>
      <c r="O1077" s="28">
        <f>K1077-M1077</f>
        <v>215045.49</v>
      </c>
      <c r="P1077" s="9" t="s">
        <v>14</v>
      </c>
      <c r="Q1077" s="2">
        <v>45748</v>
      </c>
      <c r="R1077" s="38"/>
      <c r="S1077" s="52"/>
      <c r="T1077" s="4">
        <f>R400*45%</f>
        <v>525.96</v>
      </c>
      <c r="U1077" s="5"/>
      <c r="V1077" s="4">
        <f>(S1077+T1077)-U1077</f>
        <v>525.96</v>
      </c>
      <c r="W1077" s="4">
        <f>V1077+AA1076</f>
        <v>41512.22</v>
      </c>
      <c r="X1077" s="3"/>
      <c r="Y1077" s="3"/>
      <c r="Z1077" s="25">
        <f>U1077+Y1077</f>
        <v>0</v>
      </c>
      <c r="AA1077" s="76">
        <f>W1077-Y1077</f>
        <v>41512.22</v>
      </c>
      <c r="AB1077" s="9" t="s">
        <v>14</v>
      </c>
      <c r="AC1077" s="19">
        <v>45748</v>
      </c>
      <c r="AD1077" s="41"/>
      <c r="AE1077" s="42"/>
      <c r="AF1077" s="4">
        <f>AD400-H1077-T1077</f>
        <v>2031.19</v>
      </c>
      <c r="AG1077" s="3"/>
      <c r="AH1077" s="8"/>
      <c r="AI1077" s="4">
        <f>(AE1077+AF1077)-AH1077</f>
        <v>2031.19</v>
      </c>
      <c r="AJ1077" s="4">
        <f>AI1077+BP1076</f>
        <v>-530806.7055</v>
      </c>
      <c r="AK1077" s="8"/>
      <c r="AL1077" s="8"/>
      <c r="AM1077" s="47"/>
      <c r="AN1077" s="47"/>
      <c r="AO1077" s="8"/>
      <c r="AP1077" s="8"/>
      <c r="AQ1077" s="47"/>
      <c r="AR1077" s="47"/>
      <c r="AS1077" s="8"/>
      <c r="AT1077" s="8"/>
      <c r="AU1077" s="47"/>
      <c r="AV1077" s="47"/>
      <c r="AW1077" s="8"/>
      <c r="AX1077" s="8"/>
      <c r="AY1077" s="47"/>
      <c r="AZ1077" s="47"/>
      <c r="BA1077" s="8" t="s">
        <v>341</v>
      </c>
      <c r="BB1077" s="8">
        <v>247.3</v>
      </c>
      <c r="BC1077" s="47"/>
      <c r="BD1077" s="47"/>
      <c r="BE1077" s="8"/>
      <c r="BF1077" s="8"/>
      <c r="BG1077" s="47"/>
      <c r="BH1077" s="47"/>
      <c r="BI1077" s="8"/>
      <c r="BJ1077" s="3"/>
      <c r="BK1077" s="47"/>
      <c r="BL1077" s="47"/>
      <c r="BM1077" s="46"/>
      <c r="BN1077" s="46"/>
      <c r="BO1077" s="24">
        <f>AL1077+AN1077+AP1077+AR1077+AT1077+AV1077+AX1077+AZ1077+BB1077+BD1077+BF1077+BH1077+BJ1077+BL1077+BN1077</f>
        <v>247.3</v>
      </c>
      <c r="BP1077" s="28">
        <f>AJ1077-BO1077</f>
        <v>-531054.0055</v>
      </c>
      <c r="BQ1077" s="2">
        <v>45748</v>
      </c>
    </row>
    <row r="1078" spans="1:73" hidden="true">
      <c r="D1078" s="9" t="s">
        <v>15</v>
      </c>
      <c r="E1078" s="2">
        <v>45749</v>
      </c>
      <c r="F1078" s="38"/>
      <c r="G1078" s="126"/>
      <c r="H1078" s="4">
        <f>F401*50%</f>
        <v>2120.275</v>
      </c>
      <c r="I1078" s="120"/>
      <c r="J1078" s="4">
        <f>(G1078+H1078)-I1078</f>
        <v>2120.275</v>
      </c>
      <c r="K1078" s="4">
        <f>J1078+O1077</f>
        <v>217165.765</v>
      </c>
      <c r="L1078" s="3"/>
      <c r="M1078" s="3"/>
      <c r="N1078" s="33">
        <f>I1078+M1078</f>
        <v>0</v>
      </c>
      <c r="O1078" s="28">
        <f>K1078-M1078</f>
        <v>217165.765</v>
      </c>
      <c r="P1078" s="9" t="s">
        <v>15</v>
      </c>
      <c r="Q1078" s="2">
        <v>45749</v>
      </c>
      <c r="R1078" s="38"/>
      <c r="S1078" s="52"/>
      <c r="T1078" s="4">
        <f>R401*45%</f>
        <v>749.115</v>
      </c>
      <c r="U1078" s="5"/>
      <c r="V1078" s="4">
        <f>(S1078+T1078)-U1078</f>
        <v>749.115</v>
      </c>
      <c r="W1078" s="4">
        <f>V1078+AA1077</f>
        <v>42261.335</v>
      </c>
      <c r="X1078" s="3"/>
      <c r="Y1078" s="3"/>
      <c r="Z1078" s="25">
        <f>U1078+Y1078</f>
        <v>0</v>
      </c>
      <c r="AA1078" s="76">
        <f>W1078-Y1078</f>
        <v>42261.335</v>
      </c>
      <c r="AB1078" s="9" t="s">
        <v>15</v>
      </c>
      <c r="AC1078" s="19">
        <v>45749</v>
      </c>
      <c r="AD1078" s="41"/>
      <c r="AE1078" s="42"/>
      <c r="AF1078" s="4">
        <f>AD401-H1078-T1078</f>
        <v>3035.86</v>
      </c>
      <c r="AG1078" s="3"/>
      <c r="AH1078" s="8"/>
      <c r="AI1078" s="4">
        <f>(AE1078+AF1078)-AH1078</f>
        <v>3035.86</v>
      </c>
      <c r="AJ1078" s="4">
        <f>AI1078+BP1077</f>
        <v>-528018.1455</v>
      </c>
      <c r="AK1078" s="8"/>
      <c r="AL1078" s="8"/>
      <c r="AM1078" s="47"/>
      <c r="AN1078" s="47"/>
      <c r="AO1078" s="8" t="s">
        <v>484</v>
      </c>
      <c r="AP1078" s="8">
        <v>1142</v>
      </c>
      <c r="AQ1078" s="47"/>
      <c r="AR1078" s="47"/>
      <c r="AS1078" s="8" t="s">
        <v>485</v>
      </c>
      <c r="AT1078" s="8">
        <v>15000</v>
      </c>
      <c r="AU1078" s="47"/>
      <c r="AV1078" s="47"/>
      <c r="AW1078" s="8"/>
      <c r="AX1078" s="8"/>
      <c r="AY1078" s="47"/>
      <c r="AZ1078" s="47"/>
      <c r="BA1078" s="8" t="s">
        <v>341</v>
      </c>
      <c r="BB1078" s="8">
        <v>243.4</v>
      </c>
      <c r="BC1078" s="47"/>
      <c r="BD1078" s="47"/>
      <c r="BE1078" s="8"/>
      <c r="BF1078" s="8"/>
      <c r="BG1078" s="47" t="s">
        <v>98</v>
      </c>
      <c r="BH1078" s="47">
        <v>850</v>
      </c>
      <c r="BI1078" s="8"/>
      <c r="BJ1078" s="3"/>
      <c r="BK1078" s="47"/>
      <c r="BL1078" s="47"/>
      <c r="BM1078" s="46"/>
      <c r="BN1078" s="46"/>
      <c r="BO1078" s="24">
        <f>AL1078+AN1078+AP1078+AR1078+AT1078+AV1078+AX1078+AZ1078+BB1078+BD1078+BF1078+BH1078+BJ1078+BL1078+BN1078</f>
        <v>17235.4</v>
      </c>
      <c r="BP1078" s="28">
        <f>AJ1078-BO1078</f>
        <v>-545253.5455</v>
      </c>
      <c r="BQ1078" s="2">
        <v>45749</v>
      </c>
    </row>
    <row r="1079" spans="1:73" hidden="true">
      <c r="D1079" s="9" t="s">
        <v>16</v>
      </c>
      <c r="E1079" s="2">
        <v>45750</v>
      </c>
      <c r="F1079" s="38"/>
      <c r="G1079" s="126"/>
      <c r="H1079" s="4">
        <f>F402*50%</f>
        <v>2261.2</v>
      </c>
      <c r="I1079" s="120">
        <v>2660</v>
      </c>
      <c r="J1079" s="4">
        <f>(G1079+H1079)-I1079</f>
        <v>-398.8</v>
      </c>
      <c r="K1079" s="4">
        <f>J1079+O1078</f>
        <v>216766.965</v>
      </c>
      <c r="L1079" s="3"/>
      <c r="M1079" s="3"/>
      <c r="N1079" s="33">
        <f>I1079+M1079</f>
        <v>2660</v>
      </c>
      <c r="O1079" s="28">
        <f>K1079-M1079</f>
        <v>216766.965</v>
      </c>
      <c r="P1079" s="9" t="s">
        <v>16</v>
      </c>
      <c r="Q1079" s="2">
        <v>45750</v>
      </c>
      <c r="R1079" s="38"/>
      <c r="S1079" s="52"/>
      <c r="T1079" s="4">
        <f>R402*45%</f>
        <v>709.605</v>
      </c>
      <c r="U1079" s="5"/>
      <c r="V1079" s="4">
        <f>(S1079+T1079)-U1079</f>
        <v>709.605</v>
      </c>
      <c r="W1079" s="4">
        <f>V1079+AA1078</f>
        <v>42970.94</v>
      </c>
      <c r="X1079" s="3"/>
      <c r="Y1079" s="3"/>
      <c r="Z1079" s="25">
        <f>U1079+Y1079</f>
        <v>0</v>
      </c>
      <c r="AA1079" s="76">
        <f>W1079-Y1079</f>
        <v>42970.94</v>
      </c>
      <c r="AB1079" s="9" t="s">
        <v>16</v>
      </c>
      <c r="AC1079" s="19">
        <v>45750</v>
      </c>
      <c r="AD1079" s="41"/>
      <c r="AE1079" s="42"/>
      <c r="AF1079" s="4">
        <f>AD402-H1079-T1079</f>
        <v>3128.495</v>
      </c>
      <c r="AG1079" s="3"/>
      <c r="AH1079" s="8"/>
      <c r="AI1079" s="4">
        <f>(AE1079+AF1079)-AH1079</f>
        <v>3128.495</v>
      </c>
      <c r="AJ1079" s="4">
        <f>AI1079+BP1078</f>
        <v>-542125.0505</v>
      </c>
      <c r="AK1079" s="8" t="s">
        <v>41</v>
      </c>
      <c r="AL1079" s="8">
        <v>2000</v>
      </c>
      <c r="AM1079" s="47" t="s">
        <v>42</v>
      </c>
      <c r="AN1079" s="47">
        <v>8000</v>
      </c>
      <c r="AO1079" s="8"/>
      <c r="AP1079" s="8"/>
      <c r="AQ1079" s="47"/>
      <c r="AR1079" s="47"/>
      <c r="AS1079" s="8"/>
      <c r="AT1079" s="8"/>
      <c r="AU1079" s="47"/>
      <c r="AV1079" s="47"/>
      <c r="AW1079" s="8"/>
      <c r="AX1079" s="8"/>
      <c r="AY1079" s="47"/>
      <c r="AZ1079" s="47"/>
      <c r="BA1079" s="8" t="s">
        <v>341</v>
      </c>
      <c r="BB1079" s="8">
        <v>376</v>
      </c>
      <c r="BC1079" s="47"/>
      <c r="BD1079" s="47"/>
      <c r="BE1079" s="8"/>
      <c r="BF1079" s="8"/>
      <c r="BG1079" s="47" t="s">
        <v>98</v>
      </c>
      <c r="BH1079" s="47">
        <v>1000</v>
      </c>
      <c r="BI1079" s="8"/>
      <c r="BJ1079" s="3"/>
      <c r="BK1079" s="47"/>
      <c r="BL1079" s="47"/>
      <c r="BM1079" s="46"/>
      <c r="BN1079" s="46"/>
      <c r="BO1079" s="24">
        <f>AL1079+AN1079+AP1079+AR1079+AT1079+AV1079+AX1079+AZ1079+BB1079+BD1079+BF1079+BH1079+BJ1079+BL1079+BN1079</f>
        <v>11376</v>
      </c>
      <c r="BP1079" s="28">
        <f>AJ1079-BO1079</f>
        <v>-553501.0505</v>
      </c>
      <c r="BQ1079" s="2">
        <v>45750</v>
      </c>
    </row>
    <row r="1080" spans="1:73" hidden="true">
      <c r="D1080" s="9" t="s">
        <v>10</v>
      </c>
      <c r="E1080" s="2">
        <v>45751</v>
      </c>
      <c r="F1080" s="38"/>
      <c r="G1080" s="126"/>
      <c r="H1080" s="4">
        <f>F403*50%</f>
        <v>2282.35</v>
      </c>
      <c r="I1080" s="120"/>
      <c r="J1080" s="4">
        <f>(G1080+H1080)-I1080</f>
        <v>2282.35</v>
      </c>
      <c r="K1080" s="4">
        <f>J1080+O1079</f>
        <v>219049.315</v>
      </c>
      <c r="L1080" s="3"/>
      <c r="M1080" s="3"/>
      <c r="N1080" s="33">
        <f>I1080+M1080</f>
        <v>0</v>
      </c>
      <c r="O1080" s="28">
        <f>K1080-M1080</f>
        <v>219049.315</v>
      </c>
      <c r="P1080" s="9" t="s">
        <v>10</v>
      </c>
      <c r="Q1080" s="2">
        <v>45751</v>
      </c>
      <c r="R1080" s="38"/>
      <c r="S1080" s="52"/>
      <c r="T1080" s="4">
        <f>R403*45%</f>
        <v>896.805</v>
      </c>
      <c r="U1080" s="5"/>
      <c r="V1080" s="4">
        <f>(S1080+T1080)-U1080</f>
        <v>896.805</v>
      </c>
      <c r="W1080" s="4">
        <f>V1080+AA1079</f>
        <v>43867.745</v>
      </c>
      <c r="X1080" s="3"/>
      <c r="Y1080" s="3"/>
      <c r="Z1080" s="25">
        <f>U1080+Y1080</f>
        <v>0</v>
      </c>
      <c r="AA1080" s="76">
        <f>W1080-Y1080</f>
        <v>43867.745</v>
      </c>
      <c r="AB1080" s="9" t="s">
        <v>10</v>
      </c>
      <c r="AC1080" s="19">
        <v>45751</v>
      </c>
      <c r="AD1080" s="41"/>
      <c r="AE1080" s="42"/>
      <c r="AF1080" s="4">
        <f>AD403-H1080-T1080</f>
        <v>3378.445</v>
      </c>
      <c r="AG1080" s="3"/>
      <c r="AH1080" s="8"/>
      <c r="AI1080" s="4">
        <f>(AE1080+AF1080)-AH1080</f>
        <v>3378.445</v>
      </c>
      <c r="AJ1080" s="4">
        <f>AI1080+BP1079</f>
        <v>-550122.6055</v>
      </c>
      <c r="AK1080" s="8" t="s">
        <v>486</v>
      </c>
      <c r="AL1080" s="8">
        <f>500+4000+800</f>
        <v>5300</v>
      </c>
      <c r="AM1080" s="47"/>
      <c r="AN1080" s="47"/>
      <c r="AO1080" s="8"/>
      <c r="AP1080" s="8"/>
      <c r="AQ1080" s="47"/>
      <c r="AR1080" s="47"/>
      <c r="AS1080" s="8"/>
      <c r="AT1080" s="8"/>
      <c r="AU1080" s="47"/>
      <c r="AV1080" s="47"/>
      <c r="AW1080" s="8"/>
      <c r="AX1080" s="8"/>
      <c r="AY1080" s="47"/>
      <c r="AZ1080" s="47"/>
      <c r="BA1080" s="8" t="s">
        <v>341</v>
      </c>
      <c r="BB1080" s="8">
        <v>340</v>
      </c>
      <c r="BC1080" s="47"/>
      <c r="BD1080" s="47"/>
      <c r="BE1080" s="8"/>
      <c r="BF1080" s="8"/>
      <c r="BG1080" s="47" t="s">
        <v>98</v>
      </c>
      <c r="BH1080" s="47">
        <v>1000</v>
      </c>
      <c r="BI1080" s="8"/>
      <c r="BJ1080" s="3"/>
      <c r="BK1080" s="47"/>
      <c r="BL1080" s="47"/>
      <c r="BM1080" s="46"/>
      <c r="BN1080" s="46"/>
      <c r="BO1080" s="24">
        <f>AL1080+AN1080+AP1080+AR1080+AT1080+AV1080+AX1080+AZ1080+BB1080+BD1080+BF1080+BH1080+BJ1080+BL1080+BN1080</f>
        <v>6640</v>
      </c>
      <c r="BP1080" s="28">
        <f>AJ1080-BO1080</f>
        <v>-556762.6055</v>
      </c>
      <c r="BQ1080" s="2">
        <v>45751</v>
      </c>
    </row>
    <row r="1081" spans="1:73" hidden="true">
      <c r="D1081" s="9" t="s">
        <v>11</v>
      </c>
      <c r="E1081" s="2">
        <v>45752</v>
      </c>
      <c r="F1081" s="38" t="s">
        <v>259</v>
      </c>
      <c r="G1081" s="126">
        <f>2620+1350+10000</f>
        <v>13970</v>
      </c>
      <c r="H1081" s="4">
        <f>F404*50%</f>
        <v>2365.225</v>
      </c>
      <c r="I1081" s="120"/>
      <c r="J1081" s="4">
        <f>(G1081+H1081)-I1081</f>
        <v>16335.225</v>
      </c>
      <c r="K1081" s="4">
        <f>J1081+O1080</f>
        <v>235384.54</v>
      </c>
      <c r="L1081" s="3" t="s">
        <v>487</v>
      </c>
      <c r="M1081" s="3">
        <v>3568</v>
      </c>
      <c r="N1081" s="33">
        <f>I1081+M1081</f>
        <v>3568</v>
      </c>
      <c r="O1081" s="28">
        <f>K1081-M1081</f>
        <v>231816.54</v>
      </c>
      <c r="P1081" s="9" t="s">
        <v>11</v>
      </c>
      <c r="Q1081" s="2">
        <v>45752</v>
      </c>
      <c r="R1081" s="38"/>
      <c r="S1081" s="52"/>
      <c r="T1081" s="4">
        <f>R404*45%</f>
        <v>3500.055</v>
      </c>
      <c r="U1081" s="5"/>
      <c r="V1081" s="4">
        <f>(S1081+T1081)-U1081</f>
        <v>3500.055</v>
      </c>
      <c r="W1081" s="4">
        <f>V1081+AA1080</f>
        <v>47367.8</v>
      </c>
      <c r="X1081" s="3"/>
      <c r="Y1081" s="3"/>
      <c r="Z1081" s="25">
        <f>U1081+Y1081</f>
        <v>0</v>
      </c>
      <c r="AA1081" s="76">
        <f>W1081-Y1081</f>
        <v>47367.8</v>
      </c>
      <c r="AB1081" s="9" t="s">
        <v>11</v>
      </c>
      <c r="AC1081" s="19">
        <v>45752</v>
      </c>
      <c r="AD1081" s="41"/>
      <c r="AE1081" s="42"/>
      <c r="AF1081" s="4">
        <f>AD404-H1081-T1081</f>
        <v>6643.07</v>
      </c>
      <c r="AG1081" s="3"/>
      <c r="AH1081" s="8"/>
      <c r="AI1081" s="4">
        <f>(AE1081+AF1081)-AH1081</f>
        <v>6643.07</v>
      </c>
      <c r="AJ1081" s="4">
        <f>AI1081+BP1080</f>
        <v>-550119.5355</v>
      </c>
      <c r="AK1081" s="8"/>
      <c r="AL1081" s="8"/>
      <c r="AM1081" s="47"/>
      <c r="AN1081" s="47"/>
      <c r="AO1081" s="8" t="s">
        <v>488</v>
      </c>
      <c r="AP1081" s="8">
        <v>300</v>
      </c>
      <c r="AQ1081" s="47"/>
      <c r="AR1081" s="47"/>
      <c r="AS1081" s="8"/>
      <c r="AT1081" s="8"/>
      <c r="AU1081" s="47"/>
      <c r="AV1081" s="47"/>
      <c r="AW1081" s="8"/>
      <c r="AX1081" s="8"/>
      <c r="AY1081" s="47"/>
      <c r="AZ1081" s="47"/>
      <c r="BA1081" s="8" t="s">
        <v>341</v>
      </c>
      <c r="BB1081" s="8">
        <v>407.5</v>
      </c>
      <c r="BC1081" s="47" t="s">
        <v>489</v>
      </c>
      <c r="BD1081" s="47">
        <v>2000</v>
      </c>
      <c r="BE1081" s="8"/>
      <c r="BF1081" s="8"/>
      <c r="BG1081" s="47" t="s">
        <v>98</v>
      </c>
      <c r="BH1081" s="47">
        <v>1000</v>
      </c>
      <c r="BI1081" s="8"/>
      <c r="BJ1081" s="3"/>
      <c r="BK1081" s="47"/>
      <c r="BL1081" s="47"/>
      <c r="BM1081" s="46"/>
      <c r="BN1081" s="46"/>
      <c r="BO1081" s="24">
        <f>AL1081+AN1081+AP1081+AR1081+AT1081+AV1081+AX1081+AZ1081+BB1081+BD1081+BF1081+BH1081+BJ1081+BL1081+BN1081</f>
        <v>3707.5</v>
      </c>
      <c r="BP1081" s="28">
        <f>AJ1081-BO1081</f>
        <v>-553827.0355</v>
      </c>
      <c r="BQ1081" s="2">
        <v>45752</v>
      </c>
    </row>
    <row r="1082" spans="1:73" hidden="true">
      <c r="D1082" s="9" t="s">
        <v>12</v>
      </c>
      <c r="E1082" s="2">
        <v>45753</v>
      </c>
      <c r="F1082" s="38" t="s">
        <v>259</v>
      </c>
      <c r="G1082" s="126">
        <v>6030</v>
      </c>
      <c r="H1082" s="4">
        <f>F405*50%</f>
        <v>2619.6</v>
      </c>
      <c r="I1082" s="120">
        <f>485.1+360+593+300+679+620+8328</f>
        <v>11365.1</v>
      </c>
      <c r="J1082" s="4">
        <f>(G1082+H1082)-I1082</f>
        <v>-2715.5</v>
      </c>
      <c r="K1082" s="4">
        <f>J1082+O1081</f>
        <v>229101.04</v>
      </c>
      <c r="L1082" s="3"/>
      <c r="M1082" s="3"/>
      <c r="N1082" s="33">
        <f>I1082+M1082</f>
        <v>11365.1</v>
      </c>
      <c r="O1082" s="28">
        <f>K1082-M1082</f>
        <v>229101.04</v>
      </c>
      <c r="P1082" s="9" t="s">
        <v>12</v>
      </c>
      <c r="Q1082" s="2">
        <v>45753</v>
      </c>
      <c r="R1082" s="38"/>
      <c r="S1082" s="52"/>
      <c r="T1082" s="4">
        <f>R405*45%</f>
        <v>634.455</v>
      </c>
      <c r="U1082" s="5"/>
      <c r="V1082" s="4">
        <f>(S1082+T1082)-U1082</f>
        <v>634.455</v>
      </c>
      <c r="W1082" s="4">
        <f>V1082+AA1081</f>
        <v>48002.255</v>
      </c>
      <c r="X1082" s="3"/>
      <c r="Y1082" s="3"/>
      <c r="Z1082" s="25">
        <f>U1082+Y1082</f>
        <v>0</v>
      </c>
      <c r="AA1082" s="76">
        <f>W1082-Y1082</f>
        <v>48002.255</v>
      </c>
      <c r="AB1082" s="9" t="s">
        <v>12</v>
      </c>
      <c r="AC1082" s="19">
        <v>45753</v>
      </c>
      <c r="AD1082" s="41"/>
      <c r="AE1082" s="42"/>
      <c r="AF1082" s="4">
        <f>AD405-H1082-T1082</f>
        <v>3395.045</v>
      </c>
      <c r="AG1082" s="3"/>
      <c r="AH1082" s="8"/>
      <c r="AI1082" s="4">
        <f>(AE1082+AF1082)-AH1082</f>
        <v>3395.045</v>
      </c>
      <c r="AJ1082" s="4">
        <f>AI1082+BP1081</f>
        <v>-550431.9905</v>
      </c>
      <c r="AK1082" s="8" t="s">
        <v>41</v>
      </c>
      <c r="AL1082" s="8">
        <v>700</v>
      </c>
      <c r="AM1082" s="47" t="s">
        <v>490</v>
      </c>
      <c r="AN1082" s="47">
        <f>1900+1707</f>
        <v>3607</v>
      </c>
      <c r="AO1082" s="8"/>
      <c r="AP1082" s="8"/>
      <c r="AQ1082" s="47"/>
      <c r="AR1082" s="47"/>
      <c r="AS1082" s="8"/>
      <c r="AT1082" s="8"/>
      <c r="AU1082" s="47"/>
      <c r="AV1082" s="47"/>
      <c r="AW1082" s="8"/>
      <c r="AX1082" s="8"/>
      <c r="AY1082" s="47"/>
      <c r="AZ1082" s="47"/>
      <c r="BA1082" s="8" t="s">
        <v>341</v>
      </c>
      <c r="BB1082" s="8">
        <v>301</v>
      </c>
      <c r="BC1082" s="47"/>
      <c r="BD1082" s="47"/>
      <c r="BE1082" s="8"/>
      <c r="BF1082" s="8"/>
      <c r="BG1082" s="47" t="s">
        <v>98</v>
      </c>
      <c r="BH1082" s="47">
        <v>750</v>
      </c>
      <c r="BI1082" s="8"/>
      <c r="BJ1082" s="3"/>
      <c r="BK1082" s="47"/>
      <c r="BL1082" s="47"/>
      <c r="BM1082" s="46"/>
      <c r="BN1082" s="46"/>
      <c r="BO1082" s="24">
        <f>AL1082+AN1082+AP1082+AR1082+AT1082+AV1082+AX1082+AZ1082+BB1082+BD1082+BF1082+BH1082+BJ1082+BL1082+BN1082</f>
        <v>5358</v>
      </c>
      <c r="BP1082" s="28">
        <f>AJ1082-BO1082</f>
        <v>-555789.9905</v>
      </c>
      <c r="BQ1082" s="2">
        <v>45753</v>
      </c>
    </row>
    <row r="1083" spans="1:73" hidden="true">
      <c r="D1083" s="9" t="s">
        <v>13</v>
      </c>
      <c r="E1083" s="2">
        <v>45754</v>
      </c>
      <c r="F1083" s="38"/>
      <c r="G1083" s="126"/>
      <c r="H1083" s="4">
        <f>F406*50%</f>
        <v>1954</v>
      </c>
      <c r="I1083" s="120">
        <f>756+225</f>
        <v>981</v>
      </c>
      <c r="J1083" s="4">
        <f>(G1083+H1083)-I1083</f>
        <v>973</v>
      </c>
      <c r="K1083" s="4">
        <f>J1083+O1082</f>
        <v>230074.04</v>
      </c>
      <c r="L1083" s="3"/>
      <c r="M1083" s="3"/>
      <c r="N1083" s="33">
        <f>I1083+M1083</f>
        <v>981</v>
      </c>
      <c r="O1083" s="28">
        <f>K1083-M1083</f>
        <v>230074.04</v>
      </c>
      <c r="P1083" s="9" t="s">
        <v>13</v>
      </c>
      <c r="Q1083" s="2">
        <v>45754</v>
      </c>
      <c r="R1083" s="38"/>
      <c r="S1083" s="52"/>
      <c r="T1083" s="4">
        <f>R406*45%</f>
        <v>927.45</v>
      </c>
      <c r="U1083" s="5"/>
      <c r="V1083" s="4">
        <f>(S1083+T1083)-U1083</f>
        <v>927.45</v>
      </c>
      <c r="W1083" s="4">
        <f>V1083+AA1082</f>
        <v>48929.705</v>
      </c>
      <c r="X1083" s="3"/>
      <c r="Y1083" s="3"/>
      <c r="Z1083" s="25">
        <f>U1083+Y1083</f>
        <v>0</v>
      </c>
      <c r="AA1083" s="76">
        <f>W1083-Y1083</f>
        <v>48929.705</v>
      </c>
      <c r="AB1083" s="9" t="s">
        <v>13</v>
      </c>
      <c r="AC1083" s="19">
        <v>45754</v>
      </c>
      <c r="AD1083" s="41"/>
      <c r="AE1083" s="42"/>
      <c r="AF1083" s="4">
        <f>AD406-H1083-T1083</f>
        <v>3087.55</v>
      </c>
      <c r="AG1083" s="3"/>
      <c r="AH1083" s="8"/>
      <c r="AI1083" s="4">
        <f>(AE1083+AF1083)-AH1083</f>
        <v>3087.55</v>
      </c>
      <c r="AJ1083" s="4">
        <f>AI1083+BP1082</f>
        <v>-552702.4405</v>
      </c>
      <c r="AK1083" s="8" t="s">
        <v>486</v>
      </c>
      <c r="AL1083" s="8">
        <f>7772.64+2160.1+2095.19+1814.98+1930.77+870</f>
        <v>16643.68</v>
      </c>
      <c r="AM1083" s="47" t="s">
        <v>424</v>
      </c>
      <c r="AN1083" s="47">
        <v>2200</v>
      </c>
      <c r="AO1083" s="8"/>
      <c r="AP1083" s="8"/>
      <c r="AQ1083" s="47"/>
      <c r="AR1083" s="47"/>
      <c r="AS1083" s="8"/>
      <c r="AT1083" s="8"/>
      <c r="AU1083" s="47"/>
      <c r="AV1083" s="47"/>
      <c r="AW1083" s="8"/>
      <c r="AX1083" s="8"/>
      <c r="AY1083" s="47"/>
      <c r="AZ1083" s="47"/>
      <c r="BA1083" s="8" t="s">
        <v>341</v>
      </c>
      <c r="BB1083" s="8">
        <v>501</v>
      </c>
      <c r="BC1083" s="47"/>
      <c r="BD1083" s="47"/>
      <c r="BE1083" s="8"/>
      <c r="BF1083" s="8"/>
      <c r="BG1083" s="47" t="s">
        <v>98</v>
      </c>
      <c r="BH1083" s="47">
        <v>870</v>
      </c>
      <c r="BI1083" s="8"/>
      <c r="BJ1083" s="3"/>
      <c r="BK1083" s="47"/>
      <c r="BL1083" s="47"/>
      <c r="BM1083" s="46"/>
      <c r="BN1083" s="46"/>
      <c r="BO1083" s="24">
        <f>AL1083+AN1083+AP1083+AR1083+AT1083+AV1083+AX1083+AZ1083+BB1083+BD1083+BF1083+BH1083+BJ1083+BL1083+BN1083</f>
        <v>20214.68</v>
      </c>
      <c r="BP1083" s="28">
        <f>AJ1083-BO1083</f>
        <v>-572917.1205</v>
      </c>
      <c r="BQ1083" s="2">
        <v>45754</v>
      </c>
    </row>
    <row r="1084" spans="1:73" hidden="true">
      <c r="D1084" s="9" t="s">
        <v>14</v>
      </c>
      <c r="E1084" s="2">
        <v>45755</v>
      </c>
      <c r="F1084" s="38" t="s">
        <v>259</v>
      </c>
      <c r="G1084" s="126">
        <v>10000</v>
      </c>
      <c r="H1084" s="4">
        <f>F407*50%</f>
        <v>2261.1</v>
      </c>
      <c r="I1084" s="120"/>
      <c r="J1084" s="4">
        <f>(G1084+H1084)-I1084</f>
        <v>12261.1</v>
      </c>
      <c r="K1084" s="4">
        <f>J1084+O1083</f>
        <v>242335.14</v>
      </c>
      <c r="L1084" s="3"/>
      <c r="M1084" s="3"/>
      <c r="N1084" s="33">
        <f>I1084+M1084</f>
        <v>0</v>
      </c>
      <c r="O1084" s="28">
        <f>K1084-M1084</f>
        <v>242335.14</v>
      </c>
      <c r="P1084" s="9" t="s">
        <v>14</v>
      </c>
      <c r="Q1084" s="2">
        <v>45755</v>
      </c>
      <c r="R1084" s="38"/>
      <c r="S1084" s="52"/>
      <c r="T1084" s="4">
        <f>R407*45%</f>
        <v>1400.4</v>
      </c>
      <c r="U1084" s="5"/>
      <c r="V1084" s="4">
        <f>(S1084+T1084)-U1084</f>
        <v>1400.4</v>
      </c>
      <c r="W1084" s="4">
        <f>V1084+AA1083</f>
        <v>50330.105</v>
      </c>
      <c r="X1084" s="3"/>
      <c r="Y1084" s="3"/>
      <c r="Z1084" s="25">
        <f>U1084+Y1084</f>
        <v>0</v>
      </c>
      <c r="AA1084" s="76">
        <f>W1084-Y1084</f>
        <v>50330.105</v>
      </c>
      <c r="AB1084" s="9" t="s">
        <v>14</v>
      </c>
      <c r="AC1084" s="19">
        <v>45755</v>
      </c>
      <c r="AD1084" s="41"/>
      <c r="AE1084" s="42"/>
      <c r="AF1084" s="4">
        <f>AD407-H1084-T1084</f>
        <v>3972.7</v>
      </c>
      <c r="AG1084" s="3"/>
      <c r="AH1084" s="8"/>
      <c r="AI1084" s="4">
        <f>(AE1084+AF1084)-AH1084</f>
        <v>3972.7</v>
      </c>
      <c r="AJ1084" s="4">
        <f>AI1084+BP1083</f>
        <v>-568944.4205</v>
      </c>
      <c r="AK1084" s="8"/>
      <c r="AL1084" s="8"/>
      <c r="AM1084" s="47"/>
      <c r="AN1084" s="47"/>
      <c r="AO1084" s="8"/>
      <c r="AP1084" s="8"/>
      <c r="AQ1084" s="47"/>
      <c r="AR1084" s="47"/>
      <c r="AS1084" s="8"/>
      <c r="AT1084" s="8"/>
      <c r="AU1084" s="47"/>
      <c r="AV1084" s="47"/>
      <c r="AW1084" s="8"/>
      <c r="AX1084" s="8"/>
      <c r="AY1084" s="47"/>
      <c r="AZ1084" s="47"/>
      <c r="BA1084" s="8" t="s">
        <v>341</v>
      </c>
      <c r="BB1084" s="8">
        <v>251</v>
      </c>
      <c r="BC1084" s="47"/>
      <c r="BD1084" s="47"/>
      <c r="BE1084" s="8"/>
      <c r="BF1084" s="8"/>
      <c r="BG1084" s="47" t="s">
        <v>98</v>
      </c>
      <c r="BH1084" s="47">
        <v>1000</v>
      </c>
      <c r="BI1084" s="8"/>
      <c r="BJ1084" s="3"/>
      <c r="BK1084" s="47"/>
      <c r="BL1084" s="47"/>
      <c r="BM1084" s="46"/>
      <c r="BN1084" s="46"/>
      <c r="BO1084" s="24">
        <f>AL1084+AN1084+AP1084+AR1084+AT1084+AV1084+AX1084+AZ1084+BB1084+BD1084+BF1084+BH1084+BJ1084+BL1084+BN1084</f>
        <v>1251</v>
      </c>
      <c r="BP1084" s="28">
        <f>AJ1084-BO1084</f>
        <v>-570195.4205</v>
      </c>
      <c r="BQ1084" s="2">
        <v>45755</v>
      </c>
    </row>
    <row r="1085" spans="1:73" hidden="true">
      <c r="D1085" s="9" t="s">
        <v>15</v>
      </c>
      <c r="E1085" s="2">
        <v>45756</v>
      </c>
      <c r="F1085" s="38"/>
      <c r="G1085" s="126"/>
      <c r="H1085" s="4">
        <f>F408*50%</f>
        <v>1753.075</v>
      </c>
      <c r="I1085" s="120">
        <f>669.6+364</f>
        <v>1033.6</v>
      </c>
      <c r="J1085" s="4">
        <f>(G1085+H1085)-I1085</f>
        <v>719.475</v>
      </c>
      <c r="K1085" s="4">
        <f>J1085+O1084</f>
        <v>243054.615</v>
      </c>
      <c r="L1085" s="3"/>
      <c r="M1085" s="3"/>
      <c r="N1085" s="33">
        <f>I1085+M1085</f>
        <v>1033.6</v>
      </c>
      <c r="O1085" s="28">
        <f>K1085-M1085</f>
        <v>243054.615</v>
      </c>
      <c r="P1085" s="9" t="s">
        <v>15</v>
      </c>
      <c r="Q1085" s="2">
        <v>45756</v>
      </c>
      <c r="R1085" s="38"/>
      <c r="S1085" s="52"/>
      <c r="T1085" s="4">
        <f>R408*45%</f>
        <v>1797.255</v>
      </c>
      <c r="U1085" s="5"/>
      <c r="V1085" s="4">
        <f>(S1085+T1085)-U1085</f>
        <v>1797.255</v>
      </c>
      <c r="W1085" s="4">
        <f>V1085+AA1084</f>
        <v>52127.36</v>
      </c>
      <c r="X1085" s="3"/>
      <c r="Y1085" s="3"/>
      <c r="Z1085" s="25">
        <f>U1085+Y1085</f>
        <v>0</v>
      </c>
      <c r="AA1085" s="76">
        <f>W1085-Y1085</f>
        <v>52127.36</v>
      </c>
      <c r="AB1085" s="9" t="s">
        <v>15</v>
      </c>
      <c r="AC1085" s="19">
        <v>45756</v>
      </c>
      <c r="AD1085" s="41"/>
      <c r="AE1085" s="42"/>
      <c r="AF1085" s="4">
        <f>AD408-H1085-T1085</f>
        <v>3949.72</v>
      </c>
      <c r="AG1085" s="3"/>
      <c r="AH1085" s="8"/>
      <c r="AI1085" s="4">
        <f>(AE1085+AF1085)-AH1085</f>
        <v>3949.72</v>
      </c>
      <c r="AJ1085" s="4">
        <f>AI1085+BP1084</f>
        <v>-566245.7005</v>
      </c>
      <c r="AK1085" s="8" t="s">
        <v>491</v>
      </c>
      <c r="AL1085" s="8">
        <f>1991.15+1943.46+1000</f>
        <v>4934.61</v>
      </c>
      <c r="AM1085" s="47"/>
      <c r="AN1085" s="47"/>
      <c r="AO1085" s="8"/>
      <c r="AP1085" s="8"/>
      <c r="AQ1085" s="47"/>
      <c r="AR1085" s="47"/>
      <c r="AS1085" s="8"/>
      <c r="AT1085" s="8"/>
      <c r="AU1085" s="47"/>
      <c r="AV1085" s="47"/>
      <c r="AW1085" s="8"/>
      <c r="AX1085" s="8"/>
      <c r="AY1085" s="47"/>
      <c r="AZ1085" s="47"/>
      <c r="BA1085" s="8" t="s">
        <v>341</v>
      </c>
      <c r="BB1085" s="8">
        <v>354</v>
      </c>
      <c r="BC1085" s="47" t="s">
        <v>492</v>
      </c>
      <c r="BD1085" s="47">
        <v>101.7</v>
      </c>
      <c r="BE1085" s="8"/>
      <c r="BF1085" s="8"/>
      <c r="BG1085" s="47"/>
      <c r="BH1085" s="47"/>
      <c r="BI1085" s="8"/>
      <c r="BJ1085" s="3"/>
      <c r="BK1085" s="47"/>
      <c r="BL1085" s="47"/>
      <c r="BM1085" s="46"/>
      <c r="BN1085" s="46"/>
      <c r="BO1085" s="24">
        <f>AL1085+AN1085+AP1085+AR1085+AT1085+AV1085+AX1085+AZ1085+BB1085+BD1085+BF1085+BH1085+BJ1085+BL1085+BN1085</f>
        <v>5390.31</v>
      </c>
      <c r="BP1085" s="28">
        <f>AJ1085-BO1085</f>
        <v>-571636.0105</v>
      </c>
      <c r="BQ1085" s="2">
        <v>45756</v>
      </c>
    </row>
    <row r="1086" spans="1:73" hidden="true">
      <c r="D1086" s="9" t="s">
        <v>16</v>
      </c>
      <c r="E1086" s="2">
        <v>45757</v>
      </c>
      <c r="F1086" s="38"/>
      <c r="G1086" s="126"/>
      <c r="H1086" s="4">
        <f>F409*50%</f>
        <v>1738.375</v>
      </c>
      <c r="I1086" s="120">
        <f>504+516+603</f>
        <v>1623</v>
      </c>
      <c r="J1086" s="4">
        <f>(G1086+H1086)-I1086</f>
        <v>115.375</v>
      </c>
      <c r="K1086" s="4">
        <f>J1086+O1085</f>
        <v>243169.99</v>
      </c>
      <c r="L1086" s="3"/>
      <c r="M1086" s="3"/>
      <c r="N1086" s="33">
        <f>I1086+M1086</f>
        <v>1623</v>
      </c>
      <c r="O1086" s="28">
        <f>K1086-M1086</f>
        <v>243169.99</v>
      </c>
      <c r="P1086" s="9" t="s">
        <v>16</v>
      </c>
      <c r="Q1086" s="2">
        <v>45757</v>
      </c>
      <c r="R1086" s="38"/>
      <c r="S1086" s="52"/>
      <c r="T1086" s="4">
        <f>R409*45%</f>
        <v>2321.55</v>
      </c>
      <c r="U1086" s="5"/>
      <c r="V1086" s="4">
        <f>(S1086+T1086)-U1086</f>
        <v>2321.55</v>
      </c>
      <c r="W1086" s="4">
        <f>V1086+AA1085</f>
        <v>54448.91</v>
      </c>
      <c r="X1086" s="3"/>
      <c r="Y1086" s="3"/>
      <c r="Z1086" s="25">
        <f>U1086+Y1086</f>
        <v>0</v>
      </c>
      <c r="AA1086" s="76">
        <f>W1086-Y1086</f>
        <v>54448.91</v>
      </c>
      <c r="AB1086" s="9" t="s">
        <v>16</v>
      </c>
      <c r="AC1086" s="19">
        <v>45757</v>
      </c>
      <c r="AD1086" s="41"/>
      <c r="AE1086" s="42"/>
      <c r="AF1086" s="4">
        <f>AD409-H1086-T1086</f>
        <v>4575.825</v>
      </c>
      <c r="AG1086" s="3"/>
      <c r="AH1086" s="8"/>
      <c r="AI1086" s="4">
        <f>(AE1086+AF1086)-AH1086</f>
        <v>4575.825</v>
      </c>
      <c r="AJ1086" s="4">
        <f>AI1086+BP1085</f>
        <v>-567060.1855</v>
      </c>
      <c r="AK1086" s="8" t="s">
        <v>41</v>
      </c>
      <c r="AL1086" s="8">
        <v>2184.77</v>
      </c>
      <c r="AM1086" s="47"/>
      <c r="AN1086" s="47"/>
      <c r="AO1086" s="8"/>
      <c r="AP1086" s="8"/>
      <c r="AQ1086" s="47"/>
      <c r="AR1086" s="47"/>
      <c r="AS1086" s="8"/>
      <c r="AT1086" s="8"/>
      <c r="AU1086" s="47"/>
      <c r="AV1086" s="47"/>
      <c r="AW1086" s="8"/>
      <c r="AX1086" s="8"/>
      <c r="AY1086" s="47"/>
      <c r="AZ1086" s="47"/>
      <c r="BA1086" s="8" t="s">
        <v>341</v>
      </c>
      <c r="BB1086" s="8">
        <v>578</v>
      </c>
      <c r="BC1086" s="47" t="s">
        <v>489</v>
      </c>
      <c r="BD1086" s="47">
        <v>2000</v>
      </c>
      <c r="BE1086" s="8"/>
      <c r="BF1086" s="8"/>
      <c r="BG1086" s="47" t="s">
        <v>98</v>
      </c>
      <c r="BH1086" s="47">
        <v>650</v>
      </c>
      <c r="BI1086" s="8"/>
      <c r="BJ1086" s="3"/>
      <c r="BK1086" s="47"/>
      <c r="BL1086" s="47"/>
      <c r="BM1086" s="46"/>
      <c r="BN1086" s="46"/>
      <c r="BO1086" s="24">
        <f>AL1086+AN1086+AP1086+AR1086+AT1086+AV1086+AX1086+AZ1086+BB1086+BD1086+BF1086+BH1086+BJ1086+BL1086+BN1086</f>
        <v>5412.77</v>
      </c>
      <c r="BP1086" s="28">
        <f>AJ1086-BO1086</f>
        <v>-572472.9555</v>
      </c>
      <c r="BQ1086" s="2">
        <v>45757</v>
      </c>
    </row>
    <row r="1087" spans="1:73" hidden="true">
      <c r="D1087" s="9" t="s">
        <v>10</v>
      </c>
      <c r="E1087" s="2">
        <v>45758</v>
      </c>
      <c r="F1087" s="38"/>
      <c r="G1087" s="126"/>
      <c r="H1087" s="4">
        <f>F410*50%</f>
        <v>2239.5</v>
      </c>
      <c r="I1087" s="120"/>
      <c r="J1087" s="4">
        <f>(G1087+H1087)-I1087</f>
        <v>2239.5</v>
      </c>
      <c r="K1087" s="4">
        <f>J1087+O1086</f>
        <v>245409.49</v>
      </c>
      <c r="L1087" s="3" t="s">
        <v>493</v>
      </c>
      <c r="M1087" s="3">
        <v>2502</v>
      </c>
      <c r="N1087" s="33">
        <f>I1087+M1087</f>
        <v>2502</v>
      </c>
      <c r="O1087" s="28">
        <f>K1087-M1087</f>
        <v>242907.49</v>
      </c>
      <c r="P1087" s="9" t="s">
        <v>10</v>
      </c>
      <c r="Q1087" s="2">
        <v>45758</v>
      </c>
      <c r="R1087" s="38"/>
      <c r="S1087" s="52"/>
      <c r="T1087" s="4">
        <f>R410*45%</f>
        <v>2604.105</v>
      </c>
      <c r="U1087" s="5"/>
      <c r="V1087" s="4">
        <f>(S1087+T1087)-U1087</f>
        <v>2604.105</v>
      </c>
      <c r="W1087" s="4">
        <f>V1087+AA1086</f>
        <v>57053.015</v>
      </c>
      <c r="X1087" s="3"/>
      <c r="Y1087" s="3"/>
      <c r="Z1087" s="25">
        <f>U1087+Y1087</f>
        <v>0</v>
      </c>
      <c r="AA1087" s="76">
        <f>W1087-Y1087</f>
        <v>57053.015</v>
      </c>
      <c r="AB1087" s="9" t="s">
        <v>10</v>
      </c>
      <c r="AC1087" s="19">
        <v>45758</v>
      </c>
      <c r="AD1087" s="41"/>
      <c r="AE1087" s="42"/>
      <c r="AF1087" s="4">
        <f>AD410-H1087-T1087</f>
        <v>5422.295</v>
      </c>
      <c r="AG1087" s="3"/>
      <c r="AH1087" s="8"/>
      <c r="AI1087" s="4">
        <f>(AE1087+AF1087)-AH1087</f>
        <v>5422.295</v>
      </c>
      <c r="AJ1087" s="4">
        <f>AI1087+BP1086</f>
        <v>-567050.6605</v>
      </c>
      <c r="AK1087" s="8"/>
      <c r="AL1087" s="8"/>
      <c r="AM1087" s="47"/>
      <c r="AN1087" s="47"/>
      <c r="AO1087" s="8" t="s">
        <v>494</v>
      </c>
      <c r="AP1087" s="8">
        <v>2000</v>
      </c>
      <c r="AQ1087" s="47"/>
      <c r="AR1087" s="47"/>
      <c r="AS1087" s="8"/>
      <c r="AT1087" s="8"/>
      <c r="AU1087" s="47"/>
      <c r="AV1087" s="47"/>
      <c r="AW1087" s="8"/>
      <c r="AX1087" s="8"/>
      <c r="AY1087" s="47"/>
      <c r="AZ1087" s="47"/>
      <c r="BA1087" s="8" t="s">
        <v>341</v>
      </c>
      <c r="BB1087" s="8">
        <v>589</v>
      </c>
      <c r="BC1087" s="47"/>
      <c r="BD1087" s="47"/>
      <c r="BE1087" s="8"/>
      <c r="BF1087" s="8"/>
      <c r="BG1087" s="47" t="s">
        <v>98</v>
      </c>
      <c r="BH1087" s="47">
        <v>790</v>
      </c>
      <c r="BI1087" s="8"/>
      <c r="BJ1087" s="3"/>
      <c r="BK1087" s="47"/>
      <c r="BL1087" s="47"/>
      <c r="BM1087" s="46"/>
      <c r="BN1087" s="46"/>
      <c r="BO1087" s="24">
        <f>AL1087+AN1087+AP1087+AR1087+AT1087+AV1087+AX1087+AZ1087+BB1087+BD1087+BF1087+BH1087+BJ1087+BL1087+BN1087</f>
        <v>3379</v>
      </c>
      <c r="BP1087" s="28">
        <f>AJ1087-BO1087</f>
        <v>-570429.6605</v>
      </c>
      <c r="BQ1087" s="2">
        <v>45758</v>
      </c>
    </row>
    <row r="1088" spans="1:73" hidden="true">
      <c r="D1088" s="9" t="s">
        <v>11</v>
      </c>
      <c r="E1088" s="2">
        <v>45759</v>
      </c>
      <c r="F1088" s="38"/>
      <c r="G1088" s="126"/>
      <c r="H1088" s="4">
        <f>F411*50%</f>
        <v>1473.05</v>
      </c>
      <c r="I1088" s="120">
        <f>555+1000</f>
        <v>1555</v>
      </c>
      <c r="J1088" s="4">
        <f>(G1088+H1088)-I1088</f>
        <v>-81.95</v>
      </c>
      <c r="K1088" s="4">
        <f>J1088+O1087</f>
        <v>242825.54</v>
      </c>
      <c r="L1088" s="3"/>
      <c r="M1088" s="3"/>
      <c r="N1088" s="33">
        <f>I1088+M1088</f>
        <v>1555</v>
      </c>
      <c r="O1088" s="28">
        <f>K1088-M1088</f>
        <v>242825.54</v>
      </c>
      <c r="P1088" s="9" t="s">
        <v>11</v>
      </c>
      <c r="Q1088" s="2">
        <v>45759</v>
      </c>
      <c r="R1088" s="38"/>
      <c r="S1088" s="52"/>
      <c r="T1088" s="4">
        <f>R411*45%</f>
        <v>1827</v>
      </c>
      <c r="U1088" s="5"/>
      <c r="V1088" s="4">
        <f>(S1088+T1088)-U1088</f>
        <v>1827</v>
      </c>
      <c r="W1088" s="4">
        <f>V1088+AA1087</f>
        <v>58880.015</v>
      </c>
      <c r="X1088" s="3"/>
      <c r="Y1088" s="3"/>
      <c r="Z1088" s="25">
        <f>U1088+Y1088</f>
        <v>0</v>
      </c>
      <c r="AA1088" s="76">
        <f>W1088-Y1088</f>
        <v>58880.015</v>
      </c>
      <c r="AB1088" s="9" t="s">
        <v>11</v>
      </c>
      <c r="AC1088" s="19">
        <v>45759</v>
      </c>
      <c r="AD1088" s="41"/>
      <c r="AE1088" s="42"/>
      <c r="AF1088" s="4">
        <f>AD411-H1088-T1088</f>
        <v>3706.05</v>
      </c>
      <c r="AG1088" s="3"/>
      <c r="AH1088" s="8"/>
      <c r="AI1088" s="4">
        <f>(AE1088+AF1088)-AH1088</f>
        <v>3706.05</v>
      </c>
      <c r="AJ1088" s="4">
        <f>AI1088+BP1087</f>
        <v>-566723.6105</v>
      </c>
      <c r="AK1088" s="8" t="s">
        <v>41</v>
      </c>
      <c r="AL1088" s="8">
        <v>2314.82</v>
      </c>
      <c r="AM1088" s="47"/>
      <c r="AN1088" s="47"/>
      <c r="AO1088" s="8"/>
      <c r="AP1088" s="8"/>
      <c r="AQ1088" s="47"/>
      <c r="AR1088" s="47"/>
      <c r="AS1088" s="8" t="s">
        <v>495</v>
      </c>
      <c r="AT1088" s="8">
        <v>550</v>
      </c>
      <c r="AU1088" s="47"/>
      <c r="AV1088" s="47"/>
      <c r="AW1088" s="8"/>
      <c r="AX1088" s="8"/>
      <c r="AY1088" s="47"/>
      <c r="AZ1088" s="47"/>
      <c r="BA1088" s="8" t="s">
        <v>341</v>
      </c>
      <c r="BB1088" s="8">
        <v>465</v>
      </c>
      <c r="BC1088" s="47"/>
      <c r="BD1088" s="47"/>
      <c r="BE1088" s="8"/>
      <c r="BF1088" s="8"/>
      <c r="BG1088" s="47" t="s">
        <v>98</v>
      </c>
      <c r="BH1088" s="47">
        <v>1000</v>
      </c>
      <c r="BI1088" s="8"/>
      <c r="BJ1088" s="3"/>
      <c r="BK1088" s="47"/>
      <c r="BL1088" s="47"/>
      <c r="BM1088" s="46"/>
      <c r="BN1088" s="46"/>
      <c r="BO1088" s="24">
        <f>AL1088+AN1088+AP1088+AR1088+AT1088+AV1088+AX1088+AZ1088+BB1088+BD1088+BF1088+BH1088+BJ1088+BL1088+BN1088</f>
        <v>4329.82</v>
      </c>
      <c r="BP1088" s="28">
        <f>AJ1088-BO1088</f>
        <v>-571053.4305</v>
      </c>
      <c r="BQ1088" s="2">
        <v>45759</v>
      </c>
    </row>
    <row r="1089" spans="1:73" hidden="true">
      <c r="D1089" s="9" t="s">
        <v>12</v>
      </c>
      <c r="E1089" s="2">
        <v>45760</v>
      </c>
      <c r="F1089" s="38"/>
      <c r="G1089" s="126"/>
      <c r="H1089" s="4">
        <f>F412*50%</f>
        <v>2287.95</v>
      </c>
      <c r="I1089" s="120"/>
      <c r="J1089" s="4">
        <f>(G1089+H1089)-I1089</f>
        <v>2287.95</v>
      </c>
      <c r="K1089" s="4">
        <f>J1089+O1088</f>
        <v>245113.49</v>
      </c>
      <c r="L1089" s="3"/>
      <c r="M1089" s="3"/>
      <c r="N1089" s="33">
        <f>I1089+M1089</f>
        <v>0</v>
      </c>
      <c r="O1089" s="28">
        <f>K1089-M1089</f>
        <v>245113.49</v>
      </c>
      <c r="P1089" s="9" t="s">
        <v>12</v>
      </c>
      <c r="Q1089" s="2">
        <v>45760</v>
      </c>
      <c r="R1089" s="38"/>
      <c r="S1089" s="52"/>
      <c r="T1089" s="4">
        <f>R412*45%</f>
        <v>2305.665</v>
      </c>
      <c r="U1089" s="5"/>
      <c r="V1089" s="4">
        <f>(S1089+T1089)-U1089</f>
        <v>2305.665</v>
      </c>
      <c r="W1089" s="4">
        <f>V1089+AA1088</f>
        <v>61185.68</v>
      </c>
      <c r="X1089" s="3"/>
      <c r="Y1089" s="3"/>
      <c r="Z1089" s="25">
        <f>U1089+Y1089</f>
        <v>0</v>
      </c>
      <c r="AA1089" s="76">
        <f>W1089-Y1089</f>
        <v>61185.68</v>
      </c>
      <c r="AB1089" s="9" t="s">
        <v>12</v>
      </c>
      <c r="AC1089" s="19">
        <v>45760</v>
      </c>
      <c r="AD1089" s="41"/>
      <c r="AE1089" s="42"/>
      <c r="AF1089" s="4">
        <f>AD412-H1089-T1089</f>
        <v>5105.985</v>
      </c>
      <c r="AG1089" s="3"/>
      <c r="AH1089" s="8"/>
      <c r="AI1089" s="4">
        <f>(AE1089+AF1089)-AH1089</f>
        <v>5105.985</v>
      </c>
      <c r="AJ1089" s="4">
        <f>AI1089+BP1088</f>
        <v>-565947.4455</v>
      </c>
      <c r="AK1089" s="8"/>
      <c r="AL1089" s="8"/>
      <c r="AM1089" s="47"/>
      <c r="AN1089" s="47"/>
      <c r="AO1089" s="8"/>
      <c r="AP1089" s="8"/>
      <c r="AQ1089" s="47"/>
      <c r="AR1089" s="47"/>
      <c r="AS1089" s="8"/>
      <c r="AT1089" s="8"/>
      <c r="AU1089" s="47"/>
      <c r="AV1089" s="47"/>
      <c r="AW1089" s="8"/>
      <c r="AX1089" s="8"/>
      <c r="AY1089" s="47"/>
      <c r="AZ1089" s="47"/>
      <c r="BA1089" s="8" t="s">
        <v>341</v>
      </c>
      <c r="BB1089" s="8">
        <v>437</v>
      </c>
      <c r="BC1089" s="47"/>
      <c r="BD1089" s="47"/>
      <c r="BE1089" s="8"/>
      <c r="BF1089" s="8"/>
      <c r="BG1089" s="47"/>
      <c r="BH1089" s="47"/>
      <c r="BI1089" s="8"/>
      <c r="BJ1089" s="3"/>
      <c r="BK1089" s="47"/>
      <c r="BL1089" s="47"/>
      <c r="BM1089" s="46"/>
      <c r="BN1089" s="46"/>
      <c r="BO1089" s="24">
        <f>AL1089+AN1089+AP1089+AR1089+AT1089+AV1089+AX1089+AZ1089+BB1089+BD1089+BF1089+BH1089+BJ1089+BL1089+BN1089</f>
        <v>437</v>
      </c>
      <c r="BP1089" s="28">
        <f>AJ1089-BO1089</f>
        <v>-566384.4455</v>
      </c>
      <c r="BQ1089" s="2">
        <v>45760</v>
      </c>
    </row>
    <row r="1090" spans="1:73" hidden="true">
      <c r="D1090" s="9" t="s">
        <v>13</v>
      </c>
      <c r="E1090" s="2">
        <v>45761</v>
      </c>
      <c r="F1090" s="38"/>
      <c r="G1090" s="126"/>
      <c r="H1090" s="4">
        <f>F413*50%</f>
        <v>2244.375</v>
      </c>
      <c r="I1090" s="120"/>
      <c r="J1090" s="4">
        <f>(G1090+H1090)-I1090</f>
        <v>2244.375</v>
      </c>
      <c r="K1090" s="4">
        <f>J1090+O1089</f>
        <v>247357.865</v>
      </c>
      <c r="L1090" s="3"/>
      <c r="M1090" s="3"/>
      <c r="N1090" s="33">
        <f>I1090+M1090</f>
        <v>0</v>
      </c>
      <c r="O1090" s="28">
        <f>K1090-M1090</f>
        <v>247357.865</v>
      </c>
      <c r="P1090" s="9" t="s">
        <v>13</v>
      </c>
      <c r="Q1090" s="2">
        <v>45761</v>
      </c>
      <c r="R1090" s="38"/>
      <c r="S1090" s="52"/>
      <c r="T1090" s="4">
        <f>R413*45%</f>
        <v>1394.1</v>
      </c>
      <c r="U1090" s="5"/>
      <c r="V1090" s="4">
        <f>(S1090+T1090)-U1090</f>
        <v>1394.1</v>
      </c>
      <c r="W1090" s="4">
        <f>V1090+AA1089</f>
        <v>62579.78</v>
      </c>
      <c r="X1090" s="3"/>
      <c r="Y1090" s="3"/>
      <c r="Z1090" s="25">
        <f>U1090+Y1090</f>
        <v>0</v>
      </c>
      <c r="AA1090" s="76">
        <f>W1090-Y1090</f>
        <v>62579.78</v>
      </c>
      <c r="AB1090" s="9" t="s">
        <v>13</v>
      </c>
      <c r="AC1090" s="19">
        <v>45761</v>
      </c>
      <c r="AD1090" s="41"/>
      <c r="AE1090" s="42"/>
      <c r="AF1090" s="4">
        <f>AD413-H1090-T1090</f>
        <v>3948.275</v>
      </c>
      <c r="AG1090" s="3"/>
      <c r="AH1090" s="8"/>
      <c r="AI1090" s="4">
        <f>(AE1090+AF1090)-AH1090</f>
        <v>3948.275</v>
      </c>
      <c r="AJ1090" s="4">
        <f>AI1090+BP1089</f>
        <v>-562436.1705</v>
      </c>
      <c r="AK1090" s="8"/>
      <c r="AL1090" s="8"/>
      <c r="AM1090" s="47" t="s">
        <v>496</v>
      </c>
      <c r="AN1090" s="47">
        <v>12000</v>
      </c>
      <c r="AO1090" s="8"/>
      <c r="AP1090" s="8"/>
      <c r="AQ1090" s="47"/>
      <c r="AR1090" s="47"/>
      <c r="AS1090" s="8"/>
      <c r="AT1090" s="8"/>
      <c r="AU1090" s="47"/>
      <c r="AV1090" s="47"/>
      <c r="AW1090" s="8"/>
      <c r="AX1090" s="8"/>
      <c r="AY1090" s="47"/>
      <c r="AZ1090" s="47"/>
      <c r="BA1090" s="8" t="s">
        <v>341</v>
      </c>
      <c r="BB1090" s="8">
        <v>405</v>
      </c>
      <c r="BC1090" s="47"/>
      <c r="BD1090" s="47"/>
      <c r="BE1090" s="8"/>
      <c r="BF1090" s="8"/>
      <c r="BG1090" s="47" t="s">
        <v>98</v>
      </c>
      <c r="BH1090" s="47">
        <v>1000</v>
      </c>
      <c r="BI1090" s="8"/>
      <c r="BJ1090" s="3"/>
      <c r="BK1090" s="47"/>
      <c r="BL1090" s="47"/>
      <c r="BM1090" s="46"/>
      <c r="BN1090" s="46"/>
      <c r="BO1090" s="24">
        <f>AL1090+AN1090+AP1090+AR1090+AT1090+AV1090+AX1090+AZ1090+BB1090+BD1090+BF1090+BH1090+BJ1090+BL1090+BN1090</f>
        <v>13405</v>
      </c>
      <c r="BP1090" s="28">
        <f>AJ1090-BO1090</f>
        <v>-575841.1705</v>
      </c>
      <c r="BQ1090" s="2">
        <v>45761</v>
      </c>
    </row>
    <row r="1091" spans="1:73" hidden="true">
      <c r="D1091" s="9" t="s">
        <v>14</v>
      </c>
      <c r="E1091" s="2">
        <v>45762</v>
      </c>
      <c r="F1091" s="38"/>
      <c r="G1091" s="126"/>
      <c r="H1091" s="4">
        <f>F414*50%</f>
        <v>2076.675</v>
      </c>
      <c r="I1091" s="120"/>
      <c r="J1091" s="4">
        <f>(G1091+H1091)-I1091</f>
        <v>2076.675</v>
      </c>
      <c r="K1091" s="4">
        <f>J1091+O1090</f>
        <v>249434.54</v>
      </c>
      <c r="L1091" s="3"/>
      <c r="M1091" s="3"/>
      <c r="N1091" s="33">
        <f>I1091+M1091</f>
        <v>0</v>
      </c>
      <c r="O1091" s="28">
        <f>K1091-M1091</f>
        <v>249434.54</v>
      </c>
      <c r="P1091" s="9" t="s">
        <v>14</v>
      </c>
      <c r="Q1091" s="2">
        <v>45762</v>
      </c>
      <c r="R1091" s="38"/>
      <c r="S1091" s="52"/>
      <c r="T1091" s="4">
        <f>R414*45%</f>
        <v>1836.405</v>
      </c>
      <c r="U1091" s="5"/>
      <c r="V1091" s="4">
        <f>(S1091+T1091)-U1091</f>
        <v>1836.405</v>
      </c>
      <c r="W1091" s="4">
        <f>V1091+AA1090</f>
        <v>64416.185</v>
      </c>
      <c r="X1091" s="3"/>
      <c r="Y1091" s="3"/>
      <c r="Z1091" s="25">
        <f>U1091+Y1091</f>
        <v>0</v>
      </c>
      <c r="AA1091" s="76">
        <f>W1091-Y1091</f>
        <v>64416.185</v>
      </c>
      <c r="AB1091" s="9" t="s">
        <v>14</v>
      </c>
      <c r="AC1091" s="19">
        <v>45762</v>
      </c>
      <c r="AD1091" s="41"/>
      <c r="AE1091" s="42"/>
      <c r="AF1091" s="4">
        <f>AD414-H1091-T1091</f>
        <v>4321.17</v>
      </c>
      <c r="AG1091" s="3"/>
      <c r="AH1091" s="8"/>
      <c r="AI1091" s="4">
        <f>(AE1091+AF1091)-AH1091</f>
        <v>4321.17</v>
      </c>
      <c r="AJ1091" s="4">
        <f>AI1091+BP1090</f>
        <v>-571520.0005</v>
      </c>
      <c r="AK1091" s="8" t="s">
        <v>41</v>
      </c>
      <c r="AL1091" s="8">
        <v>3485.31</v>
      </c>
      <c r="AM1091" s="47" t="s">
        <v>496</v>
      </c>
      <c r="AN1091" s="47">
        <f>18000+8000</f>
        <v>26000</v>
      </c>
      <c r="AO1091" s="8"/>
      <c r="AP1091" s="8"/>
      <c r="AQ1091" s="47"/>
      <c r="AR1091" s="47"/>
      <c r="AS1091" s="8"/>
      <c r="AT1091" s="8"/>
      <c r="AU1091" s="47"/>
      <c r="AV1091" s="47"/>
      <c r="AW1091" s="8"/>
      <c r="AX1091" s="8"/>
      <c r="AY1091" s="47"/>
      <c r="AZ1091" s="47"/>
      <c r="BA1091" s="8" t="s">
        <v>341</v>
      </c>
      <c r="BB1091" s="8">
        <v>332</v>
      </c>
      <c r="BC1091" s="47"/>
      <c r="BD1091" s="47"/>
      <c r="BE1091" s="8"/>
      <c r="BF1091" s="8"/>
      <c r="BG1091" s="47" t="s">
        <v>98</v>
      </c>
      <c r="BH1091" s="47">
        <v>1000</v>
      </c>
      <c r="BI1091" s="8"/>
      <c r="BJ1091" s="3"/>
      <c r="BK1091" s="47"/>
      <c r="BL1091" s="47"/>
      <c r="BM1091" s="46"/>
      <c r="BN1091" s="46"/>
      <c r="BO1091" s="24">
        <f>AL1091+AN1091+AP1091+AR1091+AT1091+AV1091+AX1091+AZ1091+BB1091+BD1091+BF1091+BH1091+BJ1091+BL1091+BN1091</f>
        <v>30817.31</v>
      </c>
      <c r="BP1091" s="28">
        <f>AJ1091-BO1091</f>
        <v>-602337.3105</v>
      </c>
      <c r="BQ1091" s="2">
        <v>45762</v>
      </c>
    </row>
    <row r="1092" spans="1:73" hidden="true">
      <c r="D1092" s="9" t="s">
        <v>15</v>
      </c>
      <c r="E1092" s="2">
        <v>45763</v>
      </c>
      <c r="F1092" s="38"/>
      <c r="G1092" s="126"/>
      <c r="H1092" s="4">
        <f>F415*50%</f>
        <v>1419.35</v>
      </c>
      <c r="I1092" s="120"/>
      <c r="J1092" s="4">
        <f>(G1092+H1092)-I1092</f>
        <v>1419.35</v>
      </c>
      <c r="K1092" s="4">
        <f>J1092+O1091</f>
        <v>250853.89</v>
      </c>
      <c r="L1092" s="3"/>
      <c r="M1092" s="3"/>
      <c r="N1092" s="33">
        <f>I1092+M1092</f>
        <v>0</v>
      </c>
      <c r="O1092" s="28">
        <f>K1092-M1092</f>
        <v>250853.89</v>
      </c>
      <c r="P1092" s="9" t="s">
        <v>15</v>
      </c>
      <c r="Q1092" s="2">
        <v>45763</v>
      </c>
      <c r="R1092" s="38"/>
      <c r="S1092" s="52"/>
      <c r="T1092" s="4">
        <f>R415*45%</f>
        <v>2233.755</v>
      </c>
      <c r="U1092" s="5"/>
      <c r="V1092" s="4">
        <f>(S1092+T1092)-U1092</f>
        <v>2233.755</v>
      </c>
      <c r="W1092" s="4">
        <f>V1092+AA1091</f>
        <v>66649.94</v>
      </c>
      <c r="X1092" s="3"/>
      <c r="Y1092" s="3"/>
      <c r="Z1092" s="25">
        <f>U1092+Y1092</f>
        <v>0</v>
      </c>
      <c r="AA1092" s="76">
        <f>W1092-Y1092</f>
        <v>66649.94</v>
      </c>
      <c r="AB1092" s="9" t="s">
        <v>15</v>
      </c>
      <c r="AC1092" s="19">
        <v>45763</v>
      </c>
      <c r="AD1092" s="41"/>
      <c r="AE1092" s="42"/>
      <c r="AF1092" s="4">
        <f>AD415-H1092-T1092</f>
        <v>4149.495</v>
      </c>
      <c r="AG1092" s="3"/>
      <c r="AH1092" s="8"/>
      <c r="AI1092" s="4">
        <f>(AE1092+AF1092)-AH1092</f>
        <v>4149.495</v>
      </c>
      <c r="AJ1092" s="4">
        <f>AI1092+BP1091</f>
        <v>-598187.8155</v>
      </c>
      <c r="AK1092" s="8" t="s">
        <v>41</v>
      </c>
      <c r="AL1092" s="8">
        <v>2000</v>
      </c>
      <c r="AM1092" s="47"/>
      <c r="AN1092" s="47"/>
      <c r="AO1092" s="8"/>
      <c r="AP1092" s="8"/>
      <c r="AQ1092" s="47"/>
      <c r="AR1092" s="47"/>
      <c r="AS1092" s="8"/>
      <c r="AT1092" s="8"/>
      <c r="AU1092" s="47"/>
      <c r="AV1092" s="47"/>
      <c r="AW1092" s="8"/>
      <c r="AX1092" s="8"/>
      <c r="AY1092" s="47"/>
      <c r="AZ1092" s="47"/>
      <c r="BA1092" s="8" t="s">
        <v>341</v>
      </c>
      <c r="BB1092" s="8">
        <v>464</v>
      </c>
      <c r="BC1092" s="47" t="s">
        <v>489</v>
      </c>
      <c r="BD1092" s="47">
        <v>1000</v>
      </c>
      <c r="BE1092" s="8"/>
      <c r="BF1092" s="8"/>
      <c r="BG1092" s="47" t="s">
        <v>98</v>
      </c>
      <c r="BH1092" s="47">
        <v>600</v>
      </c>
      <c r="BI1092" s="8"/>
      <c r="BJ1092" s="3"/>
      <c r="BK1092" s="47"/>
      <c r="BL1092" s="47"/>
      <c r="BM1092" s="46"/>
      <c r="BN1092" s="46"/>
      <c r="BO1092" s="24">
        <f>AL1092+AN1092+AP1092+AR1092+AT1092+AV1092+AX1092+AZ1092+BB1092+BD1092+BF1092+BH1092+BJ1092+BL1092+BN1092</f>
        <v>4064</v>
      </c>
      <c r="BP1092" s="28">
        <f>AJ1092-BO1092</f>
        <v>-602251.8155</v>
      </c>
      <c r="BQ1092" s="2">
        <v>45763</v>
      </c>
    </row>
    <row r="1093" spans="1:73" hidden="true">
      <c r="D1093" s="9" t="s">
        <v>16</v>
      </c>
      <c r="E1093" s="2">
        <v>45764</v>
      </c>
      <c r="F1093" s="38"/>
      <c r="G1093" s="126"/>
      <c r="H1093" s="4">
        <f>F416*50%</f>
        <v>1810.75</v>
      </c>
      <c r="I1093" s="120"/>
      <c r="J1093" s="4">
        <f>(G1093+H1093)-I1093</f>
        <v>1810.75</v>
      </c>
      <c r="K1093" s="4">
        <f>J1093+O1092</f>
        <v>252664.64</v>
      </c>
      <c r="L1093" s="3"/>
      <c r="M1093" s="3"/>
      <c r="N1093" s="33">
        <f>I1093+M1093</f>
        <v>0</v>
      </c>
      <c r="O1093" s="28">
        <f>K1093-M1093</f>
        <v>252664.64</v>
      </c>
      <c r="P1093" s="9" t="s">
        <v>16</v>
      </c>
      <c r="Q1093" s="2">
        <v>45764</v>
      </c>
      <c r="R1093" s="38"/>
      <c r="S1093" s="52"/>
      <c r="T1093" s="4">
        <f>R416*45%</f>
        <v>2937.96</v>
      </c>
      <c r="U1093" s="5"/>
      <c r="V1093" s="4">
        <f>(S1093+T1093)-U1093</f>
        <v>2937.96</v>
      </c>
      <c r="W1093" s="4">
        <f>V1093+AA1092</f>
        <v>69587.9</v>
      </c>
      <c r="X1093" s="3"/>
      <c r="Y1093" s="3"/>
      <c r="Z1093" s="25">
        <f>U1093+Y1093</f>
        <v>0</v>
      </c>
      <c r="AA1093" s="76">
        <f>W1093-Y1093</f>
        <v>69587.9</v>
      </c>
      <c r="AB1093" s="9" t="s">
        <v>16</v>
      </c>
      <c r="AC1093" s="19">
        <v>45764</v>
      </c>
      <c r="AD1093" s="41"/>
      <c r="AE1093" s="42"/>
      <c r="AF1093" s="4">
        <f>AD416-H1093-T1093</f>
        <v>5401.59</v>
      </c>
      <c r="AG1093" s="3"/>
      <c r="AH1093" s="8"/>
      <c r="AI1093" s="4">
        <f>(AE1093+AF1093)-AH1093</f>
        <v>5401.59</v>
      </c>
      <c r="AJ1093" s="4">
        <f>AI1093+BP1092</f>
        <v>-596850.2255</v>
      </c>
      <c r="AK1093" s="8" t="s">
        <v>436</v>
      </c>
      <c r="AL1093" s="8">
        <f>2897.73+400</f>
        <v>3297.73</v>
      </c>
      <c r="AM1093" s="47"/>
      <c r="AN1093" s="47"/>
      <c r="AO1093" s="8" t="s">
        <v>497</v>
      </c>
      <c r="AP1093" s="8">
        <v>8000</v>
      </c>
      <c r="AQ1093" s="47"/>
      <c r="AR1093" s="47"/>
      <c r="AS1093" s="8"/>
      <c r="AT1093" s="8"/>
      <c r="AU1093" s="47"/>
      <c r="AV1093" s="47"/>
      <c r="AW1093" s="8"/>
      <c r="AX1093" s="8"/>
      <c r="AY1093" s="47"/>
      <c r="AZ1093" s="47"/>
      <c r="BA1093" s="8" t="s">
        <v>341</v>
      </c>
      <c r="BB1093" s="8">
        <v>816</v>
      </c>
      <c r="BC1093" s="47"/>
      <c r="BD1093" s="47"/>
      <c r="BE1093" s="8"/>
      <c r="BF1093" s="8"/>
      <c r="BG1093" s="47" t="s">
        <v>98</v>
      </c>
      <c r="BH1093" s="47">
        <v>800</v>
      </c>
      <c r="BI1093" s="8"/>
      <c r="BJ1093" s="3"/>
      <c r="BK1093" s="47"/>
      <c r="BL1093" s="47"/>
      <c r="BM1093" s="46"/>
      <c r="BN1093" s="46"/>
      <c r="BO1093" s="24">
        <f>AL1093+AN1093+AP1093+AR1093+AT1093+AV1093+AX1093+AZ1093+BB1093+BD1093+BF1093+BH1093+BJ1093+BL1093+BN1093</f>
        <v>12913.73</v>
      </c>
      <c r="BP1093" s="28">
        <f>AJ1093-BO1093</f>
        <v>-609763.9555</v>
      </c>
      <c r="BQ1093" s="2">
        <v>45764</v>
      </c>
    </row>
    <row r="1094" spans="1:73" hidden="true">
      <c r="D1094" s="9" t="s">
        <v>10</v>
      </c>
      <c r="E1094" s="2">
        <v>45765</v>
      </c>
      <c r="F1094" s="38"/>
      <c r="G1094" s="126"/>
      <c r="H1094" s="4">
        <f>F417*50%</f>
        <v>1568.525</v>
      </c>
      <c r="I1094" s="120"/>
      <c r="J1094" s="4">
        <f>(G1094+H1094)-I1094</f>
        <v>1568.525</v>
      </c>
      <c r="K1094" s="4">
        <f>J1094+O1093</f>
        <v>254233.165</v>
      </c>
      <c r="L1094" s="3"/>
      <c r="M1094" s="3"/>
      <c r="N1094" s="33">
        <f>I1094+M1094</f>
        <v>0</v>
      </c>
      <c r="O1094" s="28">
        <f>K1094-M1094</f>
        <v>254233.165</v>
      </c>
      <c r="P1094" s="9" t="s">
        <v>10</v>
      </c>
      <c r="Q1094" s="2">
        <v>45765</v>
      </c>
      <c r="R1094" s="38"/>
      <c r="S1094" s="52"/>
      <c r="T1094" s="4">
        <f>R417*45%</f>
        <v>1336.455</v>
      </c>
      <c r="U1094" s="5"/>
      <c r="V1094" s="4">
        <f>(S1094+T1094)-U1094</f>
        <v>1336.455</v>
      </c>
      <c r="W1094" s="4">
        <f>V1094+AA1093</f>
        <v>70924.355</v>
      </c>
      <c r="X1094" s="3"/>
      <c r="Y1094" s="3"/>
      <c r="Z1094" s="25">
        <f>U1094+Y1094</f>
        <v>0</v>
      </c>
      <c r="AA1094" s="76">
        <f>W1094-Y1094</f>
        <v>70924.355</v>
      </c>
      <c r="AB1094" s="9" t="s">
        <v>10</v>
      </c>
      <c r="AC1094" s="19">
        <v>45765</v>
      </c>
      <c r="AD1094" s="41"/>
      <c r="AE1094" s="42"/>
      <c r="AF1094" s="4">
        <f>AD417-H1094-T1094</f>
        <v>3201.97</v>
      </c>
      <c r="AG1094" s="3"/>
      <c r="AH1094" s="8"/>
      <c r="AI1094" s="4">
        <f>(AE1094+AF1094)-AH1094</f>
        <v>3201.97</v>
      </c>
      <c r="AJ1094" s="4">
        <f>AI1094+BP1093</f>
        <v>-606561.9855</v>
      </c>
      <c r="AK1094" s="8" t="s">
        <v>41</v>
      </c>
      <c r="AL1094" s="8">
        <v>7000</v>
      </c>
      <c r="AM1094" s="47"/>
      <c r="AN1094" s="47"/>
      <c r="AO1094" s="8" t="s">
        <v>467</v>
      </c>
      <c r="AP1094" s="8">
        <v>375</v>
      </c>
      <c r="AQ1094" s="47"/>
      <c r="AR1094" s="47"/>
      <c r="AS1094" s="8"/>
      <c r="AT1094" s="8"/>
      <c r="AU1094" s="47"/>
      <c r="AV1094" s="47"/>
      <c r="AW1094" s="8"/>
      <c r="AX1094" s="8"/>
      <c r="AY1094" s="47"/>
      <c r="AZ1094" s="47"/>
      <c r="BA1094" s="8" t="s">
        <v>341</v>
      </c>
      <c r="BB1094" s="8">
        <v>468</v>
      </c>
      <c r="BC1094" s="47"/>
      <c r="BD1094" s="47"/>
      <c r="BE1094" s="8"/>
      <c r="BF1094" s="8"/>
      <c r="BG1094" s="47" t="s">
        <v>98</v>
      </c>
      <c r="BH1094" s="47">
        <v>1000</v>
      </c>
      <c r="BI1094" s="8"/>
      <c r="BJ1094" s="3"/>
      <c r="BK1094" s="47"/>
      <c r="BL1094" s="47"/>
      <c r="BM1094" s="46"/>
      <c r="BN1094" s="46"/>
      <c r="BO1094" s="24">
        <f>AL1094+AN1094+AP1094+AR1094+AT1094+AV1094+AX1094+AZ1094+BB1094+BD1094+BF1094+BH1094+BJ1094+BL1094+BN1094</f>
        <v>8843</v>
      </c>
      <c r="BP1094" s="28">
        <f>AJ1094-BO1094</f>
        <v>-615404.9855</v>
      </c>
      <c r="BQ1094" s="2">
        <v>45765</v>
      </c>
    </row>
    <row r="1095" spans="1:73" hidden="true">
      <c r="D1095" s="9" t="s">
        <v>11</v>
      </c>
      <c r="E1095" s="2">
        <v>45766</v>
      </c>
      <c r="F1095" s="38"/>
      <c r="G1095" s="126"/>
      <c r="H1095" s="4">
        <f>F418*50%</f>
        <v>1953.875</v>
      </c>
      <c r="I1095" s="120"/>
      <c r="J1095" s="4">
        <f>(G1095+H1095)-I1095</f>
        <v>1953.875</v>
      </c>
      <c r="K1095" s="4">
        <f>J1095+O1094</f>
        <v>256187.04</v>
      </c>
      <c r="L1095" s="3"/>
      <c r="M1095" s="3"/>
      <c r="N1095" s="33">
        <f>I1095+M1095</f>
        <v>0</v>
      </c>
      <c r="O1095" s="28">
        <f>K1095-M1095</f>
        <v>256187.04</v>
      </c>
      <c r="P1095" s="9" t="s">
        <v>11</v>
      </c>
      <c r="Q1095" s="2">
        <v>45766</v>
      </c>
      <c r="R1095" s="38"/>
      <c r="S1095" s="52"/>
      <c r="T1095" s="4">
        <f>R418*45%</f>
        <v>1330.11</v>
      </c>
      <c r="U1095" s="5"/>
      <c r="V1095" s="4">
        <f>(S1095+T1095)-U1095</f>
        <v>1330.11</v>
      </c>
      <c r="W1095" s="4">
        <f>V1095+AA1094</f>
        <v>72254.465</v>
      </c>
      <c r="X1095" s="3"/>
      <c r="Y1095" s="3"/>
      <c r="Z1095" s="25">
        <f>U1095+Y1095</f>
        <v>0</v>
      </c>
      <c r="AA1095" s="76">
        <f>W1095-Y1095</f>
        <v>72254.465</v>
      </c>
      <c r="AB1095" s="9" t="s">
        <v>11</v>
      </c>
      <c r="AC1095" s="19">
        <v>45766</v>
      </c>
      <c r="AD1095" s="41"/>
      <c r="AE1095" s="42"/>
      <c r="AF1095" s="4">
        <f>AD418-H1095-T1095</f>
        <v>3579.565</v>
      </c>
      <c r="AG1095" s="3"/>
      <c r="AH1095" s="8"/>
      <c r="AI1095" s="4">
        <f>(AE1095+AF1095)-AH1095</f>
        <v>3579.565</v>
      </c>
      <c r="AJ1095" s="4">
        <f>AI1095+BP1094</f>
        <v>-611825.4205</v>
      </c>
      <c r="AK1095" s="8"/>
      <c r="AL1095" s="8"/>
      <c r="AM1095" s="47"/>
      <c r="AN1095" s="47"/>
      <c r="AO1095" s="8"/>
      <c r="AP1095" s="8"/>
      <c r="AQ1095" s="47"/>
      <c r="AR1095" s="47"/>
      <c r="AS1095" s="8"/>
      <c r="AT1095" s="8"/>
      <c r="AU1095" s="47"/>
      <c r="AV1095" s="47"/>
      <c r="AW1095" s="8"/>
      <c r="AX1095" s="8"/>
      <c r="AY1095" s="47"/>
      <c r="AZ1095" s="47"/>
      <c r="BA1095" s="8" t="s">
        <v>341</v>
      </c>
      <c r="BB1095" s="8">
        <v>365</v>
      </c>
      <c r="BC1095" s="47"/>
      <c r="BD1095" s="47"/>
      <c r="BE1095" s="8"/>
      <c r="BF1095" s="8"/>
      <c r="BG1095" s="47" t="s">
        <v>98</v>
      </c>
      <c r="BH1095" s="47">
        <v>1000</v>
      </c>
      <c r="BI1095" s="8"/>
      <c r="BJ1095" s="3"/>
      <c r="BK1095" s="47"/>
      <c r="BL1095" s="47"/>
      <c r="BM1095" s="46"/>
      <c r="BN1095" s="46"/>
      <c r="BO1095" s="24">
        <f>AL1095+AN1095+AP1095+AR1095+AT1095+AV1095+AX1095+AZ1095+BB1095+BD1095+BF1095+BH1095+BJ1095+BL1095+BN1095</f>
        <v>1365</v>
      </c>
      <c r="BP1095" s="28">
        <f>AJ1095-BO1095</f>
        <v>-613190.4205</v>
      </c>
      <c r="BQ1095" s="2">
        <v>45766</v>
      </c>
    </row>
    <row r="1096" spans="1:73" hidden="true">
      <c r="D1096" s="9" t="s">
        <v>12</v>
      </c>
      <c r="E1096" s="2">
        <v>45767</v>
      </c>
      <c r="F1096" s="38"/>
      <c r="G1096" s="126"/>
      <c r="H1096" s="4">
        <f>F419*50%</f>
        <v>1633.65</v>
      </c>
      <c r="I1096" s="120"/>
      <c r="J1096" s="4">
        <f>(G1096+H1096)-I1096</f>
        <v>1633.65</v>
      </c>
      <c r="K1096" s="4">
        <f>J1096+O1095</f>
        <v>257820.69</v>
      </c>
      <c r="L1096" s="3"/>
      <c r="M1096" s="3"/>
      <c r="N1096" s="33">
        <f>I1096+M1096</f>
        <v>0</v>
      </c>
      <c r="O1096" s="28">
        <f>K1096-M1096</f>
        <v>257820.69</v>
      </c>
      <c r="P1096" s="9" t="s">
        <v>12</v>
      </c>
      <c r="Q1096" s="2">
        <v>45767</v>
      </c>
      <c r="R1096" s="38"/>
      <c r="S1096" s="52"/>
      <c r="T1096" s="4">
        <f>R419*45%</f>
        <v>2673.855</v>
      </c>
      <c r="U1096" s="5"/>
      <c r="V1096" s="4">
        <f>(S1096+T1096)-U1096</f>
        <v>2673.855</v>
      </c>
      <c r="W1096" s="4">
        <f>V1096+AA1095</f>
        <v>74928.32</v>
      </c>
      <c r="X1096" s="3"/>
      <c r="Y1096" s="3"/>
      <c r="Z1096" s="25">
        <f>U1096+Y1096</f>
        <v>0</v>
      </c>
      <c r="AA1096" s="76">
        <f>W1096-Y1096</f>
        <v>74928.32</v>
      </c>
      <c r="AB1096" s="9" t="s">
        <v>12</v>
      </c>
      <c r="AC1096" s="19">
        <v>45767</v>
      </c>
      <c r="AD1096" s="41"/>
      <c r="AE1096" s="42"/>
      <c r="AF1096" s="4">
        <f>AD419-H1096-T1096</f>
        <v>4901.695</v>
      </c>
      <c r="AG1096" s="3"/>
      <c r="AH1096" s="8"/>
      <c r="AI1096" s="4">
        <f>(AE1096+AF1096)-AH1096</f>
        <v>4901.695</v>
      </c>
      <c r="AJ1096" s="4">
        <f>AI1096+BP1095</f>
        <v>-608288.7255</v>
      </c>
      <c r="AK1096" s="8"/>
      <c r="AL1096" s="8"/>
      <c r="AM1096" s="47"/>
      <c r="AN1096" s="47"/>
      <c r="AO1096" s="8"/>
      <c r="AP1096" s="8"/>
      <c r="AQ1096" s="47"/>
      <c r="AR1096" s="47"/>
      <c r="AS1096" s="8"/>
      <c r="AT1096" s="8"/>
      <c r="AU1096" s="47"/>
      <c r="AV1096" s="47"/>
      <c r="AW1096" s="8"/>
      <c r="AX1096" s="8"/>
      <c r="AY1096" s="47"/>
      <c r="AZ1096" s="47"/>
      <c r="BA1096" s="8" t="s">
        <v>341</v>
      </c>
      <c r="BB1096" s="8">
        <v>316</v>
      </c>
      <c r="BC1096" s="47"/>
      <c r="BD1096" s="47"/>
      <c r="BE1096" s="8"/>
      <c r="BF1096" s="8"/>
      <c r="BG1096" s="47"/>
      <c r="BH1096" s="47"/>
      <c r="BI1096" s="8"/>
      <c r="BJ1096" s="3"/>
      <c r="BK1096" s="47"/>
      <c r="BL1096" s="47"/>
      <c r="BM1096" s="46"/>
      <c r="BN1096" s="46"/>
      <c r="BO1096" s="24">
        <f>AL1096+AN1096+AP1096+AR1096+AT1096+AV1096+AX1096+AZ1096+BB1096+BD1096+BF1096+BH1096+BJ1096+BL1096+BN1096</f>
        <v>316</v>
      </c>
      <c r="BP1096" s="28">
        <f>AJ1096-BO1096</f>
        <v>-608604.7255</v>
      </c>
      <c r="BQ1096" s="2">
        <v>45767</v>
      </c>
    </row>
    <row r="1097" spans="1:73" hidden="true">
      <c r="D1097" s="9" t="s">
        <v>13</v>
      </c>
      <c r="E1097" s="2">
        <v>45768</v>
      </c>
      <c r="F1097" s="38"/>
      <c r="G1097" s="126"/>
      <c r="H1097" s="4">
        <f>F420*50%</f>
        <v>1917.625</v>
      </c>
      <c r="I1097" s="120"/>
      <c r="J1097" s="4">
        <f>(G1097+H1097)-I1097</f>
        <v>1917.625</v>
      </c>
      <c r="K1097" s="4">
        <f>J1097+O1096</f>
        <v>259738.315</v>
      </c>
      <c r="L1097" s="3" t="s">
        <v>471</v>
      </c>
      <c r="M1097" s="3">
        <v>2000</v>
      </c>
      <c r="N1097" s="33">
        <f>I1097+M1097</f>
        <v>2000</v>
      </c>
      <c r="O1097" s="28">
        <f>K1097-M1097</f>
        <v>257738.315</v>
      </c>
      <c r="P1097" s="9" t="s">
        <v>13</v>
      </c>
      <c r="Q1097" s="2">
        <v>45768</v>
      </c>
      <c r="R1097" s="38"/>
      <c r="S1097" s="52"/>
      <c r="T1097" s="4">
        <f>R420*45%</f>
        <v>636.66</v>
      </c>
      <c r="U1097" s="5"/>
      <c r="V1097" s="4">
        <f>(S1097+T1097)-U1097</f>
        <v>636.66</v>
      </c>
      <c r="W1097" s="4">
        <f>V1097+AA1096</f>
        <v>75564.98</v>
      </c>
      <c r="X1097" s="3"/>
      <c r="Y1097" s="3"/>
      <c r="Z1097" s="25">
        <f>U1097+Y1097</f>
        <v>0</v>
      </c>
      <c r="AA1097" s="76">
        <f>W1097-Y1097</f>
        <v>75564.98</v>
      </c>
      <c r="AB1097" s="9" t="s">
        <v>13</v>
      </c>
      <c r="AC1097" s="19">
        <v>45768</v>
      </c>
      <c r="AD1097" s="41"/>
      <c r="AE1097" s="42"/>
      <c r="AF1097" s="4">
        <f>AD420-H1097-T1097</f>
        <v>2695.765</v>
      </c>
      <c r="AG1097" s="3"/>
      <c r="AH1097" s="8"/>
      <c r="AI1097" s="4">
        <f>(AE1097+AF1097)-AH1097</f>
        <v>2695.765</v>
      </c>
      <c r="AJ1097" s="4">
        <f>AI1097+BP1096</f>
        <v>-605908.9605</v>
      </c>
      <c r="AK1097" s="8" t="s">
        <v>41</v>
      </c>
      <c r="AL1097" s="8">
        <v>3053</v>
      </c>
      <c r="AM1097" s="47"/>
      <c r="AN1097" s="47"/>
      <c r="AO1097" s="8"/>
      <c r="AP1097" s="8"/>
      <c r="AQ1097" s="47"/>
      <c r="AR1097" s="47"/>
      <c r="AS1097" s="8"/>
      <c r="AT1097" s="8"/>
      <c r="AU1097" s="47"/>
      <c r="AV1097" s="47"/>
      <c r="AW1097" s="8"/>
      <c r="AX1097" s="8"/>
      <c r="AY1097" s="47"/>
      <c r="AZ1097" s="47"/>
      <c r="BA1097" s="8" t="s">
        <v>341</v>
      </c>
      <c r="BB1097" s="8">
        <v>196.1</v>
      </c>
      <c r="BC1097" s="47"/>
      <c r="BD1097" s="47"/>
      <c r="BE1097" s="8"/>
      <c r="BF1097" s="8"/>
      <c r="BG1097" s="47" t="s">
        <v>98</v>
      </c>
      <c r="BH1097" s="47">
        <v>850</v>
      </c>
      <c r="BI1097" s="8"/>
      <c r="BJ1097" s="3"/>
      <c r="BK1097" s="47"/>
      <c r="BL1097" s="47"/>
      <c r="BM1097" s="46"/>
      <c r="BN1097" s="46"/>
      <c r="BO1097" s="24">
        <f>AL1097+AN1097+AP1097+AR1097+AT1097+AV1097+AX1097+AZ1097+BB1097+BD1097+BF1097+BH1097+BJ1097+BL1097+BN1097</f>
        <v>4099.1</v>
      </c>
      <c r="BP1097" s="28">
        <f>AJ1097-BO1097</f>
        <v>-610008.0605</v>
      </c>
      <c r="BQ1097" s="2">
        <v>45768</v>
      </c>
    </row>
    <row r="1098" spans="1:73" hidden="true">
      <c r="D1098" s="9" t="s">
        <v>14</v>
      </c>
      <c r="E1098" s="2">
        <v>45769</v>
      </c>
      <c r="F1098" s="38"/>
      <c r="G1098" s="126"/>
      <c r="H1098" s="4">
        <f>F421*50%</f>
        <v>1640.475</v>
      </c>
      <c r="I1098" s="120"/>
      <c r="J1098" s="4">
        <f>(G1098+H1098)-I1098</f>
        <v>1640.475</v>
      </c>
      <c r="K1098" s="4">
        <f>J1098+O1097</f>
        <v>259378.79</v>
      </c>
      <c r="L1098" s="3"/>
      <c r="M1098" s="3"/>
      <c r="N1098" s="33">
        <f>I1098+M1098</f>
        <v>0</v>
      </c>
      <c r="O1098" s="28">
        <f>K1098-M1098</f>
        <v>259378.79</v>
      </c>
      <c r="P1098" s="9" t="s">
        <v>14</v>
      </c>
      <c r="Q1098" s="2">
        <v>45769</v>
      </c>
      <c r="R1098" s="38"/>
      <c r="S1098" s="52"/>
      <c r="T1098" s="4">
        <f>R421*45%</f>
        <v>988.965</v>
      </c>
      <c r="U1098" s="5"/>
      <c r="V1098" s="4">
        <f>(S1098+T1098)-U1098</f>
        <v>988.965</v>
      </c>
      <c r="W1098" s="4">
        <f>V1098+AA1097</f>
        <v>76553.945</v>
      </c>
      <c r="X1098" s="3"/>
      <c r="Y1098" s="3"/>
      <c r="Z1098" s="25">
        <f>U1098+Y1098</f>
        <v>0</v>
      </c>
      <c r="AA1098" s="76">
        <f>W1098-Y1098</f>
        <v>76553.945</v>
      </c>
      <c r="AB1098" s="9" t="s">
        <v>14</v>
      </c>
      <c r="AC1098" s="19">
        <v>45769</v>
      </c>
      <c r="AD1098" s="41"/>
      <c r="AE1098" s="42"/>
      <c r="AF1098" s="4">
        <f>AD421-H1098-T1098</f>
        <v>2849.21</v>
      </c>
      <c r="AG1098" s="3"/>
      <c r="AH1098" s="8"/>
      <c r="AI1098" s="4">
        <f>(AE1098+AF1098)-AH1098</f>
        <v>2849.21</v>
      </c>
      <c r="AJ1098" s="4">
        <f>AI1098+BP1097</f>
        <v>-607158.8505</v>
      </c>
      <c r="AK1098" s="8"/>
      <c r="AL1098" s="8"/>
      <c r="AM1098" s="47" t="s">
        <v>496</v>
      </c>
      <c r="AN1098" s="47">
        <v>12000</v>
      </c>
      <c r="AO1098" s="8"/>
      <c r="AP1098" s="8"/>
      <c r="AQ1098" s="47"/>
      <c r="AR1098" s="47"/>
      <c r="AS1098" s="8"/>
      <c r="AT1098" s="8"/>
      <c r="AU1098" s="47"/>
      <c r="AV1098" s="47"/>
      <c r="AW1098" s="8"/>
      <c r="AX1098" s="8"/>
      <c r="AY1098" s="47"/>
      <c r="AZ1098" s="47"/>
      <c r="BA1098" s="8" t="s">
        <v>341</v>
      </c>
      <c r="BB1098" s="8">
        <v>155</v>
      </c>
      <c r="BC1098" s="47"/>
      <c r="BD1098" s="47"/>
      <c r="BE1098" s="8"/>
      <c r="BF1098" s="8"/>
      <c r="BG1098" s="47" t="s">
        <v>98</v>
      </c>
      <c r="BH1098" s="47">
        <v>500</v>
      </c>
      <c r="BI1098" s="8"/>
      <c r="BJ1098" s="3"/>
      <c r="BK1098" s="47"/>
      <c r="BL1098" s="47"/>
      <c r="BM1098" s="46"/>
      <c r="BN1098" s="46"/>
      <c r="BO1098" s="24">
        <f>AL1098+AN1098+AP1098+AR1098+AT1098+AV1098+AX1098+AZ1098+BB1098+BD1098+BF1098+BH1098+BJ1098+BL1098+BN1098</f>
        <v>12655</v>
      </c>
      <c r="BP1098" s="28">
        <f>AJ1098-BO1098</f>
        <v>-619813.8505</v>
      </c>
      <c r="BQ1098" s="2">
        <v>45769</v>
      </c>
    </row>
    <row r="1099" spans="1:73" hidden="true">
      <c r="D1099" s="9" t="s">
        <v>15</v>
      </c>
      <c r="E1099" s="2">
        <v>45770</v>
      </c>
      <c r="F1099" s="38"/>
      <c r="G1099" s="126"/>
      <c r="H1099" s="4">
        <f>F422*50%</f>
        <v>1163.725</v>
      </c>
      <c r="I1099" s="120"/>
      <c r="J1099" s="4">
        <f>(G1099+H1099)-I1099</f>
        <v>1163.725</v>
      </c>
      <c r="K1099" s="4">
        <f>J1099+O1098</f>
        <v>260542.515</v>
      </c>
      <c r="L1099" s="3"/>
      <c r="M1099" s="3"/>
      <c r="N1099" s="33">
        <f>I1099+M1099</f>
        <v>0</v>
      </c>
      <c r="O1099" s="28">
        <f>K1099-M1099</f>
        <v>260542.515</v>
      </c>
      <c r="P1099" s="9" t="s">
        <v>15</v>
      </c>
      <c r="Q1099" s="2">
        <v>45770</v>
      </c>
      <c r="R1099" s="38"/>
      <c r="S1099" s="52"/>
      <c r="T1099" s="4">
        <f>R422*45%</f>
        <v>1846.8</v>
      </c>
      <c r="U1099" s="5"/>
      <c r="V1099" s="4">
        <f>(S1099+T1099)-U1099</f>
        <v>1846.8</v>
      </c>
      <c r="W1099" s="4">
        <f>V1099+AA1098</f>
        <v>78400.745</v>
      </c>
      <c r="X1099" s="3"/>
      <c r="Y1099" s="3"/>
      <c r="Z1099" s="25">
        <f>U1099+Y1099</f>
        <v>0</v>
      </c>
      <c r="AA1099" s="76">
        <f>W1099-Y1099</f>
        <v>78400.745</v>
      </c>
      <c r="AB1099" s="9" t="s">
        <v>15</v>
      </c>
      <c r="AC1099" s="19">
        <v>45770</v>
      </c>
      <c r="AD1099" s="41"/>
      <c r="AE1099" s="42"/>
      <c r="AF1099" s="4">
        <f>AD422-H1099-T1099</f>
        <v>3420.925</v>
      </c>
      <c r="AG1099" s="3"/>
      <c r="AH1099" s="8"/>
      <c r="AI1099" s="4">
        <f>(AE1099+AF1099)-AH1099</f>
        <v>3420.925</v>
      </c>
      <c r="AJ1099" s="4">
        <f>AI1099+BP1098</f>
        <v>-616392.9255</v>
      </c>
      <c r="AK1099" s="8" t="s">
        <v>41</v>
      </c>
      <c r="AL1099" s="8">
        <v>3300</v>
      </c>
      <c r="AM1099" s="47" t="s">
        <v>498</v>
      </c>
      <c r="AN1099" s="47">
        <f>8385+1611.46</f>
        <v>9996.46</v>
      </c>
      <c r="AO1099" s="8"/>
      <c r="AP1099" s="8"/>
      <c r="AQ1099" s="47"/>
      <c r="AR1099" s="47"/>
      <c r="AS1099" s="8"/>
      <c r="AT1099" s="8"/>
      <c r="AU1099" s="47"/>
      <c r="AV1099" s="47"/>
      <c r="AW1099" s="8"/>
      <c r="AX1099" s="8"/>
      <c r="AY1099" s="47"/>
      <c r="AZ1099" s="47"/>
      <c r="BA1099" s="8" t="s">
        <v>341</v>
      </c>
      <c r="BB1099" s="8">
        <v>498.2</v>
      </c>
      <c r="BC1099" s="47"/>
      <c r="BD1099" s="47"/>
      <c r="BE1099" s="8"/>
      <c r="BF1099" s="8"/>
      <c r="BG1099" s="47" t="s">
        <v>98</v>
      </c>
      <c r="BH1099" s="47">
        <v>400</v>
      </c>
      <c r="BI1099" s="8"/>
      <c r="BJ1099" s="3"/>
      <c r="BK1099" s="47"/>
      <c r="BL1099" s="47"/>
      <c r="BM1099" s="46"/>
      <c r="BN1099" s="46"/>
      <c r="BO1099" s="24">
        <f>AL1099+AN1099+AP1099+AR1099+AT1099+AV1099+AX1099+AZ1099+BB1099+BD1099+BF1099+BH1099+BJ1099+BL1099+BN1099</f>
        <v>14194.66</v>
      </c>
      <c r="BP1099" s="28">
        <f>AJ1099-BO1099</f>
        <v>-630587.5855</v>
      </c>
      <c r="BQ1099" s="2">
        <v>45770</v>
      </c>
    </row>
    <row r="1100" spans="1:73" hidden="true">
      <c r="D1100" s="9" t="s">
        <v>16</v>
      </c>
      <c r="E1100" s="2">
        <v>45771</v>
      </c>
      <c r="F1100" s="38"/>
      <c r="G1100" s="126"/>
      <c r="H1100" s="4">
        <f>F423*50%</f>
        <v>1512.45</v>
      </c>
      <c r="I1100" s="120"/>
      <c r="J1100" s="4">
        <f>(G1100+H1100)-I1100</f>
        <v>1512.45</v>
      </c>
      <c r="K1100" s="4">
        <f>J1100+O1099</f>
        <v>262054.965</v>
      </c>
      <c r="L1100" s="3"/>
      <c r="M1100" s="3"/>
      <c r="N1100" s="33">
        <f>I1100+M1100</f>
        <v>0</v>
      </c>
      <c r="O1100" s="28">
        <f>K1100-M1100</f>
        <v>262054.965</v>
      </c>
      <c r="P1100" s="9" t="s">
        <v>16</v>
      </c>
      <c r="Q1100" s="2">
        <v>45771</v>
      </c>
      <c r="R1100" s="38"/>
      <c r="S1100" s="52"/>
      <c r="T1100" s="4">
        <f>R423*45%</f>
        <v>1725.21</v>
      </c>
      <c r="U1100" s="5"/>
      <c r="V1100" s="4">
        <f>(S1100+T1100)-U1100</f>
        <v>1725.21</v>
      </c>
      <c r="W1100" s="4">
        <f>V1100+AA1099</f>
        <v>80125.955</v>
      </c>
      <c r="X1100" s="3"/>
      <c r="Y1100" s="3"/>
      <c r="Z1100" s="25">
        <f>U1100+Y1100</f>
        <v>0</v>
      </c>
      <c r="AA1100" s="76">
        <f>W1100-Y1100</f>
        <v>80125.955</v>
      </c>
      <c r="AB1100" s="9" t="s">
        <v>16</v>
      </c>
      <c r="AC1100" s="19">
        <v>45771</v>
      </c>
      <c r="AD1100" s="41"/>
      <c r="AE1100" s="42"/>
      <c r="AF1100" s="4">
        <f>AD423-H1100-T1100</f>
        <v>3621.04</v>
      </c>
      <c r="AG1100" s="3"/>
      <c r="AH1100" s="8"/>
      <c r="AI1100" s="4">
        <f>(AE1100+AF1100)-AH1100</f>
        <v>3621.04</v>
      </c>
      <c r="AJ1100" s="4">
        <f>AI1100+BP1099</f>
        <v>-626966.5455</v>
      </c>
      <c r="AK1100" s="8"/>
      <c r="AL1100" s="8"/>
      <c r="AM1100" s="47" t="s">
        <v>7</v>
      </c>
      <c r="AN1100" s="47">
        <v>8720</v>
      </c>
      <c r="AO1100" s="8"/>
      <c r="AP1100" s="8"/>
      <c r="AQ1100" s="47"/>
      <c r="AR1100" s="47"/>
      <c r="AS1100" s="8"/>
      <c r="AT1100" s="8"/>
      <c r="AU1100" s="47"/>
      <c r="AV1100" s="47"/>
      <c r="AW1100" s="8"/>
      <c r="AX1100" s="8"/>
      <c r="AY1100" s="47"/>
      <c r="AZ1100" s="47"/>
      <c r="BA1100" s="8" t="s">
        <v>341</v>
      </c>
      <c r="BB1100" s="8">
        <v>261</v>
      </c>
      <c r="BC1100" s="47"/>
      <c r="BD1100" s="47"/>
      <c r="BE1100" s="8"/>
      <c r="BF1100" s="8"/>
      <c r="BG1100" s="47" t="s">
        <v>98</v>
      </c>
      <c r="BH1100" s="47">
        <v>500</v>
      </c>
      <c r="BI1100" s="8"/>
      <c r="BJ1100" s="3"/>
      <c r="BK1100" s="47"/>
      <c r="BL1100" s="47"/>
      <c r="BM1100" s="46"/>
      <c r="BN1100" s="46"/>
      <c r="BO1100" s="24">
        <f>AL1100+AN1100+AP1100+AR1100+AT1100+AV1100+AX1100+AZ1100+BB1100+BD1100+BF1100+BH1100+BJ1100+BL1100+BN1100</f>
        <v>9481</v>
      </c>
      <c r="BP1100" s="28">
        <f>AJ1100-BO1100</f>
        <v>-636447.5455</v>
      </c>
      <c r="BQ1100" s="2">
        <v>45771</v>
      </c>
    </row>
    <row r="1101" spans="1:73" hidden="true">
      <c r="D1101" s="9" t="s">
        <v>10</v>
      </c>
      <c r="E1101" s="2">
        <v>45772</v>
      </c>
      <c r="F1101" s="38"/>
      <c r="G1101" s="51"/>
      <c r="H1101" s="4">
        <f>F424*50%</f>
        <v>1539.2</v>
      </c>
      <c r="I1101" s="120"/>
      <c r="J1101" s="4">
        <f>(G1101+H1101)-I1101</f>
        <v>1539.2</v>
      </c>
      <c r="K1101" s="4">
        <f>J1101+O1100</f>
        <v>263594.165</v>
      </c>
      <c r="L1101" s="3"/>
      <c r="M1101" s="3"/>
      <c r="N1101" s="33">
        <f>I1101+M1101</f>
        <v>0</v>
      </c>
      <c r="O1101" s="28">
        <f>K1101-M1101</f>
        <v>263594.165</v>
      </c>
      <c r="P1101" s="9" t="s">
        <v>10</v>
      </c>
      <c r="Q1101" s="2">
        <v>45772</v>
      </c>
      <c r="R1101" s="38"/>
      <c r="S1101" s="52"/>
      <c r="T1101" s="4">
        <f>R424*45%</f>
        <v>3924.45</v>
      </c>
      <c r="U1101" s="5"/>
      <c r="V1101" s="4">
        <f>(S1101+T1101)-U1101</f>
        <v>3924.45</v>
      </c>
      <c r="W1101" s="4">
        <f>V1101+AA1100</f>
        <v>84050.405</v>
      </c>
      <c r="X1101" s="3"/>
      <c r="Y1101" s="3"/>
      <c r="Z1101" s="25">
        <f>U1101+Y1101</f>
        <v>0</v>
      </c>
      <c r="AA1101" s="76">
        <f>W1101-Y1101</f>
        <v>84050.405</v>
      </c>
      <c r="AB1101" s="9" t="s">
        <v>10</v>
      </c>
      <c r="AC1101" s="19">
        <v>45772</v>
      </c>
      <c r="AD1101" s="41"/>
      <c r="AE1101" s="42"/>
      <c r="AF1101" s="4">
        <f>AD424-H1101-T1101</f>
        <v>6335.75</v>
      </c>
      <c r="AG1101" s="3"/>
      <c r="AH1101" s="8"/>
      <c r="AI1101" s="4">
        <f>(AE1101+AF1101)-AH1101</f>
        <v>6335.75</v>
      </c>
      <c r="AJ1101" s="4">
        <f>AI1101+BP1100</f>
        <v>-630111.7955</v>
      </c>
      <c r="AK1101" s="8" t="s">
        <v>41</v>
      </c>
      <c r="AL1101" s="8">
        <f>2400+2576</f>
        <v>4976</v>
      </c>
      <c r="AM1101" s="47"/>
      <c r="AN1101" s="47"/>
      <c r="AO1101" s="8"/>
      <c r="AP1101" s="8"/>
      <c r="AQ1101" s="47"/>
      <c r="AR1101" s="47"/>
      <c r="AS1101" s="8"/>
      <c r="AT1101" s="8"/>
      <c r="AU1101" s="47"/>
      <c r="AV1101" s="47"/>
      <c r="AW1101" s="8"/>
      <c r="AX1101" s="8"/>
      <c r="AY1101" s="47"/>
      <c r="AZ1101" s="47"/>
      <c r="BA1101" s="8" t="s">
        <v>341</v>
      </c>
      <c r="BB1101" s="8">
        <v>591</v>
      </c>
      <c r="BC1101" s="47"/>
      <c r="BD1101" s="47"/>
      <c r="BE1101" s="8"/>
      <c r="BF1101" s="8"/>
      <c r="BG1101" s="47"/>
      <c r="BH1101" s="47"/>
      <c r="BI1101" s="8"/>
      <c r="BJ1101" s="3"/>
      <c r="BK1101" s="47"/>
      <c r="BL1101" s="47"/>
      <c r="BM1101" s="46"/>
      <c r="BN1101" s="46"/>
      <c r="BO1101" s="24">
        <f>AL1101+AN1101+AP1101+AR1101+AT1101+AV1101+AX1101+AZ1101+BB1101+BD1101+BF1101+BH1101+BJ1101+BL1101+BN1101</f>
        <v>5567</v>
      </c>
      <c r="BP1101" s="28">
        <f>AJ1101-BO1101</f>
        <v>-635678.7955</v>
      </c>
      <c r="BQ1101" s="2">
        <v>45772</v>
      </c>
    </row>
    <row r="1102" spans="1:73" hidden="true">
      <c r="D1102" s="9" t="s">
        <v>11</v>
      </c>
      <c r="E1102" s="2">
        <v>45773</v>
      </c>
      <c r="F1102" s="38"/>
      <c r="G1102" s="126"/>
      <c r="H1102" s="4">
        <f>F425*50%</f>
        <v>2066.7</v>
      </c>
      <c r="I1102" s="120"/>
      <c r="J1102" s="4">
        <f>(G1102+H1102)-I1102</f>
        <v>2066.7</v>
      </c>
      <c r="K1102" s="4">
        <f>J1102+O1101</f>
        <v>265660.865</v>
      </c>
      <c r="L1102" s="3"/>
      <c r="M1102" s="3"/>
      <c r="N1102" s="33">
        <f>I1102+M1102</f>
        <v>0</v>
      </c>
      <c r="O1102" s="28">
        <f>K1102-M1102</f>
        <v>265660.865</v>
      </c>
      <c r="P1102" s="9" t="s">
        <v>11</v>
      </c>
      <c r="Q1102" s="2">
        <v>45773</v>
      </c>
      <c r="R1102" s="38"/>
      <c r="S1102" s="52"/>
      <c r="T1102" s="4">
        <f>R425*45%</f>
        <v>1448.73</v>
      </c>
      <c r="U1102" s="5"/>
      <c r="V1102" s="4">
        <f>(S1102+T1102)-U1102</f>
        <v>1448.73</v>
      </c>
      <c r="W1102" s="4">
        <f>V1102+AA1101</f>
        <v>85499.135</v>
      </c>
      <c r="X1102" s="3"/>
      <c r="Y1102" s="3"/>
      <c r="Z1102" s="25">
        <f>U1102+Y1102</f>
        <v>0</v>
      </c>
      <c r="AA1102" s="76">
        <f>W1102-Y1102</f>
        <v>85499.135</v>
      </c>
      <c r="AB1102" s="9" t="s">
        <v>11</v>
      </c>
      <c r="AC1102" s="19">
        <v>45773</v>
      </c>
      <c r="AD1102" s="41"/>
      <c r="AE1102" s="42"/>
      <c r="AF1102" s="4">
        <f>AD425-H1102-T1102</f>
        <v>3837.37</v>
      </c>
      <c r="AG1102" s="3"/>
      <c r="AH1102" s="8"/>
      <c r="AI1102" s="4">
        <f>(AE1102+AF1102)-AH1102</f>
        <v>3837.37</v>
      </c>
      <c r="AJ1102" s="4">
        <f>AI1102+BP1101</f>
        <v>-631841.4255</v>
      </c>
      <c r="AK1102" s="8" t="s">
        <v>41</v>
      </c>
      <c r="AL1102" s="8">
        <v>2772</v>
      </c>
      <c r="AM1102" s="47"/>
      <c r="AN1102" s="47"/>
      <c r="AO1102" s="8"/>
      <c r="AP1102" s="8"/>
      <c r="AQ1102" s="47"/>
      <c r="AR1102" s="47"/>
      <c r="AS1102" s="8"/>
      <c r="AT1102" s="8"/>
      <c r="AU1102" s="47"/>
      <c r="AV1102" s="47"/>
      <c r="AW1102" s="8"/>
      <c r="AX1102" s="8"/>
      <c r="AY1102" s="47"/>
      <c r="AZ1102" s="47"/>
      <c r="BA1102" s="8" t="s">
        <v>341</v>
      </c>
      <c r="BB1102" s="8">
        <v>520</v>
      </c>
      <c r="BC1102" s="47"/>
      <c r="BD1102" s="47"/>
      <c r="BE1102" s="8"/>
      <c r="BF1102" s="8"/>
      <c r="BG1102" s="47" t="s">
        <v>98</v>
      </c>
      <c r="BH1102" s="47">
        <v>500</v>
      </c>
      <c r="BI1102" s="8"/>
      <c r="BJ1102" s="3"/>
      <c r="BK1102" s="47"/>
      <c r="BL1102" s="47"/>
      <c r="BM1102" s="46"/>
      <c r="BN1102" s="46"/>
      <c r="BO1102" s="24">
        <f>AL1102+AN1102+AP1102+AR1102+AT1102+AV1102+AX1102+AZ1102+BB1102+BD1102+BF1102+BH1102+BJ1102+BL1102+BN1102</f>
        <v>3792</v>
      </c>
      <c r="BP1102" s="28">
        <f>AJ1102-BO1102</f>
        <v>-635633.4255</v>
      </c>
      <c r="BQ1102" s="2">
        <v>45773</v>
      </c>
    </row>
    <row r="1103" spans="1:73" hidden="true">
      <c r="D1103" s="9" t="s">
        <v>12</v>
      </c>
      <c r="E1103" s="2">
        <v>45774</v>
      </c>
      <c r="F1103" s="38"/>
      <c r="G1103" s="126"/>
      <c r="H1103" s="4">
        <f>F426*50%</f>
        <v>2689.375</v>
      </c>
      <c r="I1103" s="120"/>
      <c r="J1103" s="4">
        <f>(G1103+H1103)-I1103</f>
        <v>2689.375</v>
      </c>
      <c r="K1103" s="4">
        <f>J1103+O1102</f>
        <v>268350.24</v>
      </c>
      <c r="L1103" s="3"/>
      <c r="M1103" s="3"/>
      <c r="N1103" s="33">
        <f>I1103+M1103</f>
        <v>0</v>
      </c>
      <c r="O1103" s="28">
        <f>K1103-M1103</f>
        <v>268350.24</v>
      </c>
      <c r="P1103" s="9" t="s">
        <v>12</v>
      </c>
      <c r="Q1103" s="2">
        <v>45774</v>
      </c>
      <c r="R1103" s="38"/>
      <c r="S1103" s="52"/>
      <c r="T1103" s="4">
        <f>R426*45%</f>
        <v>2667.96</v>
      </c>
      <c r="U1103" s="5"/>
      <c r="V1103" s="4">
        <f>(S1103+T1103)-U1103</f>
        <v>2667.96</v>
      </c>
      <c r="W1103" s="4">
        <f>V1103+AA1102</f>
        <v>88167.095</v>
      </c>
      <c r="X1103" s="3"/>
      <c r="Y1103" s="3"/>
      <c r="Z1103" s="25">
        <f>U1103+Y1103</f>
        <v>0</v>
      </c>
      <c r="AA1103" s="76">
        <f>W1103-Y1103</f>
        <v>88167.095</v>
      </c>
      <c r="AB1103" s="9" t="s">
        <v>12</v>
      </c>
      <c r="AC1103" s="19">
        <v>45774</v>
      </c>
      <c r="AD1103" s="41"/>
      <c r="AE1103" s="42"/>
      <c r="AF1103" s="4">
        <f>AD426-H1103-T1103</f>
        <v>5950.215</v>
      </c>
      <c r="AG1103" s="3"/>
      <c r="AH1103" s="8"/>
      <c r="AI1103" s="4">
        <f>(AE1103+AF1103)-AH1103</f>
        <v>5950.215</v>
      </c>
      <c r="AJ1103" s="4">
        <f>AI1103+BP1102</f>
        <v>-629683.2105</v>
      </c>
      <c r="AK1103" s="8"/>
      <c r="AL1103" s="8"/>
      <c r="AM1103" s="47"/>
      <c r="AN1103" s="47"/>
      <c r="AO1103" s="8"/>
      <c r="AP1103" s="8"/>
      <c r="AQ1103" s="47"/>
      <c r="AR1103" s="47"/>
      <c r="AS1103" s="8"/>
      <c r="AT1103" s="8"/>
      <c r="AU1103" s="47"/>
      <c r="AV1103" s="47"/>
      <c r="AW1103" s="8"/>
      <c r="AX1103" s="8"/>
      <c r="AY1103" s="47"/>
      <c r="AZ1103" s="47"/>
      <c r="BA1103" s="8" t="s">
        <v>341</v>
      </c>
      <c r="BB1103" s="8">
        <v>1307</v>
      </c>
      <c r="BC1103" s="47"/>
      <c r="BD1103" s="47"/>
      <c r="BE1103" s="8"/>
      <c r="BF1103" s="8"/>
      <c r="BG1103" s="47" t="s">
        <v>98</v>
      </c>
      <c r="BH1103" s="47">
        <v>600</v>
      </c>
      <c r="BI1103" s="8"/>
      <c r="BJ1103" s="3"/>
      <c r="BK1103" s="47"/>
      <c r="BL1103" s="47"/>
      <c r="BM1103" s="46"/>
      <c r="BN1103" s="46"/>
      <c r="BO1103" s="24">
        <f>AL1103+AN1103+AP1103+AR1103+AT1103+AV1103+AX1103+AZ1103+BB1103+BD1103+BF1103+BH1103+BJ1103+BL1103+BN1103</f>
        <v>1907</v>
      </c>
      <c r="BP1103" s="28">
        <f>AJ1103-BO1103</f>
        <v>-631590.2105</v>
      </c>
      <c r="BQ1103" s="2">
        <v>45774</v>
      </c>
    </row>
    <row r="1104" spans="1:73" hidden="true">
      <c r="D1104" s="9" t="s">
        <v>13</v>
      </c>
      <c r="E1104" s="2">
        <v>45775</v>
      </c>
      <c r="F1104" s="38"/>
      <c r="G1104" s="126"/>
      <c r="H1104" s="4">
        <f>F427*50%</f>
        <v>1793.5</v>
      </c>
      <c r="I1104" s="120"/>
      <c r="J1104" s="4">
        <f>(G1104+H1104)-I1104</f>
        <v>1793.5</v>
      </c>
      <c r="K1104" s="4">
        <f>J1104+O1103</f>
        <v>270143.74</v>
      </c>
      <c r="L1104" s="3"/>
      <c r="M1104" s="3"/>
      <c r="N1104" s="33">
        <f>I1104+M1104</f>
        <v>0</v>
      </c>
      <c r="O1104" s="28">
        <f>K1104-M1104</f>
        <v>270143.74</v>
      </c>
      <c r="P1104" s="9" t="s">
        <v>13</v>
      </c>
      <c r="Q1104" s="2">
        <v>45775</v>
      </c>
      <c r="R1104" s="38"/>
      <c r="S1104" s="52"/>
      <c r="T1104" s="4">
        <f>R427*45%</f>
        <v>986.4</v>
      </c>
      <c r="U1104" s="5"/>
      <c r="V1104" s="4">
        <f>(S1104+T1104)-U1104</f>
        <v>986.4</v>
      </c>
      <c r="W1104" s="4">
        <f>V1104+AA1103</f>
        <v>89153.495</v>
      </c>
      <c r="X1104" s="3"/>
      <c r="Y1104" s="3"/>
      <c r="Z1104" s="25">
        <f>U1104+Y1104</f>
        <v>0</v>
      </c>
      <c r="AA1104" s="76">
        <f>W1104-Y1104</f>
        <v>89153.495</v>
      </c>
      <c r="AB1104" s="9" t="s">
        <v>13</v>
      </c>
      <c r="AC1104" s="19">
        <v>45775</v>
      </c>
      <c r="AD1104" s="41"/>
      <c r="AE1104" s="42"/>
      <c r="AF1104" s="4">
        <f>AD427-H1104-T1104</f>
        <v>2999.1</v>
      </c>
      <c r="AG1104" s="3"/>
      <c r="AH1104" s="8"/>
      <c r="AI1104" s="4">
        <f>(AE1104+AF1104)-AH1104</f>
        <v>2999.1</v>
      </c>
      <c r="AJ1104" s="4">
        <f>AI1104+BP1103</f>
        <v>-628591.1105</v>
      </c>
      <c r="AK1104" s="8"/>
      <c r="AL1104" s="8"/>
      <c r="AM1104" s="47" t="s">
        <v>499</v>
      </c>
      <c r="AN1104" s="47">
        <v>2029.6</v>
      </c>
      <c r="AO1104" s="8"/>
      <c r="AP1104" s="8"/>
      <c r="AQ1104" s="47"/>
      <c r="AR1104" s="47"/>
      <c r="AS1104" s="8" t="s">
        <v>500</v>
      </c>
      <c r="AT1104" s="8">
        <f>3000+4430+1500</f>
        <v>8930</v>
      </c>
      <c r="AU1104" s="47"/>
      <c r="AV1104" s="47"/>
      <c r="AW1104" s="8"/>
      <c r="AX1104" s="8"/>
      <c r="AY1104" s="47"/>
      <c r="AZ1104" s="47"/>
      <c r="BA1104" s="8" t="s">
        <v>341</v>
      </c>
      <c r="BB1104" s="8">
        <v>265</v>
      </c>
      <c r="BC1104" s="47"/>
      <c r="BD1104" s="47"/>
      <c r="BE1104" s="8"/>
      <c r="BF1104" s="8"/>
      <c r="BG1104" s="47" t="s">
        <v>98</v>
      </c>
      <c r="BH1104" s="47">
        <v>950</v>
      </c>
      <c r="BI1104" s="8"/>
      <c r="BJ1104" s="3"/>
      <c r="BK1104" s="47"/>
      <c r="BL1104" s="47"/>
      <c r="BM1104" s="46"/>
      <c r="BN1104" s="46"/>
      <c r="BO1104" s="24">
        <f>AL1104+AN1104+AP1104+AR1104+AT1104+AV1104+AX1104+AZ1104+BB1104+BD1104+BF1104+BH1104+BJ1104+BL1104+BN1104</f>
        <v>12174.6</v>
      </c>
      <c r="BP1104" s="28">
        <f>AJ1104-BO1104</f>
        <v>-640765.7105</v>
      </c>
      <c r="BQ1104" s="2">
        <v>45775</v>
      </c>
    </row>
    <row r="1105" spans="1:73" hidden="true">
      <c r="D1105" s="9" t="s">
        <v>14</v>
      </c>
      <c r="E1105" s="2">
        <v>45776</v>
      </c>
      <c r="F1105" s="38"/>
      <c r="G1105" s="126"/>
      <c r="H1105" s="4">
        <f>F428*50%</f>
        <v>1086.75</v>
      </c>
      <c r="I1105" s="120"/>
      <c r="J1105" s="4">
        <f>(G1105+H1105)-I1105</f>
        <v>1086.75</v>
      </c>
      <c r="K1105" s="4">
        <f>J1105+O1104</f>
        <v>271230.49</v>
      </c>
      <c r="L1105" s="3"/>
      <c r="M1105" s="3"/>
      <c r="N1105" s="33">
        <f>I1105+M1105</f>
        <v>0</v>
      </c>
      <c r="O1105" s="28">
        <f>K1105-M1105</f>
        <v>271230.49</v>
      </c>
      <c r="P1105" s="9" t="s">
        <v>14</v>
      </c>
      <c r="Q1105" s="2">
        <v>45776</v>
      </c>
      <c r="R1105" s="38"/>
      <c r="S1105" s="52"/>
      <c r="T1105" s="4">
        <f>R428*45%</f>
        <v>1233.855</v>
      </c>
      <c r="U1105" s="5"/>
      <c r="V1105" s="4">
        <f>(S1105+T1105)-U1105</f>
        <v>1233.855</v>
      </c>
      <c r="W1105" s="4">
        <f>V1105+AA1104</f>
        <v>90387.35</v>
      </c>
      <c r="X1105" s="3"/>
      <c r="Y1105" s="3"/>
      <c r="Z1105" s="25">
        <f>U1105+Y1105</f>
        <v>0</v>
      </c>
      <c r="AA1105" s="76">
        <f>W1105-Y1105</f>
        <v>90387.35</v>
      </c>
      <c r="AB1105" s="9" t="s">
        <v>14</v>
      </c>
      <c r="AC1105" s="19">
        <v>45776</v>
      </c>
      <c r="AD1105" s="41"/>
      <c r="AE1105" s="42"/>
      <c r="AF1105" s="4">
        <f>AD428-H1105-T1105</f>
        <v>2594.795</v>
      </c>
      <c r="AG1105" s="3"/>
      <c r="AH1105" s="8"/>
      <c r="AI1105" s="4">
        <f>(AE1105+AF1105)-AH1105</f>
        <v>2594.795</v>
      </c>
      <c r="AJ1105" s="4">
        <f>AI1105+BP1104</f>
        <v>-638170.9155</v>
      </c>
      <c r="AK1105" s="8" t="s">
        <v>41</v>
      </c>
      <c r="AL1105" s="8">
        <v>2000</v>
      </c>
      <c r="AM1105" s="47" t="s">
        <v>501</v>
      </c>
      <c r="AN1105" s="47">
        <v>900</v>
      </c>
      <c r="AO1105" s="8"/>
      <c r="AP1105" s="8"/>
      <c r="AQ1105" s="47"/>
      <c r="AR1105" s="47"/>
      <c r="AS1105" s="8"/>
      <c r="AT1105" s="8"/>
      <c r="AU1105" s="47"/>
      <c r="AV1105" s="47"/>
      <c r="AW1105" s="8"/>
      <c r="AX1105" s="8"/>
      <c r="AY1105" s="47"/>
      <c r="AZ1105" s="47"/>
      <c r="BA1105" s="8" t="s">
        <v>341</v>
      </c>
      <c r="BB1105" s="8">
        <v>335</v>
      </c>
      <c r="BC1105" s="47" t="s">
        <v>489</v>
      </c>
      <c r="BD1105" s="47">
        <v>1500</v>
      </c>
      <c r="BE1105" s="8"/>
      <c r="BF1105" s="8"/>
      <c r="BG1105" s="47" t="s">
        <v>98</v>
      </c>
      <c r="BH1105" s="47">
        <v>550</v>
      </c>
      <c r="BI1105" s="8"/>
      <c r="BJ1105" s="3"/>
      <c r="BK1105" s="47"/>
      <c r="BL1105" s="47"/>
      <c r="BM1105" s="46"/>
      <c r="BN1105" s="46"/>
      <c r="BO1105" s="24">
        <f>AL1105+AN1105+AP1105+AR1105+AT1105+AV1105+AX1105+AZ1105+BB1105+BD1105+BF1105+BH1105+BJ1105+BL1105+BN1105</f>
        <v>5285</v>
      </c>
      <c r="BP1105" s="28">
        <f>AJ1105-BO1105</f>
        <v>-643455.9155</v>
      </c>
      <c r="BQ1105" s="2">
        <v>45776</v>
      </c>
    </row>
    <row r="1106" spans="1:73" hidden="true">
      <c r="D1106" s="9" t="s">
        <v>15</v>
      </c>
      <c r="E1106" s="2">
        <v>45777</v>
      </c>
      <c r="F1106" s="38" t="s">
        <v>378</v>
      </c>
      <c r="G1106" s="126">
        <v>87928</v>
      </c>
      <c r="H1106" s="4">
        <f>F429*50%</f>
        <v>1794.5</v>
      </c>
      <c r="I1106" s="120"/>
      <c r="J1106" s="4">
        <f>(G1106+H1106)-I1106</f>
        <v>89722.5</v>
      </c>
      <c r="K1106" s="4">
        <f>J1106+O1105</f>
        <v>360952.99</v>
      </c>
      <c r="L1106" s="3"/>
      <c r="M1106" s="3"/>
      <c r="N1106" s="33">
        <f>I1106+M1106</f>
        <v>0</v>
      </c>
      <c r="O1106" s="28">
        <f>K1106-M1106</f>
        <v>360952.99</v>
      </c>
      <c r="P1106" s="9" t="s">
        <v>15</v>
      </c>
      <c r="Q1106" s="2">
        <v>45777</v>
      </c>
      <c r="R1106" s="38"/>
      <c r="S1106" s="52"/>
      <c r="T1106" s="4">
        <f>R429*45%</f>
        <v>904.455</v>
      </c>
      <c r="U1106" s="5"/>
      <c r="V1106" s="4">
        <f>(S1106+T1106)-U1106</f>
        <v>904.455</v>
      </c>
      <c r="W1106" s="4">
        <f>V1106+AA1105</f>
        <v>91291.805</v>
      </c>
      <c r="X1106" s="3"/>
      <c r="Y1106" s="3"/>
      <c r="Z1106" s="25">
        <f>U1106+Y1106</f>
        <v>0</v>
      </c>
      <c r="AA1106" s="76">
        <f>W1106-Y1106</f>
        <v>91291.805</v>
      </c>
      <c r="AB1106" s="9" t="s">
        <v>15</v>
      </c>
      <c r="AC1106" s="19">
        <v>45777</v>
      </c>
      <c r="AD1106" s="41"/>
      <c r="AE1106" s="42"/>
      <c r="AF1106" s="4">
        <f>AD429-H1106-T1106</f>
        <v>2899.945</v>
      </c>
      <c r="AG1106" s="3"/>
      <c r="AH1106" s="8"/>
      <c r="AI1106" s="4">
        <f>(AE1106+AF1106)-AH1106</f>
        <v>2899.945</v>
      </c>
      <c r="AJ1106" s="4">
        <f>AI1106+BP1105</f>
        <v>-640555.9705</v>
      </c>
      <c r="AK1106" s="8" t="s">
        <v>41</v>
      </c>
      <c r="AL1106" s="8">
        <v>2000</v>
      </c>
      <c r="AM1106" s="47"/>
      <c r="AN1106" s="47"/>
      <c r="AO1106" s="8"/>
      <c r="AP1106" s="8"/>
      <c r="AQ1106" s="47"/>
      <c r="AR1106" s="47"/>
      <c r="AS1106" s="8"/>
      <c r="AT1106" s="8"/>
      <c r="AU1106" s="47"/>
      <c r="AV1106" s="47"/>
      <c r="AW1106" s="8"/>
      <c r="AX1106" s="8"/>
      <c r="AY1106" s="47"/>
      <c r="AZ1106" s="47"/>
      <c r="BA1106" s="8" t="s">
        <v>341</v>
      </c>
      <c r="BB1106" s="8">
        <v>403.9</v>
      </c>
      <c r="BC1106" s="47"/>
      <c r="BD1106" s="47"/>
      <c r="BE1106" s="8"/>
      <c r="BF1106" s="8"/>
      <c r="BG1106" s="47" t="s">
        <v>98</v>
      </c>
      <c r="BH1106" s="47">
        <v>940</v>
      </c>
      <c r="BI1106" s="8"/>
      <c r="BJ1106" s="3"/>
      <c r="BK1106" s="47"/>
      <c r="BL1106" s="47"/>
      <c r="BM1106" s="46"/>
      <c r="BN1106" s="46"/>
      <c r="BO1106" s="24">
        <f>AL1106+AN1106+AP1106+AR1106+AT1106+AV1106+AX1106+AZ1106+BB1106+BD1106+BF1106+BH1106+BJ1106+BL1106+BN1106</f>
        <v>3343.9</v>
      </c>
      <c r="BP1106" s="28">
        <f>AJ1106-BO1106</f>
        <v>-643899.8705</v>
      </c>
      <c r="BQ1106" s="2">
        <v>45777</v>
      </c>
    </row>
    <row r="1107" spans="1:73" hidden="true">
      <c r="D1107" s="9" t="s">
        <v>16</v>
      </c>
      <c r="E1107" s="2">
        <v>45778</v>
      </c>
      <c r="F1107" s="38"/>
      <c r="G1107" s="126"/>
      <c r="H1107" s="4">
        <f>F430*50%</f>
        <v>1635.15</v>
      </c>
      <c r="I1107" s="120"/>
      <c r="J1107" s="4">
        <f>(G1107+H1107)-I1107</f>
        <v>1635.15</v>
      </c>
      <c r="K1107" s="4">
        <f>J1107+O1106</f>
        <v>362588.14</v>
      </c>
      <c r="L1107" s="3"/>
      <c r="M1107" s="3"/>
      <c r="N1107" s="33">
        <f>I1107+M1107</f>
        <v>0</v>
      </c>
      <c r="O1107" s="28">
        <f>K1107-M1107</f>
        <v>362588.14</v>
      </c>
      <c r="P1107" s="9" t="s">
        <v>16</v>
      </c>
      <c r="Q1107" s="2">
        <v>45778</v>
      </c>
      <c r="R1107" s="38"/>
      <c r="S1107" s="52"/>
      <c r="T1107" s="4">
        <f>R430*45%</f>
        <v>1839.6</v>
      </c>
      <c r="U1107" s="5"/>
      <c r="V1107" s="4">
        <f>(S1107+T1107)-U1107</f>
        <v>1839.6</v>
      </c>
      <c r="W1107" s="4">
        <f>V1107+AA1106</f>
        <v>93131.405</v>
      </c>
      <c r="X1107" s="3"/>
      <c r="Y1107" s="3"/>
      <c r="Z1107" s="25">
        <f>U1107+Y1107</f>
        <v>0</v>
      </c>
      <c r="AA1107" s="76">
        <f>W1107-Y1107</f>
        <v>93131.405</v>
      </c>
      <c r="AB1107" s="9" t="s">
        <v>16</v>
      </c>
      <c r="AC1107" s="19">
        <v>45778</v>
      </c>
      <c r="AD1107" s="41"/>
      <c r="AE1107" s="42"/>
      <c r="AF1107" s="4">
        <f>AD430-H1107-T1107</f>
        <v>3883.55</v>
      </c>
      <c r="AG1107" s="3"/>
      <c r="AH1107" s="8"/>
      <c r="AI1107" s="4">
        <f>(AE1107+AF1107)-AH1107</f>
        <v>3883.55</v>
      </c>
      <c r="AJ1107" s="4">
        <f>AI1107+BP1106</f>
        <v>-640016.3205</v>
      </c>
      <c r="AK1107" s="8" t="s">
        <v>41</v>
      </c>
      <c r="AL1107" s="8">
        <v>5500</v>
      </c>
      <c r="AM1107" s="47" t="s">
        <v>469</v>
      </c>
      <c r="AN1107" s="47">
        <v>8000</v>
      </c>
      <c r="AO1107" s="8"/>
      <c r="AP1107" s="8"/>
      <c r="AQ1107" s="47"/>
      <c r="AR1107" s="47"/>
      <c r="AS1107" s="8"/>
      <c r="AT1107" s="8"/>
      <c r="AU1107" s="47"/>
      <c r="AV1107" s="47"/>
      <c r="AW1107" s="8"/>
      <c r="AX1107" s="8"/>
      <c r="AY1107" s="47"/>
      <c r="AZ1107" s="47"/>
      <c r="BA1107" s="8" t="s">
        <v>341</v>
      </c>
      <c r="BB1107" s="8">
        <v>472.5</v>
      </c>
      <c r="BC1107" s="47"/>
      <c r="BD1107" s="47"/>
      <c r="BE1107" s="8" t="s">
        <v>502</v>
      </c>
      <c r="BF1107" s="8">
        <f>23928+10000</f>
        <v>33928</v>
      </c>
      <c r="BG1107" s="47" t="s">
        <v>419</v>
      </c>
      <c r="BH1107" s="47">
        <f>960</f>
        <v>960</v>
      </c>
      <c r="BI1107" s="8"/>
      <c r="BJ1107" s="3"/>
      <c r="BK1107" s="47"/>
      <c r="BL1107" s="47"/>
      <c r="BM1107" s="46"/>
      <c r="BN1107" s="46"/>
      <c r="BO1107" s="24">
        <f>AL1107+AN1107+AP1107+AR1107+AT1107+AV1107+AX1107+AZ1107+BB1107+BD1107+BF1107+BH1107+BJ1107+BL1107+BN1107</f>
        <v>48860.5</v>
      </c>
      <c r="BP1107" s="28">
        <f>AJ1107-BO1107</f>
        <v>-688876.8205</v>
      </c>
      <c r="BQ1107" s="2">
        <v>45778</v>
      </c>
    </row>
    <row r="1108" spans="1:73" hidden="true">
      <c r="D1108" s="9" t="s">
        <v>10</v>
      </c>
      <c r="E1108" s="2">
        <v>45779</v>
      </c>
      <c r="F1108" s="38"/>
      <c r="G1108" s="126"/>
      <c r="H1108" s="4">
        <f>F431*50%</f>
        <v>1795.5</v>
      </c>
      <c r="I1108" s="120">
        <f>1320+780+1040+2400</f>
        <v>5540</v>
      </c>
      <c r="J1108" s="4">
        <f>(G1108+H1108)-I1108</f>
        <v>-3744.5</v>
      </c>
      <c r="K1108" s="4">
        <f>J1108+O1107</f>
        <v>358843.64</v>
      </c>
      <c r="L1108" s="3"/>
      <c r="M1108" s="3"/>
      <c r="N1108" s="33">
        <f>I1108+M1108</f>
        <v>5540</v>
      </c>
      <c r="O1108" s="28">
        <f>K1108-M1108</f>
        <v>358843.64</v>
      </c>
      <c r="P1108" s="9" t="s">
        <v>10</v>
      </c>
      <c r="Q1108" s="2">
        <v>45779</v>
      </c>
      <c r="R1108" s="38"/>
      <c r="S1108" s="52"/>
      <c r="T1108" s="4">
        <f>R431*45%</f>
        <v>2528.55</v>
      </c>
      <c r="U1108" s="5"/>
      <c r="V1108" s="4">
        <f>(S1108+T1108)-U1108</f>
        <v>2528.55</v>
      </c>
      <c r="W1108" s="4">
        <f>V1108+AA1107</f>
        <v>95659.955</v>
      </c>
      <c r="X1108" s="3"/>
      <c r="Y1108" s="3"/>
      <c r="Z1108" s="25">
        <f>U1108+Y1108</f>
        <v>0</v>
      </c>
      <c r="AA1108" s="76">
        <f>W1108-Y1108</f>
        <v>95659.955</v>
      </c>
      <c r="AB1108" s="9" t="s">
        <v>10</v>
      </c>
      <c r="AC1108" s="19">
        <v>45779</v>
      </c>
      <c r="AD1108" s="41"/>
      <c r="AE1108" s="42"/>
      <c r="AF1108" s="4">
        <f>AD431-H1108-T1108</f>
        <v>4885.95</v>
      </c>
      <c r="AG1108" s="3"/>
      <c r="AH1108" s="8"/>
      <c r="AI1108" s="4">
        <f>(AE1108+AF1108)-AH1108</f>
        <v>4885.95</v>
      </c>
      <c r="AJ1108" s="4">
        <f>AI1108+BP1107</f>
        <v>-683990.8705</v>
      </c>
      <c r="AK1108" s="8"/>
      <c r="AL1108" s="8"/>
      <c r="AM1108" s="47" t="s">
        <v>503</v>
      </c>
      <c r="AN1108" s="47">
        <v>4059.2</v>
      </c>
      <c r="AO1108" s="8"/>
      <c r="AP1108" s="8"/>
      <c r="AQ1108" s="47"/>
      <c r="AR1108" s="47"/>
      <c r="AS1108" s="8"/>
      <c r="AT1108" s="8"/>
      <c r="AU1108" s="47"/>
      <c r="AV1108" s="47"/>
      <c r="AW1108" s="8"/>
      <c r="AX1108" s="8"/>
      <c r="AY1108" s="47"/>
      <c r="AZ1108" s="47"/>
      <c r="BA1108" s="8" t="s">
        <v>341</v>
      </c>
      <c r="BB1108" s="8">
        <v>547</v>
      </c>
      <c r="BC1108" s="47" t="s">
        <v>489</v>
      </c>
      <c r="BD1108" s="47">
        <v>1500</v>
      </c>
      <c r="BE1108" s="8"/>
      <c r="BF1108" s="8"/>
      <c r="BG1108" s="47" t="s">
        <v>98</v>
      </c>
      <c r="BH1108" s="47">
        <v>740</v>
      </c>
      <c r="BI1108" s="8"/>
      <c r="BJ1108" s="3"/>
      <c r="BK1108" s="47"/>
      <c r="BL1108" s="47"/>
      <c r="BM1108" s="46"/>
      <c r="BN1108" s="46"/>
      <c r="BO1108" s="24">
        <f>AL1108+AN1108+AP1108+AR1108+AT1108+AV1108+AX1108+AZ1108+BB1108+BD1108+BF1108+BH1108+BJ1108+BL1108+BN1108</f>
        <v>6846.2</v>
      </c>
      <c r="BP1108" s="28">
        <f>AJ1108-BO1108</f>
        <v>-690837.0705</v>
      </c>
      <c r="BQ1108" s="2">
        <v>45779</v>
      </c>
    </row>
    <row r="1109" spans="1:73" hidden="true">
      <c r="D1109" s="9" t="s">
        <v>11</v>
      </c>
      <c r="E1109" s="2">
        <v>45780</v>
      </c>
      <c r="F1109" s="38"/>
      <c r="G1109" s="126"/>
      <c r="H1109" s="4">
        <f>F432*50%</f>
        <v>1943.9</v>
      </c>
      <c r="I1109" s="120">
        <f>800+744+456+296</f>
        <v>2296</v>
      </c>
      <c r="J1109" s="4">
        <f>(G1109+H1109)-I1109</f>
        <v>-352.1</v>
      </c>
      <c r="K1109" s="4">
        <f>J1109+O1108</f>
        <v>358491.54</v>
      </c>
      <c r="L1109" s="3"/>
      <c r="M1109" s="3"/>
      <c r="N1109" s="33">
        <f>I1109+M1109</f>
        <v>2296</v>
      </c>
      <c r="O1109" s="28">
        <f>K1109-M1109</f>
        <v>358491.54</v>
      </c>
      <c r="P1109" s="9" t="s">
        <v>11</v>
      </c>
      <c r="Q1109" s="2">
        <v>45780</v>
      </c>
      <c r="R1109" s="38"/>
      <c r="S1109" s="52"/>
      <c r="T1109" s="4">
        <f>R432*45%</f>
        <v>1971</v>
      </c>
      <c r="U1109" s="5">
        <f>1281+1756</f>
        <v>3037</v>
      </c>
      <c r="V1109" s="4">
        <f>(S1109+T1109)-U1109</f>
        <v>-1066</v>
      </c>
      <c r="W1109" s="4">
        <f>V1109+AA1108</f>
        <v>94593.955</v>
      </c>
      <c r="X1109" s="3"/>
      <c r="Y1109" s="3"/>
      <c r="Z1109" s="25">
        <f>U1109+Y1109</f>
        <v>3037</v>
      </c>
      <c r="AA1109" s="76">
        <f>W1109-Y1109</f>
        <v>94593.955</v>
      </c>
      <c r="AB1109" s="9" t="s">
        <v>11</v>
      </c>
      <c r="AC1109" s="19">
        <v>45780</v>
      </c>
      <c r="AD1109" s="41"/>
      <c r="AE1109" s="42"/>
      <c r="AF1109" s="4">
        <f>AD432-H1109-T1109</f>
        <v>4352.9</v>
      </c>
      <c r="AG1109" s="3"/>
      <c r="AH1109" s="8"/>
      <c r="AI1109" s="4">
        <f>(AE1109+AF1109)-AH1109</f>
        <v>4352.9</v>
      </c>
      <c r="AJ1109" s="4">
        <f>AI1109+BP1108</f>
        <v>-686484.1705</v>
      </c>
      <c r="AK1109" s="8"/>
      <c r="AL1109" s="8"/>
      <c r="AM1109" s="47"/>
      <c r="AN1109" s="47"/>
      <c r="AO1109" s="8"/>
      <c r="AP1109" s="8"/>
      <c r="AQ1109" s="47"/>
      <c r="AR1109" s="47"/>
      <c r="AS1109" s="8"/>
      <c r="AT1109" s="8"/>
      <c r="AU1109" s="47"/>
      <c r="AV1109" s="47"/>
      <c r="AW1109" s="8"/>
      <c r="AX1109" s="8"/>
      <c r="AY1109" s="47"/>
      <c r="AZ1109" s="47"/>
      <c r="BA1109" s="8" t="s">
        <v>341</v>
      </c>
      <c r="BB1109" s="8">
        <v>461.2</v>
      </c>
      <c r="BC1109" s="47"/>
      <c r="BD1109" s="47"/>
      <c r="BE1109" s="8"/>
      <c r="BF1109" s="8"/>
      <c r="BG1109" s="47" t="s">
        <v>98</v>
      </c>
      <c r="BH1109" s="47">
        <v>1000</v>
      </c>
      <c r="BI1109" s="8"/>
      <c r="BJ1109" s="3"/>
      <c r="BK1109" s="47"/>
      <c r="BL1109" s="47"/>
      <c r="BM1109" s="46"/>
      <c r="BN1109" s="46"/>
      <c r="BO1109" s="24">
        <f>AL1109+AN1109+AP1109+AR1109+AT1109+AV1109+AX1109+AZ1109+BB1109+BD1109+BF1109+BH1109+BJ1109+BL1109+BN1109</f>
        <v>1461.2</v>
      </c>
      <c r="BP1109" s="28">
        <f>AJ1109-BO1109</f>
        <v>-687945.3705</v>
      </c>
      <c r="BQ1109" s="2">
        <v>45780</v>
      </c>
    </row>
    <row r="1110" spans="1:73" hidden="true">
      <c r="D1110" s="9" t="s">
        <v>12</v>
      </c>
      <c r="E1110" s="2">
        <v>45781</v>
      </c>
      <c r="F1110" s="38"/>
      <c r="G1110" s="126"/>
      <c r="H1110" s="4">
        <f>F433*50%</f>
        <v>2152.775</v>
      </c>
      <c r="I1110" s="120"/>
      <c r="J1110" s="4">
        <f>(G1110+H1110)-I1110</f>
        <v>2152.775</v>
      </c>
      <c r="K1110" s="4">
        <f>J1110+O1109</f>
        <v>360644.315</v>
      </c>
      <c r="L1110" s="3"/>
      <c r="M1110" s="3"/>
      <c r="N1110" s="33">
        <f>I1110+M1110</f>
        <v>0</v>
      </c>
      <c r="O1110" s="28">
        <f>K1110-M1110</f>
        <v>360644.315</v>
      </c>
      <c r="P1110" s="9" t="s">
        <v>12</v>
      </c>
      <c r="Q1110" s="2">
        <v>45781</v>
      </c>
      <c r="R1110" s="38"/>
      <c r="S1110" s="52"/>
      <c r="T1110" s="4">
        <f>R433*45%</f>
        <v>2910.51</v>
      </c>
      <c r="U1110" s="5"/>
      <c r="V1110" s="4">
        <f>(S1110+T1110)-U1110</f>
        <v>2910.51</v>
      </c>
      <c r="W1110" s="4">
        <f>V1110+AA1109</f>
        <v>97504.465</v>
      </c>
      <c r="X1110" s="3"/>
      <c r="Y1110" s="3"/>
      <c r="Z1110" s="25">
        <f>U1110+Y1110</f>
        <v>0</v>
      </c>
      <c r="AA1110" s="76">
        <f>W1110-Y1110</f>
        <v>97504.465</v>
      </c>
      <c r="AB1110" s="9" t="s">
        <v>12</v>
      </c>
      <c r="AC1110" s="19">
        <v>45781</v>
      </c>
      <c r="AD1110" s="41"/>
      <c r="AE1110" s="42"/>
      <c r="AF1110" s="4">
        <f>AD433-H1110-T1110</f>
        <v>5710.065</v>
      </c>
      <c r="AG1110" s="3"/>
      <c r="AH1110" s="8"/>
      <c r="AI1110" s="4">
        <f>(AE1110+AF1110)-AH1110</f>
        <v>5710.065</v>
      </c>
      <c r="AJ1110" s="4">
        <f>AI1110+BP1109</f>
        <v>-682235.3055</v>
      </c>
      <c r="AK1110" s="8"/>
      <c r="AL1110" s="8"/>
      <c r="AM1110" s="47"/>
      <c r="AN1110" s="47"/>
      <c r="AO1110" s="8"/>
      <c r="AP1110" s="8"/>
      <c r="AQ1110" s="47"/>
      <c r="AR1110" s="47"/>
      <c r="AS1110" s="8"/>
      <c r="AT1110" s="8"/>
      <c r="AU1110" s="47"/>
      <c r="AV1110" s="47"/>
      <c r="AW1110" s="8"/>
      <c r="AX1110" s="8"/>
      <c r="AY1110" s="47"/>
      <c r="AZ1110" s="47"/>
      <c r="BA1110" s="8" t="s">
        <v>341</v>
      </c>
      <c r="BB1110" s="8">
        <v>737.4</v>
      </c>
      <c r="BC1110" s="47"/>
      <c r="BD1110" s="47"/>
      <c r="BE1110" s="8"/>
      <c r="BF1110" s="8"/>
      <c r="BG1110" s="47" t="s">
        <v>98</v>
      </c>
      <c r="BH1110" s="47">
        <v>590</v>
      </c>
      <c r="BI1110" s="8"/>
      <c r="BJ1110" s="3"/>
      <c r="BK1110" s="47"/>
      <c r="BL1110" s="47"/>
      <c r="BM1110" s="46"/>
      <c r="BN1110" s="46"/>
      <c r="BO1110" s="24">
        <f>AL1110+AN1110+AP1110+AR1110+AT1110+AV1110+AX1110+AZ1110+BB1110+BD1110+BF1110+BH1110+BJ1110+BL1110+BN1110</f>
        <v>1327.4</v>
      </c>
      <c r="BP1110" s="28">
        <f>AJ1110-BO1110</f>
        <v>-683562.7055</v>
      </c>
      <c r="BQ1110" s="2">
        <v>45781</v>
      </c>
    </row>
    <row r="1111" spans="1:73" hidden="true">
      <c r="D1111" s="9" t="s">
        <v>13</v>
      </c>
      <c r="E1111" s="2">
        <v>45782</v>
      </c>
      <c r="F1111" s="38"/>
      <c r="G1111" s="126"/>
      <c r="H1111" s="4">
        <f>F434*50%</f>
        <v>1619.6</v>
      </c>
      <c r="I1111" s="120">
        <f>336+220+150+350</f>
        <v>1056</v>
      </c>
      <c r="J1111" s="4">
        <f>(G1111+H1111)-I1111</f>
        <v>563.6</v>
      </c>
      <c r="K1111" s="4">
        <f>J1111+O1110</f>
        <v>361207.915</v>
      </c>
      <c r="L1111" s="3"/>
      <c r="M1111" s="3"/>
      <c r="N1111" s="33">
        <f>I1111+M1111</f>
        <v>1056</v>
      </c>
      <c r="O1111" s="28">
        <f>K1111-M1111</f>
        <v>361207.915</v>
      </c>
      <c r="P1111" s="9" t="s">
        <v>13</v>
      </c>
      <c r="Q1111" s="2">
        <v>45782</v>
      </c>
      <c r="R1111" s="38"/>
      <c r="S1111" s="52"/>
      <c r="T1111" s="4">
        <f>R434*45%</f>
        <v>1184.85</v>
      </c>
      <c r="U1111" s="5"/>
      <c r="V1111" s="4">
        <f>(S1111+T1111)-U1111</f>
        <v>1184.85</v>
      </c>
      <c r="W1111" s="4">
        <f>V1111+AA1110</f>
        <v>98689.315</v>
      </c>
      <c r="X1111" s="3"/>
      <c r="Y1111" s="3"/>
      <c r="Z1111" s="25">
        <f>U1111+Y1111</f>
        <v>0</v>
      </c>
      <c r="AA1111" s="76">
        <f>W1111-Y1111</f>
        <v>98689.315</v>
      </c>
      <c r="AB1111" s="9" t="s">
        <v>13</v>
      </c>
      <c r="AC1111" s="19">
        <v>45782</v>
      </c>
      <c r="AD1111" s="41"/>
      <c r="AE1111" s="42"/>
      <c r="AF1111" s="4">
        <f>AD434-H1111-T1111</f>
        <v>3067.75</v>
      </c>
      <c r="AG1111" s="3"/>
      <c r="AH1111" s="8"/>
      <c r="AI1111" s="4">
        <f>(AE1111+AF1111)-AH1111</f>
        <v>3067.75</v>
      </c>
      <c r="AJ1111" s="4">
        <f>AI1111+BP1110</f>
        <v>-680494.9555</v>
      </c>
      <c r="AK1111" s="8" t="s">
        <v>458</v>
      </c>
      <c r="AL1111" s="8">
        <v>3648</v>
      </c>
      <c r="AM1111" s="47"/>
      <c r="AN1111" s="47"/>
      <c r="AO1111" s="8" t="s">
        <v>504</v>
      </c>
      <c r="AP1111" s="8">
        <f>1707+1142+300</f>
        <v>3149</v>
      </c>
      <c r="AQ1111" s="47"/>
      <c r="AR1111" s="47"/>
      <c r="AS1111" s="8" t="s">
        <v>505</v>
      </c>
      <c r="AT1111" s="8">
        <v>1500</v>
      </c>
      <c r="AU1111" s="47"/>
      <c r="AV1111" s="47"/>
      <c r="AW1111" s="8"/>
      <c r="AX1111" s="8"/>
      <c r="AY1111" s="47"/>
      <c r="AZ1111" s="47"/>
      <c r="BA1111" s="8" t="s">
        <v>341</v>
      </c>
      <c r="BB1111" s="8">
        <v>494.6</v>
      </c>
      <c r="BC1111" s="47"/>
      <c r="BD1111" s="47"/>
      <c r="BE1111" s="8"/>
      <c r="BF1111" s="8"/>
      <c r="BG1111" s="47" t="s">
        <v>98</v>
      </c>
      <c r="BH1111" s="47">
        <v>900</v>
      </c>
      <c r="BI1111" s="8"/>
      <c r="BJ1111" s="3"/>
      <c r="BK1111" s="47"/>
      <c r="BL1111" s="47"/>
      <c r="BM1111" s="46"/>
      <c r="BN1111" s="46"/>
      <c r="BO1111" s="24">
        <f>AL1111+AN1111+AP1111+AR1111+AT1111+AV1111+AX1111+AZ1111+BB1111+BD1111+BF1111+BH1111+BJ1111+BL1111+BN1111</f>
        <v>9691.6</v>
      </c>
      <c r="BP1111" s="28">
        <f>AJ1111-BO1111</f>
        <v>-690186.5555</v>
      </c>
      <c r="BQ1111" s="2">
        <v>45782</v>
      </c>
    </row>
    <row r="1112" spans="1:73" hidden="true">
      <c r="D1112" s="9" t="s">
        <v>14</v>
      </c>
      <c r="E1112" s="2">
        <v>45783</v>
      </c>
      <c r="F1112" s="38"/>
      <c r="G1112" s="126"/>
      <c r="H1112" s="4">
        <f>F435*50%</f>
        <v>1724.85</v>
      </c>
      <c r="I1112" s="120">
        <f>515+568</f>
        <v>1083</v>
      </c>
      <c r="J1112" s="4">
        <f>(G1112+H1112)-I1112</f>
        <v>641.85</v>
      </c>
      <c r="K1112" s="4">
        <f>J1112+O1111</f>
        <v>361849.765</v>
      </c>
      <c r="L1112" s="3"/>
      <c r="M1112" s="3"/>
      <c r="N1112" s="33">
        <f>I1112+M1112</f>
        <v>1083</v>
      </c>
      <c r="O1112" s="28">
        <f>K1112-M1112</f>
        <v>361849.765</v>
      </c>
      <c r="P1112" s="9" t="s">
        <v>14</v>
      </c>
      <c r="Q1112" s="2">
        <v>45783</v>
      </c>
      <c r="R1112" s="38"/>
      <c r="S1112" s="52"/>
      <c r="T1112" s="4">
        <f>R435*45%</f>
        <v>964.8</v>
      </c>
      <c r="U1112" s="5"/>
      <c r="V1112" s="4">
        <f>(S1112+T1112)-U1112</f>
        <v>964.8</v>
      </c>
      <c r="W1112" s="4">
        <f>V1112+AA1111</f>
        <v>99654.115</v>
      </c>
      <c r="X1112" s="3"/>
      <c r="Y1112" s="3"/>
      <c r="Z1112" s="25">
        <f>U1112+Y1112</f>
        <v>0</v>
      </c>
      <c r="AA1112" s="76">
        <f>W1112-Y1112</f>
        <v>99654.115</v>
      </c>
      <c r="AB1112" s="9" t="s">
        <v>14</v>
      </c>
      <c r="AC1112" s="19">
        <v>45783</v>
      </c>
      <c r="AD1112" s="41"/>
      <c r="AE1112" s="42"/>
      <c r="AF1112" s="4">
        <f>AD435-H1112-T1112</f>
        <v>2904.05</v>
      </c>
      <c r="AG1112" s="3"/>
      <c r="AH1112" s="8"/>
      <c r="AI1112" s="4">
        <f>(AE1112+AF1112)-AH1112</f>
        <v>2904.05</v>
      </c>
      <c r="AJ1112" s="4">
        <f>AI1112+BP1111</f>
        <v>-687282.5055</v>
      </c>
      <c r="AK1112" s="8"/>
      <c r="AL1112" s="8"/>
      <c r="AM1112" s="47" t="s">
        <v>506</v>
      </c>
      <c r="AN1112" s="47">
        <v>8328</v>
      </c>
      <c r="AO1112" s="8"/>
      <c r="AP1112" s="8"/>
      <c r="AQ1112" s="47"/>
      <c r="AR1112" s="47"/>
      <c r="AS1112" s="8"/>
      <c r="AT1112" s="8"/>
      <c r="AU1112" s="47"/>
      <c r="AV1112" s="47"/>
      <c r="AW1112" s="8"/>
      <c r="AX1112" s="8"/>
      <c r="AY1112" s="47"/>
      <c r="AZ1112" s="47"/>
      <c r="BA1112" s="8" t="s">
        <v>341</v>
      </c>
      <c r="BB1112" s="8">
        <v>255</v>
      </c>
      <c r="BC1112" s="47"/>
      <c r="BD1112" s="47"/>
      <c r="BE1112" s="8"/>
      <c r="BF1112" s="8"/>
      <c r="BG1112" s="47" t="s">
        <v>98</v>
      </c>
      <c r="BH1112" s="47">
        <v>1000</v>
      </c>
      <c r="BI1112" s="8"/>
      <c r="BJ1112" s="3"/>
      <c r="BK1112" s="47"/>
      <c r="BL1112" s="47"/>
      <c r="BM1112" s="46"/>
      <c r="BN1112" s="46"/>
      <c r="BO1112" s="24">
        <f>AL1112+AN1112+AP1112+AR1112+AT1112+AV1112+AX1112+AZ1112+BB1112+BD1112+BF1112+BH1112+BJ1112+BL1112+BN1112</f>
        <v>9583</v>
      </c>
      <c r="BP1112" s="28">
        <f>AJ1112-BO1112</f>
        <v>-696865.5055</v>
      </c>
      <c r="BQ1112" s="2">
        <v>45783</v>
      </c>
    </row>
    <row r="1113" spans="1:73" hidden="true">
      <c r="D1113" s="9" t="s">
        <v>15</v>
      </c>
      <c r="E1113" s="2">
        <v>45784</v>
      </c>
      <c r="F1113" s="38"/>
      <c r="G1113" s="126"/>
      <c r="H1113" s="4">
        <f>F436*50%</f>
        <v>1525.35</v>
      </c>
      <c r="I1113" s="120"/>
      <c r="J1113" s="4">
        <f>(G1113+H1113)-I1113</f>
        <v>1525.35</v>
      </c>
      <c r="K1113" s="4">
        <f>J1113+O1112</f>
        <v>363375.115</v>
      </c>
      <c r="L1113" s="3"/>
      <c r="M1113" s="3"/>
      <c r="N1113" s="33">
        <f>I1113+M1113</f>
        <v>0</v>
      </c>
      <c r="O1113" s="28">
        <f>K1113-M1113</f>
        <v>363375.115</v>
      </c>
      <c r="P1113" s="9" t="s">
        <v>15</v>
      </c>
      <c r="Q1113" s="2">
        <v>45784</v>
      </c>
      <c r="R1113" s="38"/>
      <c r="S1113" s="52"/>
      <c r="T1113" s="4">
        <f>R436*45%</f>
        <v>1194.3</v>
      </c>
      <c r="U1113" s="5"/>
      <c r="V1113" s="4">
        <f>(S1113+T1113)-U1113</f>
        <v>1194.3</v>
      </c>
      <c r="W1113" s="4">
        <f>V1113+AA1112</f>
        <v>100848.415</v>
      </c>
      <c r="X1113" s="3"/>
      <c r="Y1113" s="3"/>
      <c r="Z1113" s="25">
        <f>U1113+Y1113</f>
        <v>0</v>
      </c>
      <c r="AA1113" s="76">
        <f>W1113-Y1113</f>
        <v>100848.415</v>
      </c>
      <c r="AB1113" s="9" t="s">
        <v>15</v>
      </c>
      <c r="AC1113" s="19">
        <v>45784</v>
      </c>
      <c r="AD1113" s="41"/>
      <c r="AE1113" s="42"/>
      <c r="AF1113" s="4">
        <f>AD436-H1113-T1113</f>
        <v>2985.05</v>
      </c>
      <c r="AG1113" s="3"/>
      <c r="AH1113" s="8"/>
      <c r="AI1113" s="4">
        <f>(AE1113+AF1113)-AH1113</f>
        <v>2985.05</v>
      </c>
      <c r="AJ1113" s="4">
        <f>AI1113+BP1112</f>
        <v>-693880.4555</v>
      </c>
      <c r="AK1113" s="8" t="s">
        <v>41</v>
      </c>
      <c r="AL1113" s="8">
        <f>3746.61+1283.58+2346.15</f>
        <v>7376.34</v>
      </c>
      <c r="AM1113" s="47" t="s">
        <v>507</v>
      </c>
      <c r="AN1113" s="47">
        <f>3222.91+6000+2200</f>
        <v>11422.91</v>
      </c>
      <c r="AO1113" s="8"/>
      <c r="AP1113" s="8"/>
      <c r="AQ1113" s="47"/>
      <c r="AR1113" s="47"/>
      <c r="AS1113" s="8"/>
      <c r="AT1113" s="8"/>
      <c r="AU1113" s="47"/>
      <c r="AV1113" s="47"/>
      <c r="AW1113" s="8"/>
      <c r="AX1113" s="8"/>
      <c r="AY1113" s="47"/>
      <c r="AZ1113" s="47"/>
      <c r="BA1113" s="8" t="s">
        <v>341</v>
      </c>
      <c r="BB1113" s="8">
        <v>433</v>
      </c>
      <c r="BC1113" s="47"/>
      <c r="BD1113" s="47"/>
      <c r="BE1113" s="8"/>
      <c r="BF1113" s="8"/>
      <c r="BG1113" s="47" t="s">
        <v>98</v>
      </c>
      <c r="BH1113" s="47">
        <v>1000</v>
      </c>
      <c r="BI1113" s="8"/>
      <c r="BJ1113" s="3"/>
      <c r="BK1113" s="47"/>
      <c r="BL1113" s="47"/>
      <c r="BM1113" s="46"/>
      <c r="BN1113" s="46"/>
      <c r="BO1113" s="24">
        <f>AL1113+AN1113+AP1113+AR1113+AT1113+AV1113+AX1113+AZ1113+BB1113+BD1113+BF1113+BH1113+BJ1113+BL1113+BN1113</f>
        <v>20232.25</v>
      </c>
      <c r="BP1113" s="28">
        <f>AJ1113-BO1113</f>
        <v>-714112.7055</v>
      </c>
      <c r="BQ1113" s="2">
        <v>45784</v>
      </c>
    </row>
    <row r="1114" spans="1:73" hidden="true">
      <c r="D1114" s="9" t="s">
        <v>16</v>
      </c>
      <c r="E1114" s="2">
        <v>45785</v>
      </c>
      <c r="F1114" s="38"/>
      <c r="G1114" s="126"/>
      <c r="H1114" s="4">
        <f>F437*50%</f>
        <v>1854.5</v>
      </c>
      <c r="I1114" s="120"/>
      <c r="J1114" s="4">
        <f>(G1114+H1114)-I1114</f>
        <v>1854.5</v>
      </c>
      <c r="K1114" s="4">
        <f>J1114+O1113</f>
        <v>365229.615</v>
      </c>
      <c r="L1114" s="3"/>
      <c r="M1114" s="3"/>
      <c r="N1114" s="33">
        <f>I1114+M1114</f>
        <v>0</v>
      </c>
      <c r="O1114" s="28">
        <f>K1114-M1114</f>
        <v>365229.615</v>
      </c>
      <c r="P1114" s="9" t="s">
        <v>16</v>
      </c>
      <c r="Q1114" s="2">
        <v>45785</v>
      </c>
      <c r="R1114" s="38"/>
      <c r="S1114" s="52"/>
      <c r="T1114" s="4">
        <f>R437*45%</f>
        <v>1683</v>
      </c>
      <c r="U1114" s="5"/>
      <c r="V1114" s="4">
        <f>(S1114+T1114)-U1114</f>
        <v>1683</v>
      </c>
      <c r="W1114" s="4">
        <f>V1114+AA1113</f>
        <v>102531.415</v>
      </c>
      <c r="X1114" s="3"/>
      <c r="Y1114" s="3"/>
      <c r="Z1114" s="25">
        <f>U1114+Y1114</f>
        <v>0</v>
      </c>
      <c r="AA1114" s="76">
        <f>W1114-Y1114</f>
        <v>102531.415</v>
      </c>
      <c r="AB1114" s="9" t="s">
        <v>16</v>
      </c>
      <c r="AC1114" s="19">
        <v>45785</v>
      </c>
      <c r="AD1114" s="41"/>
      <c r="AE1114" s="42"/>
      <c r="AF1114" s="4">
        <f>AD437-H1114-T1114</f>
        <v>3911.5</v>
      </c>
      <c r="AG1114" s="3"/>
      <c r="AH1114" s="8"/>
      <c r="AI1114" s="4">
        <f>(AE1114+AF1114)-AH1114</f>
        <v>3911.5</v>
      </c>
      <c r="AJ1114" s="4">
        <f>AI1114+BP1113</f>
        <v>-710201.2055</v>
      </c>
      <c r="AK1114" s="8" t="s">
        <v>41</v>
      </c>
      <c r="AL1114" s="8">
        <f>2105.77+2240.38</f>
        <v>4346.15</v>
      </c>
      <c r="AM1114" s="47"/>
      <c r="AN1114" s="47"/>
      <c r="AO1114" s="8"/>
      <c r="AP1114" s="8"/>
      <c r="AQ1114" s="47"/>
      <c r="AR1114" s="47"/>
      <c r="AS1114" s="8"/>
      <c r="AT1114" s="8"/>
      <c r="AU1114" s="47"/>
      <c r="AV1114" s="47"/>
      <c r="AW1114" s="8"/>
      <c r="AX1114" s="8"/>
      <c r="AY1114" s="47"/>
      <c r="AZ1114" s="47"/>
      <c r="BA1114" s="8" t="s">
        <v>341</v>
      </c>
      <c r="BB1114" s="8">
        <v>316.8</v>
      </c>
      <c r="BC1114" s="47"/>
      <c r="BD1114" s="47"/>
      <c r="BE1114" s="8"/>
      <c r="BF1114" s="8"/>
      <c r="BG1114" s="47" t="s">
        <v>98</v>
      </c>
      <c r="BH1114" s="47">
        <v>540</v>
      </c>
      <c r="BI1114" s="8"/>
      <c r="BJ1114" s="3"/>
      <c r="BK1114" s="47"/>
      <c r="BL1114" s="47"/>
      <c r="BM1114" s="46"/>
      <c r="BN1114" s="46"/>
      <c r="BO1114" s="24">
        <f>AL1114+AN1114+AP1114+AR1114+AT1114+AV1114+AX1114+AZ1114+BB1114+BD1114+BF1114+BH1114+BJ1114+BL1114+BN1114</f>
        <v>5202.95</v>
      </c>
      <c r="BP1114" s="28">
        <f>AJ1114-BO1114</f>
        <v>-715404.1555</v>
      </c>
      <c r="BQ1114" s="2">
        <v>45785</v>
      </c>
    </row>
    <row r="1115" spans="1:73" hidden="true">
      <c r="D1115" s="9" t="s">
        <v>10</v>
      </c>
      <c r="E1115" s="2">
        <v>45786</v>
      </c>
      <c r="F1115" s="38"/>
      <c r="G1115" s="126"/>
      <c r="H1115" s="4">
        <f>F438*50%</f>
        <v>2129.95</v>
      </c>
      <c r="I1115" s="120">
        <v>2640</v>
      </c>
      <c r="J1115" s="4">
        <f>(G1115+H1115)-I1115</f>
        <v>-510.05</v>
      </c>
      <c r="K1115" s="4">
        <f>J1115+O1114</f>
        <v>364719.565</v>
      </c>
      <c r="L1115" s="3"/>
      <c r="M1115" s="3"/>
      <c r="N1115" s="33">
        <f>I1115+M1115</f>
        <v>2640</v>
      </c>
      <c r="O1115" s="28">
        <f>K1115-M1115</f>
        <v>364719.565</v>
      </c>
      <c r="P1115" s="9" t="s">
        <v>10</v>
      </c>
      <c r="Q1115" s="2">
        <v>45786</v>
      </c>
      <c r="R1115" s="38"/>
      <c r="S1115" s="52"/>
      <c r="T1115" s="4">
        <f>R438*45%</f>
        <v>1276.2</v>
      </c>
      <c r="U1115" s="5">
        <v>890</v>
      </c>
      <c r="V1115" s="4">
        <f>(S1115+T1115)-U1115</f>
        <v>386.2</v>
      </c>
      <c r="W1115" s="4">
        <f>V1115+AA1114</f>
        <v>102917.615</v>
      </c>
      <c r="X1115" s="3"/>
      <c r="Y1115" s="3"/>
      <c r="Z1115" s="25">
        <f>U1115+Y1115</f>
        <v>890</v>
      </c>
      <c r="AA1115" s="76">
        <f>W1115-Y1115</f>
        <v>102917.615</v>
      </c>
      <c r="AB1115" s="9" t="s">
        <v>10</v>
      </c>
      <c r="AC1115" s="19">
        <v>45786</v>
      </c>
      <c r="AD1115" s="41"/>
      <c r="AE1115" s="42"/>
      <c r="AF1115" s="4">
        <f>AD438-H1115-T1115</f>
        <v>3689.75</v>
      </c>
      <c r="AG1115" s="3"/>
      <c r="AH1115" s="8"/>
      <c r="AI1115" s="4">
        <f>(AE1115+AF1115)-AH1115</f>
        <v>3689.75</v>
      </c>
      <c r="AJ1115" s="4">
        <f>AI1115+BP1114</f>
        <v>-711714.4055</v>
      </c>
      <c r="AK1115" s="8"/>
      <c r="AL1115" s="8"/>
      <c r="AM1115" s="47"/>
      <c r="AN1115" s="47"/>
      <c r="AO1115" s="8"/>
      <c r="AP1115" s="8"/>
      <c r="AQ1115" s="47"/>
      <c r="AR1115" s="47"/>
      <c r="AS1115" s="8"/>
      <c r="AT1115" s="8"/>
      <c r="AU1115" s="47"/>
      <c r="AV1115" s="47"/>
      <c r="AW1115" s="8"/>
      <c r="AX1115" s="8"/>
      <c r="AY1115" s="47"/>
      <c r="AZ1115" s="47"/>
      <c r="BA1115" s="8" t="s">
        <v>341</v>
      </c>
      <c r="BB1115" s="8">
        <v>498.2</v>
      </c>
      <c r="BC1115" s="47"/>
      <c r="BD1115" s="47"/>
      <c r="BE1115" s="8"/>
      <c r="BF1115" s="8"/>
      <c r="BG1115" s="47" t="s">
        <v>98</v>
      </c>
      <c r="BH1115" s="47">
        <v>1000</v>
      </c>
      <c r="BI1115" s="8"/>
      <c r="BJ1115" s="3"/>
      <c r="BK1115" s="47"/>
      <c r="BL1115" s="47"/>
      <c r="BM1115" s="46"/>
      <c r="BN1115" s="46"/>
      <c r="BO1115" s="24">
        <f>AL1115+AN1115+AP1115+AR1115+AT1115+AV1115+AX1115+AZ1115+BB1115+BD1115+BF1115+BH1115+BJ1115+BL1115+BN1115</f>
        <v>1498.2</v>
      </c>
      <c r="BP1115" s="28">
        <f>AJ1115-BO1115</f>
        <v>-713212.6055</v>
      </c>
      <c r="BQ1115" s="2">
        <v>45786</v>
      </c>
    </row>
    <row r="1116" spans="1:73" hidden="true">
      <c r="D1116" s="9" t="s">
        <v>11</v>
      </c>
      <c r="E1116" s="2">
        <v>45787</v>
      </c>
      <c r="F1116" s="38"/>
      <c r="G1116" s="126"/>
      <c r="H1116" s="4">
        <f>F439*50%</f>
        <v>1293.8</v>
      </c>
      <c r="I1116" s="120">
        <v>980</v>
      </c>
      <c r="J1116" s="4">
        <f>(G1116+H1116)-I1116</f>
        <v>313.8</v>
      </c>
      <c r="K1116" s="4">
        <f>J1116+O1115</f>
        <v>365033.365</v>
      </c>
      <c r="L1116" s="3"/>
      <c r="M1116" s="3"/>
      <c r="N1116" s="33">
        <f>I1116+M1116</f>
        <v>980</v>
      </c>
      <c r="O1116" s="28">
        <f>K1116-M1116</f>
        <v>365033.365</v>
      </c>
      <c r="P1116" s="9" t="s">
        <v>11</v>
      </c>
      <c r="Q1116" s="2">
        <v>45787</v>
      </c>
      <c r="R1116" s="38"/>
      <c r="S1116" s="52"/>
      <c r="T1116" s="4">
        <f>R439*45%</f>
        <v>1241.055</v>
      </c>
      <c r="U1116" s="5"/>
      <c r="V1116" s="4">
        <f>(S1116+T1116)-U1116</f>
        <v>1241.055</v>
      </c>
      <c r="W1116" s="4">
        <f>V1116+AA1115</f>
        <v>104158.67</v>
      </c>
      <c r="X1116" s="3"/>
      <c r="Y1116" s="3"/>
      <c r="Z1116" s="25">
        <f>U1116+Y1116</f>
        <v>0</v>
      </c>
      <c r="AA1116" s="76">
        <f>W1116-Y1116</f>
        <v>104158.67</v>
      </c>
      <c r="AB1116" s="9" t="s">
        <v>11</v>
      </c>
      <c r="AC1116" s="19">
        <v>45787</v>
      </c>
      <c r="AD1116" s="41"/>
      <c r="AE1116" s="42"/>
      <c r="AF1116" s="4">
        <f>AD439-H1116-T1116</f>
        <v>2810.645</v>
      </c>
      <c r="AG1116" s="3"/>
      <c r="AH1116" s="8"/>
      <c r="AI1116" s="4">
        <f>(AE1116+AF1116)-AH1116</f>
        <v>2810.645</v>
      </c>
      <c r="AJ1116" s="4">
        <f>AI1116+BP1115</f>
        <v>-710401.9605</v>
      </c>
      <c r="AK1116" s="8"/>
      <c r="AL1116" s="8"/>
      <c r="AM1116" s="47"/>
      <c r="AN1116" s="47"/>
      <c r="AO1116" s="8"/>
      <c r="AP1116" s="8"/>
      <c r="AQ1116" s="47"/>
      <c r="AR1116" s="47"/>
      <c r="AS1116" s="8"/>
      <c r="AT1116" s="8"/>
      <c r="AU1116" s="47"/>
      <c r="AV1116" s="47"/>
      <c r="AW1116" s="8"/>
      <c r="AX1116" s="8"/>
      <c r="AY1116" s="47"/>
      <c r="AZ1116" s="47"/>
      <c r="BA1116" s="8" t="s">
        <v>341</v>
      </c>
      <c r="BB1116" s="8">
        <v>225</v>
      </c>
      <c r="BC1116" s="47"/>
      <c r="BD1116" s="47"/>
      <c r="BE1116" s="8"/>
      <c r="BF1116" s="8"/>
      <c r="BG1116" s="47" t="s">
        <v>98</v>
      </c>
      <c r="BH1116" s="47">
        <v>950</v>
      </c>
      <c r="BI1116" s="8"/>
      <c r="BJ1116" s="3"/>
      <c r="BK1116" s="47"/>
      <c r="BL1116" s="47"/>
      <c r="BM1116" s="46"/>
      <c r="BN1116" s="46"/>
      <c r="BO1116" s="24">
        <f>AL1116+AN1116+AP1116+AR1116+AT1116+AV1116+AX1116+AZ1116+BB1116+BD1116+BF1116+BH1116+BJ1116+BL1116+BN1116</f>
        <v>1175</v>
      </c>
      <c r="BP1116" s="28">
        <f>AJ1116-BO1116</f>
        <v>-711576.9605</v>
      </c>
      <c r="BQ1116" s="2">
        <v>45787</v>
      </c>
    </row>
    <row r="1117" spans="1:73" hidden="true">
      <c r="D1117" s="9" t="s">
        <v>12</v>
      </c>
      <c r="E1117" s="2">
        <v>45788</v>
      </c>
      <c r="F1117" s="38"/>
      <c r="G1117" s="51"/>
      <c r="H1117" s="4">
        <f>F440*50%</f>
        <v>2303.625</v>
      </c>
      <c r="I1117" s="120"/>
      <c r="J1117" s="4">
        <f>(G1117+H1117)-I1117</f>
        <v>2303.625</v>
      </c>
      <c r="K1117" s="4">
        <f>J1117+O1116</f>
        <v>367336.99</v>
      </c>
      <c r="L1117" s="3"/>
      <c r="M1117" s="3"/>
      <c r="N1117" s="33">
        <f>I1117+M1117</f>
        <v>0</v>
      </c>
      <c r="O1117" s="28">
        <f>K1117-M1117</f>
        <v>367336.99</v>
      </c>
      <c r="P1117" s="9" t="s">
        <v>12</v>
      </c>
      <c r="Q1117" s="2">
        <v>45788</v>
      </c>
      <c r="R1117" s="38"/>
      <c r="S1117" s="52"/>
      <c r="T1117" s="4">
        <f>R440*45%</f>
        <v>1562.85</v>
      </c>
      <c r="U1117" s="5"/>
      <c r="V1117" s="4">
        <f>(S1117+T1117)-U1117</f>
        <v>1562.85</v>
      </c>
      <c r="W1117" s="4">
        <f>V1117+AA1116</f>
        <v>105721.52</v>
      </c>
      <c r="X1117" s="3"/>
      <c r="Y1117" s="3"/>
      <c r="Z1117" s="25">
        <f>U1117+Y1117</f>
        <v>0</v>
      </c>
      <c r="AA1117" s="76">
        <f>W1117-Y1117</f>
        <v>105721.52</v>
      </c>
      <c r="AB1117" s="9" t="s">
        <v>12</v>
      </c>
      <c r="AC1117" s="19">
        <v>45788</v>
      </c>
      <c r="AD1117" s="41"/>
      <c r="AE1117" s="42"/>
      <c r="AF1117" s="4">
        <f>AD440-H1117-T1117</f>
        <v>4213.775</v>
      </c>
      <c r="AG1117" s="3"/>
      <c r="AH1117" s="8"/>
      <c r="AI1117" s="4">
        <f>(AE1117+AF1117)-AH1117</f>
        <v>4213.775</v>
      </c>
      <c r="AJ1117" s="4">
        <f>AI1117+BP1116</f>
        <v>-707363.1855</v>
      </c>
      <c r="AK1117" s="8" t="s">
        <v>508</v>
      </c>
      <c r="AL1117" s="8">
        <v>5672.55</v>
      </c>
      <c r="AM1117" s="47"/>
      <c r="AN1117" s="47"/>
      <c r="AO1117" s="8"/>
      <c r="AP1117" s="8"/>
      <c r="AQ1117" s="47"/>
      <c r="AR1117" s="47"/>
      <c r="AS1117" s="8"/>
      <c r="AT1117" s="8"/>
      <c r="AU1117" s="47"/>
      <c r="AV1117" s="47"/>
      <c r="AW1117" s="8"/>
      <c r="AX1117" s="8"/>
      <c r="AY1117" s="47"/>
      <c r="AZ1117" s="47"/>
      <c r="BA1117" s="8" t="s">
        <v>341</v>
      </c>
      <c r="BB1117" s="8">
        <v>397.5</v>
      </c>
      <c r="BC1117" s="47"/>
      <c r="BD1117" s="47"/>
      <c r="BE1117" s="8"/>
      <c r="BF1117" s="8"/>
      <c r="BG1117" s="47" t="s">
        <v>98</v>
      </c>
      <c r="BH1117" s="47">
        <v>1000</v>
      </c>
      <c r="BI1117" s="8"/>
      <c r="BJ1117" s="3"/>
      <c r="BK1117" s="47"/>
      <c r="BL1117" s="47"/>
      <c r="BM1117" s="46"/>
      <c r="BN1117" s="46"/>
      <c r="BO1117" s="24">
        <f>AL1117+AN1117+AP1117+AR1117+AT1117+AV1117+AX1117+AZ1117+BB1117+BD1117+BF1117+BH1117+BJ1117+BL1117+BN1117</f>
        <v>7070.05</v>
      </c>
      <c r="BP1117" s="28">
        <f>AJ1117-BO1117</f>
        <v>-714433.2355</v>
      </c>
      <c r="BQ1117" s="2">
        <v>45788</v>
      </c>
    </row>
    <row r="1118" spans="1:73" hidden="true">
      <c r="D1118" s="9" t="s">
        <v>13</v>
      </c>
      <c r="E1118" s="2">
        <v>45789</v>
      </c>
      <c r="F1118" s="38"/>
      <c r="G1118" s="51"/>
      <c r="H1118" s="4">
        <f>F441*50%</f>
        <v>2392.425</v>
      </c>
      <c r="I1118" s="120"/>
      <c r="J1118" s="4">
        <f>(G1118+H1118)-I1118</f>
        <v>2392.425</v>
      </c>
      <c r="K1118" s="4">
        <f>J1118+O1117</f>
        <v>369729.415</v>
      </c>
      <c r="L1118" s="3"/>
      <c r="M1118" s="3"/>
      <c r="N1118" s="33">
        <f>I1118+M1118</f>
        <v>0</v>
      </c>
      <c r="O1118" s="28">
        <f>K1118-M1118</f>
        <v>369729.415</v>
      </c>
      <c r="P1118" s="9" t="s">
        <v>13</v>
      </c>
      <c r="Q1118" s="2">
        <v>45789</v>
      </c>
      <c r="R1118" s="38"/>
      <c r="S1118" s="52"/>
      <c r="T1118" s="4">
        <f>R441*45%</f>
        <v>2705.355</v>
      </c>
      <c r="U1118" s="5"/>
      <c r="V1118" s="4">
        <f>(S1118+T1118)-U1118</f>
        <v>2705.355</v>
      </c>
      <c r="W1118" s="4">
        <f>V1118+AA1117</f>
        <v>108426.875</v>
      </c>
      <c r="X1118" s="3"/>
      <c r="Y1118" s="3"/>
      <c r="Z1118" s="25">
        <f>U1118+Y1118</f>
        <v>0</v>
      </c>
      <c r="AA1118" s="76">
        <f>W1118-Y1118</f>
        <v>108426.875</v>
      </c>
      <c r="AB1118" s="9" t="s">
        <v>13</v>
      </c>
      <c r="AC1118" s="19">
        <v>45789</v>
      </c>
      <c r="AD1118" s="41"/>
      <c r="AE1118" s="42"/>
      <c r="AF1118" s="4">
        <f>AD441-H1118-T1118</f>
        <v>5698.97</v>
      </c>
      <c r="AG1118" s="3"/>
      <c r="AH1118" s="8"/>
      <c r="AI1118" s="4">
        <f>(AE1118+AF1118)-AH1118</f>
        <v>5698.97</v>
      </c>
      <c r="AJ1118" s="4">
        <f>AI1118+BP1117</f>
        <v>-708734.2655</v>
      </c>
      <c r="AK1118" s="8"/>
      <c r="AL1118" s="8"/>
      <c r="AM1118" s="47" t="s">
        <v>509</v>
      </c>
      <c r="AN1118" s="47">
        <v>1900</v>
      </c>
      <c r="AO1118" s="8"/>
      <c r="AP1118" s="8"/>
      <c r="AQ1118" s="47"/>
      <c r="AR1118" s="47"/>
      <c r="AS1118" s="8"/>
      <c r="AT1118" s="8"/>
      <c r="AU1118" s="47"/>
      <c r="AV1118" s="47"/>
      <c r="AW1118" s="8"/>
      <c r="AX1118" s="8"/>
      <c r="AY1118" s="47"/>
      <c r="AZ1118" s="47"/>
      <c r="BA1118" s="8" t="s">
        <v>341</v>
      </c>
      <c r="BB1118" s="8">
        <v>523</v>
      </c>
      <c r="BC1118" s="47" t="s">
        <v>489</v>
      </c>
      <c r="BD1118" s="47">
        <v>1500</v>
      </c>
      <c r="BE1118" s="8"/>
      <c r="BF1118" s="8"/>
      <c r="BG1118" s="47" t="s">
        <v>98</v>
      </c>
      <c r="BH1118" s="47">
        <v>1000</v>
      </c>
      <c r="BI1118" s="8"/>
      <c r="BJ1118" s="3"/>
      <c r="BK1118" s="47"/>
      <c r="BL1118" s="47"/>
      <c r="BM1118" s="46"/>
      <c r="BN1118" s="46"/>
      <c r="BO1118" s="24">
        <f>AL1118+AN1118+AP1118+AR1118+AT1118+AV1118+AX1118+AZ1118+BB1118+BD1118+BF1118+BH1118+BJ1118+BL1118+BN1118</f>
        <v>4923</v>
      </c>
      <c r="BP1118" s="28">
        <f>AJ1118-BO1118</f>
        <v>-713657.2655</v>
      </c>
      <c r="BQ1118" s="2">
        <v>45789</v>
      </c>
    </row>
    <row r="1119" spans="1:73" customHeight="1" ht="14.25" hidden="true">
      <c r="D1119" s="9" t="s">
        <v>14</v>
      </c>
      <c r="E1119" s="2">
        <v>45790</v>
      </c>
      <c r="F1119" s="38"/>
      <c r="G1119" s="51"/>
      <c r="H1119" s="4">
        <f>F442*50%</f>
        <v>2075.775</v>
      </c>
      <c r="I1119" s="120">
        <f>750+200+160+240+160</f>
        <v>1510</v>
      </c>
      <c r="J1119" s="4">
        <f>(G1119+H1119)-I1119</f>
        <v>565.775</v>
      </c>
      <c r="K1119" s="4">
        <f>J1119+O1118</f>
        <v>370295.19</v>
      </c>
      <c r="L1119" s="3"/>
      <c r="M1119" s="3"/>
      <c r="N1119" s="33">
        <f>I1119+M1119</f>
        <v>1510</v>
      </c>
      <c r="O1119" s="28">
        <f>K1119-M1119</f>
        <v>370295.19</v>
      </c>
      <c r="P1119" s="9" t="s">
        <v>14</v>
      </c>
      <c r="Q1119" s="2">
        <v>45790</v>
      </c>
      <c r="R1119" s="38"/>
      <c r="S1119" s="52"/>
      <c r="T1119" s="4">
        <f>R442*45%</f>
        <v>1446.3</v>
      </c>
      <c r="U1119" s="5">
        <v>959</v>
      </c>
      <c r="V1119" s="4">
        <f>(S1119+T1119)-U1119</f>
        <v>487.3</v>
      </c>
      <c r="W1119" s="4">
        <f>V1119+AA1118</f>
        <v>108914.175</v>
      </c>
      <c r="X1119" s="3"/>
      <c r="Y1119" s="3"/>
      <c r="Z1119" s="25">
        <f>U1119+Y1119</f>
        <v>959</v>
      </c>
      <c r="AA1119" s="76">
        <f>W1119-Y1119</f>
        <v>108914.175</v>
      </c>
      <c r="AB1119" s="9" t="s">
        <v>14</v>
      </c>
      <c r="AC1119" s="19">
        <v>45790</v>
      </c>
      <c r="AD1119" s="41"/>
      <c r="AE1119" s="42"/>
      <c r="AF1119" s="4">
        <f>AD442-H1119-T1119</f>
        <v>3843.475</v>
      </c>
      <c r="AG1119" s="3"/>
      <c r="AH1119" s="8"/>
      <c r="AI1119" s="4">
        <f>(AE1119+AF1119)-AH1119</f>
        <v>3843.475</v>
      </c>
      <c r="AJ1119" s="4">
        <f>AI1119+BP1118</f>
        <v>-709813.7905</v>
      </c>
      <c r="AK1119" s="8" t="s">
        <v>41</v>
      </c>
      <c r="AL1119" s="8">
        <f>1943.46+4000</f>
        <v>5943.46</v>
      </c>
      <c r="AM1119" s="47"/>
      <c r="AN1119" s="47"/>
      <c r="AO1119" s="8" t="s">
        <v>510</v>
      </c>
      <c r="AP1119" s="8">
        <v>2000</v>
      </c>
      <c r="AQ1119" s="47"/>
      <c r="AR1119" s="47"/>
      <c r="AS1119" s="8"/>
      <c r="AT1119" s="8"/>
      <c r="AU1119" s="47"/>
      <c r="AV1119" s="47"/>
      <c r="AW1119" s="8"/>
      <c r="AX1119" s="8"/>
      <c r="AY1119" s="47"/>
      <c r="AZ1119" s="47"/>
      <c r="BA1119" s="8" t="s">
        <v>341</v>
      </c>
      <c r="BB1119" s="8">
        <v>331.8</v>
      </c>
      <c r="BC1119" s="47" t="s">
        <v>511</v>
      </c>
      <c r="BD1119" s="47">
        <v>2000</v>
      </c>
      <c r="BE1119" s="8"/>
      <c r="BF1119" s="8"/>
      <c r="BG1119" s="47" t="s">
        <v>98</v>
      </c>
      <c r="BH1119" s="47">
        <v>1000</v>
      </c>
      <c r="BI1119" s="8"/>
      <c r="BJ1119" s="3"/>
      <c r="BK1119" s="47"/>
      <c r="BL1119" s="47"/>
      <c r="BM1119" s="46"/>
      <c r="BN1119" s="46"/>
      <c r="BO1119" s="24">
        <f>AL1119+AN1119+AP1119+AR1119+AT1119+AV1119+AX1119+AZ1119+BB1119+BD1119+BF1119+BH1119+BJ1119+BL1119+BN1119</f>
        <v>11275.26</v>
      </c>
      <c r="BP1119" s="28">
        <f>AJ1119-BO1119</f>
        <v>-721089.0505</v>
      </c>
      <c r="BQ1119" s="2">
        <v>45790</v>
      </c>
    </row>
    <row r="1120" spans="1:73" hidden="true">
      <c r="D1120" s="9" t="s">
        <v>15</v>
      </c>
      <c r="E1120" s="2">
        <v>45791</v>
      </c>
      <c r="F1120" s="38"/>
      <c r="G1120" s="51"/>
      <c r="H1120" s="4">
        <f>F443*50%</f>
        <v>1380.25</v>
      </c>
      <c r="I1120" s="120"/>
      <c r="J1120" s="4">
        <f>(G1120+H1120)-I1120</f>
        <v>1380.25</v>
      </c>
      <c r="K1120" s="4">
        <f>J1120+O1119</f>
        <v>371675.44</v>
      </c>
      <c r="L1120" s="3" t="s">
        <v>512</v>
      </c>
      <c r="M1120" s="3">
        <v>2400</v>
      </c>
      <c r="N1120" s="33">
        <f>I1120+M1120</f>
        <v>2400</v>
      </c>
      <c r="O1120" s="28">
        <f>K1120-M1120</f>
        <v>369275.44</v>
      </c>
      <c r="P1120" s="9" t="s">
        <v>15</v>
      </c>
      <c r="Q1120" s="2">
        <v>45791</v>
      </c>
      <c r="R1120" s="38"/>
      <c r="S1120" s="52"/>
      <c r="T1120" s="4">
        <f>R443*45%</f>
        <v>1115.1</v>
      </c>
      <c r="U1120" s="5"/>
      <c r="V1120" s="4">
        <f>(S1120+T1120)-U1120</f>
        <v>1115.1</v>
      </c>
      <c r="W1120" s="4">
        <f>V1120+AA1119</f>
        <v>110029.275</v>
      </c>
      <c r="X1120" s="3"/>
      <c r="Y1120" s="3"/>
      <c r="Z1120" s="25">
        <f>U1120+Y1120</f>
        <v>0</v>
      </c>
      <c r="AA1120" s="76">
        <f>W1120-Y1120</f>
        <v>110029.275</v>
      </c>
      <c r="AB1120" s="9" t="s">
        <v>15</v>
      </c>
      <c r="AC1120" s="19">
        <v>45791</v>
      </c>
      <c r="AD1120" s="41"/>
      <c r="AE1120" s="42"/>
      <c r="AF1120" s="4">
        <f>AD443-H1120-T1120</f>
        <v>2743.15</v>
      </c>
      <c r="AG1120" s="3"/>
      <c r="AH1120" s="8"/>
      <c r="AI1120" s="4">
        <f>(AE1120+AF1120)-AH1120</f>
        <v>2743.15</v>
      </c>
      <c r="AJ1120" s="4">
        <f>AI1120+BP1119</f>
        <v>-718345.9005</v>
      </c>
      <c r="AK1120" s="8"/>
      <c r="AL1120" s="8"/>
      <c r="AM1120" s="47" t="s">
        <v>513</v>
      </c>
      <c r="AN1120" s="47">
        <v>8000</v>
      </c>
      <c r="AO1120" s="8"/>
      <c r="AP1120" s="8"/>
      <c r="AQ1120" s="47"/>
      <c r="AR1120" s="47"/>
      <c r="AS1120" s="8"/>
      <c r="AT1120" s="8"/>
      <c r="AU1120" s="47"/>
      <c r="AV1120" s="47"/>
      <c r="AW1120" s="8"/>
      <c r="AX1120" s="8"/>
      <c r="AY1120" s="47"/>
      <c r="AZ1120" s="47"/>
      <c r="BA1120" s="8" t="s">
        <v>341</v>
      </c>
      <c r="BB1120" s="8">
        <v>433</v>
      </c>
      <c r="BC1120" s="47"/>
      <c r="BD1120" s="47"/>
      <c r="BE1120" s="8"/>
      <c r="BF1120" s="8"/>
      <c r="BG1120" s="47" t="s">
        <v>98</v>
      </c>
      <c r="BH1120" s="47">
        <v>850</v>
      </c>
      <c r="BI1120" s="8"/>
      <c r="BJ1120" s="3"/>
      <c r="BK1120" s="47"/>
      <c r="BL1120" s="47"/>
      <c r="BM1120" s="46"/>
      <c r="BN1120" s="46"/>
      <c r="BO1120" s="24">
        <f>AL1120+AN1120+AP1120+AR1120+AT1120+AV1120+AX1120+AZ1120+BB1120+BD1120+BF1120+BH1120+BJ1120+BL1120+BN1120</f>
        <v>9283</v>
      </c>
      <c r="BP1120" s="28">
        <f>AJ1120-BO1120</f>
        <v>-727628.9005</v>
      </c>
      <c r="BQ1120" s="2">
        <v>45791</v>
      </c>
    </row>
    <row r="1121" spans="1:73" hidden="true">
      <c r="D1121" s="9" t="s">
        <v>16</v>
      </c>
      <c r="E1121" s="2">
        <v>45792</v>
      </c>
      <c r="F1121" s="38"/>
      <c r="G1121" s="51"/>
      <c r="H1121" s="4">
        <f>F444*50%</f>
        <v>2046.9</v>
      </c>
      <c r="I1121" s="120"/>
      <c r="J1121" s="4">
        <f>(G1121+H1121)-I1121</f>
        <v>2046.9</v>
      </c>
      <c r="K1121" s="4">
        <f>J1121+O1120</f>
        <v>371322.34</v>
      </c>
      <c r="L1121" s="3"/>
      <c r="M1121" s="3"/>
      <c r="N1121" s="33">
        <f>I1121+M1121</f>
        <v>0</v>
      </c>
      <c r="O1121" s="28">
        <f>K1121-M1121</f>
        <v>371322.34</v>
      </c>
      <c r="P1121" s="9" t="s">
        <v>16</v>
      </c>
      <c r="Q1121" s="2">
        <v>45792</v>
      </c>
      <c r="R1121" s="38"/>
      <c r="S1121" s="52"/>
      <c r="T1121" s="4">
        <f>R444*45%</f>
        <v>956.25</v>
      </c>
      <c r="U1121" s="5"/>
      <c r="V1121" s="4">
        <f>(S1121+T1121)-U1121</f>
        <v>956.25</v>
      </c>
      <c r="W1121" s="4">
        <f>V1121+AA1120</f>
        <v>110985.525</v>
      </c>
      <c r="X1121" s="3"/>
      <c r="Y1121" s="3"/>
      <c r="Z1121" s="25">
        <f>U1121+Y1121</f>
        <v>0</v>
      </c>
      <c r="AA1121" s="76">
        <f>W1121-Y1121</f>
        <v>110985.525</v>
      </c>
      <c r="AB1121" s="9" t="s">
        <v>16</v>
      </c>
      <c r="AC1121" s="19">
        <v>45792</v>
      </c>
      <c r="AD1121" s="41"/>
      <c r="AE1121" s="42"/>
      <c r="AF1121" s="4">
        <f>AD444-H1121-T1121</f>
        <v>3215.65</v>
      </c>
      <c r="AG1121" s="3"/>
      <c r="AH1121" s="8"/>
      <c r="AI1121" s="4">
        <f>(AE1121+AF1121)-AH1121</f>
        <v>3215.65</v>
      </c>
      <c r="AJ1121" s="4">
        <f>AI1121+BP1120</f>
        <v>-724413.2505</v>
      </c>
      <c r="AK1121" s="8"/>
      <c r="AL1121" s="8"/>
      <c r="AM1121" s="47" t="s">
        <v>514</v>
      </c>
      <c r="AN1121" s="47">
        <v>17195</v>
      </c>
      <c r="AO1121" s="8"/>
      <c r="AP1121" s="8"/>
      <c r="AQ1121" s="47"/>
      <c r="AR1121" s="47"/>
      <c r="AS1121" s="8"/>
      <c r="AT1121" s="8"/>
      <c r="AU1121" s="47"/>
      <c r="AV1121" s="47"/>
      <c r="AW1121" s="8"/>
      <c r="AX1121" s="8"/>
      <c r="AY1121" s="47"/>
      <c r="AZ1121" s="47"/>
      <c r="BA1121" s="8" t="s">
        <v>341</v>
      </c>
      <c r="BB1121" s="8">
        <v>312</v>
      </c>
      <c r="BC1121" s="47"/>
      <c r="BD1121" s="47"/>
      <c r="BE1121" s="8" t="s">
        <v>461</v>
      </c>
      <c r="BF1121" s="8">
        <v>12000</v>
      </c>
      <c r="BG1121" s="47" t="s">
        <v>98</v>
      </c>
      <c r="BH1121" s="47">
        <v>850</v>
      </c>
      <c r="BI1121" s="8"/>
      <c r="BJ1121" s="3"/>
      <c r="BK1121" s="47"/>
      <c r="BL1121" s="47"/>
      <c r="BM1121" s="46"/>
      <c r="BN1121" s="46"/>
      <c r="BO1121" s="24">
        <f>AL1121+AN1121+AP1121+AR1121+AT1121+AV1121+AX1121+AZ1121+BB1121+BD1121+BF1121+BH1121+BJ1121+BL1121+BN1121</f>
        <v>30357</v>
      </c>
      <c r="BP1121" s="28">
        <f>AJ1121-BO1121</f>
        <v>-754770.2505</v>
      </c>
      <c r="BQ1121" s="2">
        <v>45792</v>
      </c>
    </row>
    <row r="1122" spans="1:73" hidden="true">
      <c r="D1122" s="9" t="s">
        <v>10</v>
      </c>
      <c r="E1122" s="2">
        <v>45793</v>
      </c>
      <c r="F1122" s="38"/>
      <c r="G1122" s="51"/>
      <c r="H1122" s="4">
        <f>F445*50%</f>
        <v>2126.65</v>
      </c>
      <c r="I1122" s="120"/>
      <c r="J1122" s="4">
        <f>(G1122+H1122)-I1122</f>
        <v>2126.65</v>
      </c>
      <c r="K1122" s="4">
        <f>J1122+O1121</f>
        <v>373448.99</v>
      </c>
      <c r="L1122" s="3"/>
      <c r="M1122" s="3"/>
      <c r="N1122" s="33">
        <f>I1122+M1122</f>
        <v>0</v>
      </c>
      <c r="O1122" s="28">
        <f>K1122-M1122</f>
        <v>373448.99</v>
      </c>
      <c r="P1122" s="9" t="s">
        <v>10</v>
      </c>
      <c r="Q1122" s="2">
        <v>45793</v>
      </c>
      <c r="R1122" s="38"/>
      <c r="S1122" s="52"/>
      <c r="T1122" s="4">
        <f>R445*45%</f>
        <v>2260.665</v>
      </c>
      <c r="U1122" s="5"/>
      <c r="V1122" s="4">
        <f>(S1122+T1122)-U1122</f>
        <v>2260.665</v>
      </c>
      <c r="W1122" s="4">
        <f>V1122+AA1121</f>
        <v>113246.19</v>
      </c>
      <c r="X1122" s="3"/>
      <c r="Y1122" s="3"/>
      <c r="Z1122" s="25">
        <f>U1122+Y1122</f>
        <v>0</v>
      </c>
      <c r="AA1122" s="76">
        <f>W1122-Y1122</f>
        <v>113246.19</v>
      </c>
      <c r="AB1122" s="9" t="s">
        <v>10</v>
      </c>
      <c r="AC1122" s="19">
        <v>45793</v>
      </c>
      <c r="AD1122" s="41"/>
      <c r="AE1122" s="42"/>
      <c r="AF1122" s="4">
        <f>AD445-H1122-T1122</f>
        <v>4889.685</v>
      </c>
      <c r="AG1122" s="3"/>
      <c r="AH1122" s="8"/>
      <c r="AI1122" s="4">
        <f>(AE1122+AF1122)-AH1122</f>
        <v>4889.685</v>
      </c>
      <c r="AJ1122" s="4">
        <f>AI1122+BP1121</f>
        <v>-749880.5655</v>
      </c>
      <c r="AK1122" s="8"/>
      <c r="AL1122" s="8"/>
      <c r="AM1122" s="47" t="s">
        <v>515</v>
      </c>
      <c r="AN1122" s="47">
        <v>3222.91</v>
      </c>
      <c r="AO1122" s="8"/>
      <c r="AP1122" s="8"/>
      <c r="AQ1122" s="47"/>
      <c r="AR1122" s="47"/>
      <c r="AS1122" s="8"/>
      <c r="AT1122" s="8"/>
      <c r="AU1122" s="47"/>
      <c r="AV1122" s="47"/>
      <c r="AW1122" s="8"/>
      <c r="AX1122" s="8"/>
      <c r="AY1122" s="47"/>
      <c r="AZ1122" s="47"/>
      <c r="BA1122" s="8" t="s">
        <v>341</v>
      </c>
      <c r="BB1122" s="8">
        <v>414.2</v>
      </c>
      <c r="BC1122" s="47"/>
      <c r="BD1122" s="47"/>
      <c r="BE1122" s="8"/>
      <c r="BF1122" s="8"/>
      <c r="BG1122" s="47"/>
      <c r="BH1122" s="47"/>
      <c r="BI1122" s="8"/>
      <c r="BJ1122" s="3"/>
      <c r="BK1122" s="47"/>
      <c r="BL1122" s="47"/>
      <c r="BM1122" s="46"/>
      <c r="BN1122" s="46"/>
      <c r="BO1122" s="24">
        <f>AL1122+AN1122+AP1122+AR1122+AT1122+AV1122+AX1122+AZ1122+BB1122+BD1122+BF1122+BH1122+BJ1122+BL1122+BN1122</f>
        <v>3637.11</v>
      </c>
      <c r="BP1122" s="28">
        <f>AJ1122-BO1122</f>
        <v>-753517.6755</v>
      </c>
      <c r="BQ1122" s="2">
        <v>45793</v>
      </c>
    </row>
    <row r="1123" spans="1:73" hidden="true">
      <c r="D1123" s="9" t="s">
        <v>11</v>
      </c>
      <c r="E1123" s="2">
        <v>45794</v>
      </c>
      <c r="F1123" s="38"/>
      <c r="G1123" s="51"/>
      <c r="H1123" s="4">
        <f>F446*50%</f>
        <v>1527.15</v>
      </c>
      <c r="I1123" s="120"/>
      <c r="J1123" s="4">
        <f>(G1123+H1123)-I1123</f>
        <v>1527.15</v>
      </c>
      <c r="K1123" s="4">
        <f>J1123+O1122</f>
        <v>374976.14</v>
      </c>
      <c r="L1123" s="3"/>
      <c r="M1123" s="3"/>
      <c r="N1123" s="33">
        <f>I1123+M1123</f>
        <v>0</v>
      </c>
      <c r="O1123" s="28">
        <f>K1123-M1123</f>
        <v>374976.14</v>
      </c>
      <c r="P1123" s="9" t="s">
        <v>11</v>
      </c>
      <c r="Q1123" s="2">
        <v>45794</v>
      </c>
      <c r="R1123" s="38"/>
      <c r="S1123" s="52"/>
      <c r="T1123" s="4">
        <f>R446*45%</f>
        <v>922.5</v>
      </c>
      <c r="U1123" s="5"/>
      <c r="V1123" s="4">
        <f>(S1123+T1123)-U1123</f>
        <v>922.5</v>
      </c>
      <c r="W1123" s="4">
        <f>V1123+AA1122</f>
        <v>114168.69</v>
      </c>
      <c r="X1123" s="3"/>
      <c r="Y1123" s="3"/>
      <c r="Z1123" s="25">
        <f>U1123+Y1123</f>
        <v>0</v>
      </c>
      <c r="AA1123" s="76">
        <f>W1123-Y1123</f>
        <v>114168.69</v>
      </c>
      <c r="AB1123" s="9" t="s">
        <v>11</v>
      </c>
      <c r="AC1123" s="19">
        <v>45794</v>
      </c>
      <c r="AD1123" s="41"/>
      <c r="AE1123" s="42"/>
      <c r="AF1123" s="4">
        <f>AD446-H1123-T1123</f>
        <v>2654.65</v>
      </c>
      <c r="AG1123" s="3"/>
      <c r="AH1123" s="8"/>
      <c r="AI1123" s="4">
        <f>(AE1123+AF1123)-AH1123</f>
        <v>2654.65</v>
      </c>
      <c r="AJ1123" s="4">
        <f>AI1123+BP1122</f>
        <v>-750863.0255</v>
      </c>
      <c r="AK1123" s="8"/>
      <c r="AL1123" s="8"/>
      <c r="AM1123" s="47"/>
      <c r="AN1123" s="47"/>
      <c r="AO1123" s="8"/>
      <c r="AP1123" s="8"/>
      <c r="AQ1123" s="47"/>
      <c r="AR1123" s="47"/>
      <c r="AS1123" s="8"/>
      <c r="AT1123" s="8"/>
      <c r="AU1123" s="47"/>
      <c r="AV1123" s="47"/>
      <c r="AW1123" s="8"/>
      <c r="AX1123" s="8"/>
      <c r="AY1123" s="47"/>
      <c r="AZ1123" s="47"/>
      <c r="BA1123" s="8" t="s">
        <v>341</v>
      </c>
      <c r="BB1123" s="8">
        <v>164</v>
      </c>
      <c r="BC1123" s="47"/>
      <c r="BD1123" s="47"/>
      <c r="BE1123" s="8"/>
      <c r="BF1123" s="8"/>
      <c r="BG1123" s="47" t="s">
        <v>98</v>
      </c>
      <c r="BH1123" s="47">
        <v>1000</v>
      </c>
      <c r="BI1123" s="8"/>
      <c r="BJ1123" s="3"/>
      <c r="BK1123" s="47"/>
      <c r="BL1123" s="47"/>
      <c r="BM1123" s="46"/>
      <c r="BN1123" s="46"/>
      <c r="BO1123" s="24">
        <f>AL1123+AN1123+AP1123+AR1123+AT1123+AV1123+AX1123+AZ1123+BB1123+BD1123+BF1123+BH1123+BJ1123+BL1123+BN1123</f>
        <v>1164</v>
      </c>
      <c r="BP1123" s="28">
        <f>AJ1123-BO1123</f>
        <v>-752027.0255</v>
      </c>
      <c r="BQ1123" s="2">
        <v>45794</v>
      </c>
    </row>
    <row r="1124" spans="1:73" hidden="true">
      <c r="D1124" s="9" t="s">
        <v>12</v>
      </c>
      <c r="E1124" s="2">
        <v>45795</v>
      </c>
      <c r="F1124" s="38"/>
      <c r="G1124" s="51"/>
      <c r="H1124" s="4">
        <f>F447*50%</f>
        <v>1441.725</v>
      </c>
      <c r="I1124" s="120"/>
      <c r="J1124" s="4">
        <f>(G1124+H1124)-I1124</f>
        <v>1441.725</v>
      </c>
      <c r="K1124" s="4">
        <f>J1124+O1123</f>
        <v>376417.865</v>
      </c>
      <c r="L1124" s="3"/>
      <c r="M1124" s="3"/>
      <c r="N1124" s="33">
        <f>I1124+M1124</f>
        <v>0</v>
      </c>
      <c r="O1124" s="28">
        <f>K1124-M1124</f>
        <v>376417.865</v>
      </c>
      <c r="P1124" s="9" t="s">
        <v>12</v>
      </c>
      <c r="Q1124" s="2">
        <v>45795</v>
      </c>
      <c r="R1124" s="38"/>
      <c r="S1124" s="52"/>
      <c r="T1124" s="4">
        <f>R447*45%</f>
        <v>1914.3</v>
      </c>
      <c r="U1124" s="5"/>
      <c r="V1124" s="4">
        <f>(S1124+T1124)-U1124</f>
        <v>1914.3</v>
      </c>
      <c r="W1124" s="4">
        <f>V1124+AA1123</f>
        <v>116082.99</v>
      </c>
      <c r="X1124" s="3" t="s">
        <v>369</v>
      </c>
      <c r="Y1124" s="3">
        <v>8400</v>
      </c>
      <c r="Z1124" s="25">
        <f>U1124+Y1124</f>
        <v>8400</v>
      </c>
      <c r="AA1124" s="76">
        <f>W1124-Y1124</f>
        <v>107682.99</v>
      </c>
      <c r="AB1124" s="9" t="s">
        <v>12</v>
      </c>
      <c r="AC1124" s="19">
        <v>45795</v>
      </c>
      <c r="AD1124" s="41"/>
      <c r="AE1124" s="42"/>
      <c r="AF1124" s="4">
        <f>AD447-H1124-T1124</f>
        <v>3781.425</v>
      </c>
      <c r="AG1124" s="3"/>
      <c r="AH1124" s="8"/>
      <c r="AI1124" s="4">
        <f>(AE1124+AF1124)-AH1124</f>
        <v>3781.425</v>
      </c>
      <c r="AJ1124" s="4">
        <f>AI1124+BP1123</f>
        <v>-748245.6005</v>
      </c>
      <c r="AK1124" s="8"/>
      <c r="AL1124" s="8"/>
      <c r="AM1124" s="47" t="s">
        <v>516</v>
      </c>
      <c r="AN1124" s="47">
        <v>375</v>
      </c>
      <c r="AO1124" s="8"/>
      <c r="AP1124" s="8"/>
      <c r="AQ1124" s="47"/>
      <c r="AR1124" s="47"/>
      <c r="AS1124" s="8"/>
      <c r="AT1124" s="8"/>
      <c r="AU1124" s="47"/>
      <c r="AV1124" s="47"/>
      <c r="AW1124" s="8"/>
      <c r="AX1124" s="8"/>
      <c r="AY1124" s="47"/>
      <c r="AZ1124" s="47"/>
      <c r="BA1124" s="8" t="s">
        <v>517</v>
      </c>
      <c r="BB1124" s="8">
        <f>288+286.16</f>
        <v>574.16</v>
      </c>
      <c r="BC1124" s="47" t="s">
        <v>518</v>
      </c>
      <c r="BD1124" s="47">
        <f>1500+325.81</f>
        <v>1825.81</v>
      </c>
      <c r="BE1124" s="8"/>
      <c r="BF1124" s="8"/>
      <c r="BG1124" s="47" t="s">
        <v>98</v>
      </c>
      <c r="BH1124" s="47">
        <v>700</v>
      </c>
      <c r="BI1124" s="8"/>
      <c r="BJ1124" s="3"/>
      <c r="BK1124" s="47"/>
      <c r="BL1124" s="47"/>
      <c r="BM1124" s="46"/>
      <c r="BN1124" s="46"/>
      <c r="BO1124" s="24">
        <f>AL1124+AN1124+AP1124+AR1124+AT1124+AV1124+AX1124+AZ1124+BB1124+BD1124+BF1124+BH1124+BJ1124+BL1124+BN1124</f>
        <v>3474.97</v>
      </c>
      <c r="BP1124" s="28">
        <f>AJ1124-BO1124</f>
        <v>-751720.5705</v>
      </c>
      <c r="BQ1124" s="2">
        <v>45795</v>
      </c>
    </row>
    <row r="1125" spans="1:73" hidden="true">
      <c r="D1125" s="9" t="s">
        <v>13</v>
      </c>
      <c r="E1125" s="2">
        <v>45796</v>
      </c>
      <c r="F1125" s="38"/>
      <c r="G1125" s="51"/>
      <c r="H1125" s="4">
        <f>F448*50%</f>
        <v>1795.15</v>
      </c>
      <c r="I1125" s="120"/>
      <c r="J1125" s="4">
        <f>(G1125+H1125)-I1125</f>
        <v>1795.15</v>
      </c>
      <c r="K1125" s="4">
        <f>J1125+O1124</f>
        <v>378213.015</v>
      </c>
      <c r="L1125" s="3"/>
      <c r="M1125" s="3"/>
      <c r="N1125" s="33">
        <f>I1125+M1125</f>
        <v>0</v>
      </c>
      <c r="O1125" s="28">
        <f>K1125-M1125</f>
        <v>378213.015</v>
      </c>
      <c r="P1125" s="9" t="s">
        <v>13</v>
      </c>
      <c r="Q1125" s="2">
        <v>45796</v>
      </c>
      <c r="R1125" s="38"/>
      <c r="S1125" s="52"/>
      <c r="T1125" s="4">
        <f>R448*45%</f>
        <v>3565.26</v>
      </c>
      <c r="U1125" s="5"/>
      <c r="V1125" s="4">
        <f>(S1125+T1125)-U1125</f>
        <v>3565.26</v>
      </c>
      <c r="W1125" s="4">
        <f>V1125+AA1124</f>
        <v>111248.25</v>
      </c>
      <c r="X1125" s="3"/>
      <c r="Y1125" s="3"/>
      <c r="Z1125" s="25">
        <f>U1125+Y1125</f>
        <v>0</v>
      </c>
      <c r="AA1125" s="76">
        <f>W1125-Y1125</f>
        <v>111248.25</v>
      </c>
      <c r="AB1125" s="9" t="s">
        <v>13</v>
      </c>
      <c r="AC1125" s="19">
        <v>45796</v>
      </c>
      <c r="AD1125" s="41"/>
      <c r="AE1125" s="42"/>
      <c r="AF1125" s="4">
        <f>AD448-H1125-T1125</f>
        <v>6152.69</v>
      </c>
      <c r="AG1125" s="3"/>
      <c r="AH1125" s="8"/>
      <c r="AI1125" s="4">
        <f>(AE1125+AF1125)-AH1125</f>
        <v>6152.69</v>
      </c>
      <c r="AJ1125" s="4">
        <f>AI1125+BP1124</f>
        <v>-745567.8805</v>
      </c>
      <c r="AK1125" s="8"/>
      <c r="AL1125" s="8"/>
      <c r="AM1125" s="47" t="s">
        <v>519</v>
      </c>
      <c r="AN1125" s="47">
        <f>25000+500</f>
        <v>25500</v>
      </c>
      <c r="AO1125" s="8"/>
      <c r="AP1125" s="8"/>
      <c r="AQ1125" s="47"/>
      <c r="AR1125" s="47"/>
      <c r="AS1125" s="8"/>
      <c r="AT1125" s="8"/>
      <c r="AU1125" s="47"/>
      <c r="AV1125" s="47"/>
      <c r="AW1125" s="8"/>
      <c r="AX1125" s="8"/>
      <c r="AY1125" s="47"/>
      <c r="AZ1125" s="47"/>
      <c r="BA1125" s="8" t="s">
        <v>341</v>
      </c>
      <c r="BB1125" s="8">
        <v>541</v>
      </c>
      <c r="BC1125" s="47"/>
      <c r="BD1125" s="47"/>
      <c r="BE1125" s="8"/>
      <c r="BF1125" s="8"/>
      <c r="BG1125" s="47" t="s">
        <v>98</v>
      </c>
      <c r="BH1125" s="47">
        <v>1000</v>
      </c>
      <c r="BI1125" s="8"/>
      <c r="BJ1125" s="3"/>
      <c r="BK1125" s="47"/>
      <c r="BL1125" s="47"/>
      <c r="BM1125" s="46"/>
      <c r="BN1125" s="46"/>
      <c r="BO1125" s="24">
        <f>AL1125+AN1125+AP1125+AR1125+AT1125+AV1125+AX1125+AZ1125+BB1125+BD1125+BF1125+BH1125+BJ1125+BL1125+BN1125</f>
        <v>27041</v>
      </c>
      <c r="BP1125" s="28">
        <f>AJ1125-BO1125</f>
        <v>-772608.8805</v>
      </c>
      <c r="BQ1125" s="2">
        <v>45796</v>
      </c>
    </row>
    <row r="1126" spans="1:73" hidden="true">
      <c r="D1126" s="9" t="s">
        <v>14</v>
      </c>
      <c r="E1126" s="2">
        <v>45797</v>
      </c>
      <c r="F1126" s="38" t="s">
        <v>520</v>
      </c>
      <c r="G1126" s="126">
        <v>12000</v>
      </c>
      <c r="H1126" s="4">
        <f>F449*50%</f>
        <v>1613.925</v>
      </c>
      <c r="I1126" s="120"/>
      <c r="J1126" s="4">
        <f>(G1126+H1126)-I1126</f>
        <v>13613.925</v>
      </c>
      <c r="K1126" s="4">
        <f>J1126+O1125</f>
        <v>391826.94</v>
      </c>
      <c r="L1126" s="3"/>
      <c r="M1126" s="3"/>
      <c r="N1126" s="33">
        <f>I1126+M1126</f>
        <v>0</v>
      </c>
      <c r="O1126" s="28">
        <f>K1126-M1126</f>
        <v>391826.94</v>
      </c>
      <c r="P1126" s="9" t="s">
        <v>14</v>
      </c>
      <c r="Q1126" s="2">
        <v>45797</v>
      </c>
      <c r="R1126" s="38"/>
      <c r="S1126" s="52"/>
      <c r="T1126" s="4">
        <f>R449*45%</f>
        <v>1900.8</v>
      </c>
      <c r="U1126" s="5"/>
      <c r="V1126" s="4">
        <f>(S1126+T1126)-U1126</f>
        <v>1900.8</v>
      </c>
      <c r="W1126" s="4">
        <f>V1126+AA1125</f>
        <v>113149.05</v>
      </c>
      <c r="X1126" s="3"/>
      <c r="Y1126" s="3"/>
      <c r="Z1126" s="25">
        <f>U1126+Y1126</f>
        <v>0</v>
      </c>
      <c r="AA1126" s="76">
        <f>W1126-Y1126</f>
        <v>113149.05</v>
      </c>
      <c r="AB1126" s="9" t="s">
        <v>14</v>
      </c>
      <c r="AC1126" s="19">
        <v>45797</v>
      </c>
      <c r="AD1126" s="41"/>
      <c r="AE1126" s="42"/>
      <c r="AF1126" s="4">
        <f>AD449-H1126-T1126</f>
        <v>3937.125</v>
      </c>
      <c r="AG1126" s="3"/>
      <c r="AH1126" s="8"/>
      <c r="AI1126" s="4">
        <f>(AE1126+AF1126)-AH1126</f>
        <v>3937.125</v>
      </c>
      <c r="AJ1126" s="4">
        <f>AI1126+BP1125</f>
        <v>-768671.7555</v>
      </c>
      <c r="AK1126" s="8"/>
      <c r="AL1126" s="8"/>
      <c r="AM1126" s="47" t="s">
        <v>514</v>
      </c>
      <c r="AN1126" s="47">
        <v>20000</v>
      </c>
      <c r="AO1126" s="8"/>
      <c r="AP1126" s="8"/>
      <c r="AQ1126" s="47"/>
      <c r="AR1126" s="47"/>
      <c r="AS1126" s="8"/>
      <c r="AT1126" s="8"/>
      <c r="AU1126" s="47"/>
      <c r="AV1126" s="47"/>
      <c r="AW1126" s="8"/>
      <c r="AX1126" s="8"/>
      <c r="AY1126" s="47"/>
      <c r="AZ1126" s="47"/>
      <c r="BA1126" s="8" t="s">
        <v>341</v>
      </c>
      <c r="BB1126" s="8">
        <v>99</v>
      </c>
      <c r="BC1126" s="47"/>
      <c r="BD1126" s="47"/>
      <c r="BE1126" s="8"/>
      <c r="BF1126" s="8"/>
      <c r="BG1126" s="47"/>
      <c r="BH1126" s="47"/>
      <c r="BI1126" s="8"/>
      <c r="BJ1126" s="3"/>
      <c r="BK1126" s="47"/>
      <c r="BL1126" s="47"/>
      <c r="BM1126" s="46"/>
      <c r="BN1126" s="46"/>
      <c r="BO1126" s="24">
        <f>AL1126+AN1126+AP1126+AR1126+AT1126+AV1126+AX1126+AZ1126+BB1126+BD1126+BF1126+BH1126+BJ1126+BL1126+BN1126</f>
        <v>20099</v>
      </c>
      <c r="BP1126" s="28">
        <f>AJ1126-BO1126</f>
        <v>-788770.7555</v>
      </c>
      <c r="BQ1126" s="2">
        <v>45797</v>
      </c>
    </row>
    <row r="1127" spans="1:73" hidden="true">
      <c r="D1127" s="9" t="s">
        <v>15</v>
      </c>
      <c r="E1127" s="2">
        <v>45798</v>
      </c>
      <c r="F1127" s="38"/>
      <c r="G1127" s="51"/>
      <c r="H1127" s="4">
        <f>F450*50%</f>
        <v>1855.975</v>
      </c>
      <c r="I1127" s="120"/>
      <c r="J1127" s="4">
        <f>(G1127+H1127)-I1127</f>
        <v>1855.975</v>
      </c>
      <c r="K1127" s="4">
        <f>J1127+O1126</f>
        <v>393682.915</v>
      </c>
      <c r="L1127" s="3"/>
      <c r="M1127" s="3"/>
      <c r="N1127" s="33">
        <f>I1127+M1127</f>
        <v>0</v>
      </c>
      <c r="O1127" s="28">
        <f>K1127-M1127</f>
        <v>393682.915</v>
      </c>
      <c r="P1127" s="9" t="s">
        <v>15</v>
      </c>
      <c r="Q1127" s="2">
        <v>45798</v>
      </c>
      <c r="R1127" s="38"/>
      <c r="S1127" s="52"/>
      <c r="T1127" s="4">
        <f>R450*45%</f>
        <v>2105.55</v>
      </c>
      <c r="U1127" s="5"/>
      <c r="V1127" s="4">
        <f>(S1127+T1127)-U1127</f>
        <v>2105.55</v>
      </c>
      <c r="W1127" s="4">
        <f>V1127+AA1126</f>
        <v>115254.6</v>
      </c>
      <c r="X1127" s="3"/>
      <c r="Y1127" s="3"/>
      <c r="Z1127" s="25">
        <f>U1127+Y1127</f>
        <v>0</v>
      </c>
      <c r="AA1127" s="76">
        <f>W1127-Y1127</f>
        <v>115254.6</v>
      </c>
      <c r="AB1127" s="9" t="s">
        <v>15</v>
      </c>
      <c r="AC1127" s="19">
        <v>45798</v>
      </c>
      <c r="AD1127" s="41"/>
      <c r="AE1127" s="42"/>
      <c r="AF1127" s="4">
        <f>AD450-H1127-T1127</f>
        <v>4429.425</v>
      </c>
      <c r="AG1127" s="3"/>
      <c r="AH1127" s="8"/>
      <c r="AI1127" s="4">
        <f>(AE1127+AF1127)-AH1127</f>
        <v>4429.425</v>
      </c>
      <c r="AJ1127" s="4">
        <f>AI1127+BP1126</f>
        <v>-784341.3305</v>
      </c>
      <c r="AK1127" s="8"/>
      <c r="AL1127" s="8"/>
      <c r="AM1127" s="47"/>
      <c r="AN1127" s="47"/>
      <c r="AO1127" s="8"/>
      <c r="AP1127" s="8"/>
      <c r="AQ1127" s="47"/>
      <c r="AR1127" s="47"/>
      <c r="AS1127" s="8"/>
      <c r="AT1127" s="8"/>
      <c r="AU1127" s="47"/>
      <c r="AV1127" s="47"/>
      <c r="AW1127" s="8"/>
      <c r="AX1127" s="8"/>
      <c r="AY1127" s="47"/>
      <c r="AZ1127" s="47"/>
      <c r="BA1127" s="8" t="s">
        <v>341</v>
      </c>
      <c r="BB1127" s="8">
        <v>342</v>
      </c>
      <c r="BC1127" s="47"/>
      <c r="BD1127" s="47"/>
      <c r="BE1127" s="8" t="s">
        <v>461</v>
      </c>
      <c r="BF1127" s="8">
        <v>15500</v>
      </c>
      <c r="BG1127" s="47"/>
      <c r="BH1127" s="47"/>
      <c r="BI1127" s="8"/>
      <c r="BJ1127" s="3"/>
      <c r="BK1127" s="47"/>
      <c r="BL1127" s="47"/>
      <c r="BM1127" s="46"/>
      <c r="BN1127" s="46"/>
      <c r="BO1127" s="24">
        <f>AL1127+AN1127+AP1127+AR1127+AT1127+AV1127+AX1127+AZ1127+BB1127+BD1127+BF1127+BH1127+BJ1127+BL1127+BN1127</f>
        <v>15842</v>
      </c>
      <c r="BP1127" s="28">
        <f>AJ1127-BO1127</f>
        <v>-800183.3305</v>
      </c>
      <c r="BQ1127" s="2">
        <v>45798</v>
      </c>
    </row>
    <row r="1128" spans="1:73" hidden="true">
      <c r="D1128" s="9" t="s">
        <v>16</v>
      </c>
      <c r="E1128" s="2">
        <v>45799</v>
      </c>
      <c r="F1128" s="38"/>
      <c r="G1128" s="51"/>
      <c r="H1128" s="4">
        <f>F451*50%</f>
        <v>1590.525</v>
      </c>
      <c r="I1128" s="120">
        <v>512</v>
      </c>
      <c r="J1128" s="4">
        <f>(G1128+H1128)-I1128</f>
        <v>1078.525</v>
      </c>
      <c r="K1128" s="4">
        <f>J1128+O1127</f>
        <v>394761.44</v>
      </c>
      <c r="L1128" s="3"/>
      <c r="M1128" s="3"/>
      <c r="N1128" s="33">
        <f>I1128+M1128</f>
        <v>512</v>
      </c>
      <c r="O1128" s="28">
        <f>K1128-M1128</f>
        <v>394761.44</v>
      </c>
      <c r="P1128" s="9" t="s">
        <v>16</v>
      </c>
      <c r="Q1128" s="2">
        <v>45799</v>
      </c>
      <c r="R1128" s="38"/>
      <c r="S1128" s="52"/>
      <c r="T1128" s="4">
        <f>R451*45%</f>
        <v>1596.51</v>
      </c>
      <c r="U1128" s="5"/>
      <c r="V1128" s="4">
        <f>(S1128+T1128)-U1128</f>
        <v>1596.51</v>
      </c>
      <c r="W1128" s="4">
        <f>V1128+AA1127</f>
        <v>116851.11</v>
      </c>
      <c r="X1128" s="3"/>
      <c r="Y1128" s="3"/>
      <c r="Z1128" s="25">
        <f>U1128+Y1128</f>
        <v>0</v>
      </c>
      <c r="AA1128" s="76">
        <f>W1128-Y1128</f>
        <v>116851.11</v>
      </c>
      <c r="AB1128" s="9" t="s">
        <v>16</v>
      </c>
      <c r="AC1128" s="19">
        <v>45799</v>
      </c>
      <c r="AD1128" s="41"/>
      <c r="AE1128" s="42"/>
      <c r="AF1128" s="4">
        <f>AD451-H1128-T1128</f>
        <v>3541.815</v>
      </c>
      <c r="AG1128" s="3"/>
      <c r="AH1128" s="8"/>
      <c r="AI1128" s="4">
        <f>(AE1128+AF1128)-AH1128</f>
        <v>3541.815</v>
      </c>
      <c r="AJ1128" s="4">
        <f>AI1128+BP1127</f>
        <v>-796641.5155</v>
      </c>
      <c r="AK1128" s="8"/>
      <c r="AL1128" s="8"/>
      <c r="AM1128" s="47"/>
      <c r="AN1128" s="47"/>
      <c r="AO1128" s="8"/>
      <c r="AP1128" s="8"/>
      <c r="AQ1128" s="47"/>
      <c r="AR1128" s="47"/>
      <c r="AS1128" s="8"/>
      <c r="AT1128" s="8"/>
      <c r="AU1128" s="47"/>
      <c r="AV1128" s="47"/>
      <c r="AW1128" s="8"/>
      <c r="AX1128" s="8"/>
      <c r="AY1128" s="47"/>
      <c r="AZ1128" s="47"/>
      <c r="BA1128" s="8" t="s">
        <v>341</v>
      </c>
      <c r="BB1128" s="8">
        <v>75.6</v>
      </c>
      <c r="BC1128" s="47"/>
      <c r="BD1128" s="47"/>
      <c r="BE1128" s="8"/>
      <c r="BF1128" s="8"/>
      <c r="BG1128" s="47" t="s">
        <v>98</v>
      </c>
      <c r="BH1128" s="47">
        <v>1000</v>
      </c>
      <c r="BI1128" s="8"/>
      <c r="BJ1128" s="3"/>
      <c r="BK1128" s="47"/>
      <c r="BL1128" s="47"/>
      <c r="BM1128" s="46"/>
      <c r="BN1128" s="46"/>
      <c r="BO1128" s="24">
        <f>AL1128+AN1128+AP1128+AR1128+AT1128+AV1128+AX1128+AZ1128+BB1128+BD1128+BF1128+BH1128+BJ1128+BL1128+BN1128</f>
        <v>1075.6</v>
      </c>
      <c r="BP1128" s="28">
        <f>AJ1128-BO1128</f>
        <v>-797717.1155</v>
      </c>
      <c r="BQ1128" s="2">
        <v>45799</v>
      </c>
    </row>
    <row r="1129" spans="1:73" hidden="true">
      <c r="D1129" s="9" t="s">
        <v>10</v>
      </c>
      <c r="E1129" s="2">
        <v>45800</v>
      </c>
      <c r="F1129" s="38"/>
      <c r="G1129" s="51"/>
      <c r="H1129" s="4">
        <f>F452*50%</f>
        <v>1806</v>
      </c>
      <c r="I1129" s="120">
        <v>855</v>
      </c>
      <c r="J1129" s="4">
        <f>(G1129+H1129)-I1129</f>
        <v>951</v>
      </c>
      <c r="K1129" s="4">
        <f>J1129+O1128</f>
        <v>395712.44</v>
      </c>
      <c r="L1129" s="3"/>
      <c r="M1129" s="3"/>
      <c r="N1129" s="33">
        <f>I1129+M1129</f>
        <v>855</v>
      </c>
      <c r="O1129" s="28">
        <f>K1129-M1129</f>
        <v>395712.44</v>
      </c>
      <c r="P1129" s="9" t="s">
        <v>10</v>
      </c>
      <c r="Q1129" s="2">
        <v>45800</v>
      </c>
      <c r="R1129" s="38"/>
      <c r="S1129" s="52"/>
      <c r="T1129" s="4">
        <f>R452*45%</f>
        <v>2982.6</v>
      </c>
      <c r="U1129" s="5"/>
      <c r="V1129" s="4">
        <f>(S1129+T1129)-U1129</f>
        <v>2982.6</v>
      </c>
      <c r="W1129" s="4">
        <f>V1129+AA1128</f>
        <v>119833.71</v>
      </c>
      <c r="X1129" s="3"/>
      <c r="Y1129" s="3"/>
      <c r="Z1129" s="25">
        <f>U1129+Y1129</f>
        <v>0</v>
      </c>
      <c r="AA1129" s="76">
        <f>W1129-Y1129</f>
        <v>119833.71</v>
      </c>
      <c r="AB1129" s="9" t="s">
        <v>10</v>
      </c>
      <c r="AC1129" s="19">
        <v>45800</v>
      </c>
      <c r="AD1129" s="41"/>
      <c r="AE1129" s="42"/>
      <c r="AF1129" s="4">
        <f>AD452-H1129-T1129</f>
        <v>5451.4</v>
      </c>
      <c r="AG1129" s="3"/>
      <c r="AH1129" s="8"/>
      <c r="AI1129" s="4">
        <f>(AE1129+AF1129)-AH1129</f>
        <v>5451.4</v>
      </c>
      <c r="AJ1129" s="4">
        <f>AI1129+BP1128</f>
        <v>-792265.7155</v>
      </c>
      <c r="AK1129" s="8"/>
      <c r="AL1129" s="8"/>
      <c r="AM1129" s="47" t="s">
        <v>503</v>
      </c>
      <c r="AN1129" s="47">
        <v>4059.2</v>
      </c>
      <c r="AO1129" s="8"/>
      <c r="AP1129" s="8"/>
      <c r="AQ1129" s="47"/>
      <c r="AR1129" s="47"/>
      <c r="AS1129" s="8"/>
      <c r="AT1129" s="8"/>
      <c r="AU1129" s="47"/>
      <c r="AV1129" s="47"/>
      <c r="AW1129" s="8"/>
      <c r="AX1129" s="8"/>
      <c r="AY1129" s="47"/>
      <c r="AZ1129" s="47"/>
      <c r="BA1129" s="8" t="s">
        <v>341</v>
      </c>
      <c r="BB1129" s="8">
        <v>175</v>
      </c>
      <c r="BC1129" s="47" t="s">
        <v>521</v>
      </c>
      <c r="BD1129" s="47">
        <v>1500</v>
      </c>
      <c r="BE1129" s="8"/>
      <c r="BF1129" s="8"/>
      <c r="BG1129" s="47"/>
      <c r="BH1129" s="47"/>
      <c r="BI1129" s="8"/>
      <c r="BJ1129" s="3"/>
      <c r="BK1129" s="47"/>
      <c r="BL1129" s="47"/>
      <c r="BM1129" s="46"/>
      <c r="BN1129" s="46"/>
      <c r="BO1129" s="24">
        <f>AL1129+AN1129+AP1129+AR1129+AT1129+AV1129+AX1129+AZ1129+BB1129+BD1129+BF1129+BH1129+BJ1129+BL1129+BN1129</f>
        <v>5734.2</v>
      </c>
      <c r="BP1129" s="28">
        <f>AJ1129-BO1129</f>
        <v>-797999.9155</v>
      </c>
      <c r="BQ1129" s="2">
        <v>45800</v>
      </c>
    </row>
    <row r="1130" spans="1:73" hidden="true">
      <c r="D1130" s="9" t="s">
        <v>11</v>
      </c>
      <c r="E1130" s="2">
        <v>45801</v>
      </c>
      <c r="F1130" s="38"/>
      <c r="G1130" s="51"/>
      <c r="H1130" s="4">
        <f>F453*50%</f>
        <v>1472.525</v>
      </c>
      <c r="I1130" s="120"/>
      <c r="J1130" s="4">
        <f>(G1130+H1130)-I1130</f>
        <v>1472.525</v>
      </c>
      <c r="K1130" s="4">
        <f>J1130+O1129</f>
        <v>397184.965</v>
      </c>
      <c r="L1130" s="3"/>
      <c r="M1130" s="3"/>
      <c r="N1130" s="33">
        <f>I1130+M1130</f>
        <v>0</v>
      </c>
      <c r="O1130" s="28">
        <f>K1130-M1130</f>
        <v>397184.965</v>
      </c>
      <c r="P1130" s="9" t="s">
        <v>11</v>
      </c>
      <c r="Q1130" s="2">
        <v>45801</v>
      </c>
      <c r="R1130" s="38"/>
      <c r="S1130" s="52"/>
      <c r="T1130" s="4">
        <f>R453*45%</f>
        <v>1071</v>
      </c>
      <c r="U1130" s="5">
        <v>440</v>
      </c>
      <c r="V1130" s="4">
        <f>(S1130+T1130)-U1130</f>
        <v>631</v>
      </c>
      <c r="W1130" s="4">
        <f>V1130+AA1129</f>
        <v>120464.71</v>
      </c>
      <c r="X1130" s="3"/>
      <c r="Y1130" s="3"/>
      <c r="Z1130" s="25">
        <f>U1130+Y1130</f>
        <v>440</v>
      </c>
      <c r="AA1130" s="76">
        <f>W1130-Y1130</f>
        <v>120464.71</v>
      </c>
      <c r="AB1130" s="9" t="s">
        <v>11</v>
      </c>
      <c r="AC1130" s="19">
        <v>45801</v>
      </c>
      <c r="AD1130" s="41"/>
      <c r="AE1130" s="42"/>
      <c r="AF1130" s="4">
        <f>AD453-H1130-T1130</f>
        <v>2781.525</v>
      </c>
      <c r="AG1130" s="3"/>
      <c r="AH1130" s="8"/>
      <c r="AI1130" s="4">
        <f>(AE1130+AF1130)-AH1130</f>
        <v>2781.525</v>
      </c>
      <c r="AJ1130" s="4">
        <f>AI1130+BP1129</f>
        <v>-795218.3905</v>
      </c>
      <c r="AK1130" s="8" t="s">
        <v>41</v>
      </c>
      <c r="AL1130" s="8">
        <v>2000</v>
      </c>
      <c r="AM1130" s="47"/>
      <c r="AN1130" s="47"/>
      <c r="AO1130" s="8"/>
      <c r="AP1130" s="8"/>
      <c r="AQ1130" s="47"/>
      <c r="AR1130" s="47"/>
      <c r="AS1130" s="8"/>
      <c r="AT1130" s="8"/>
      <c r="AU1130" s="47"/>
      <c r="AV1130" s="47"/>
      <c r="AW1130" s="8"/>
      <c r="AX1130" s="8"/>
      <c r="AY1130" s="47"/>
      <c r="AZ1130" s="47"/>
      <c r="BA1130" s="8" t="s">
        <v>341</v>
      </c>
      <c r="BB1130" s="8">
        <v>114.4</v>
      </c>
      <c r="BC1130" s="47"/>
      <c r="BD1130" s="47"/>
      <c r="BE1130" s="8"/>
      <c r="BF1130" s="8"/>
      <c r="BG1130" s="47" t="s">
        <v>98</v>
      </c>
      <c r="BH1130" s="47">
        <v>4294.3</v>
      </c>
      <c r="BI1130" s="8"/>
      <c r="BJ1130" s="3"/>
      <c r="BK1130" s="47"/>
      <c r="BL1130" s="47"/>
      <c r="BM1130" s="46" t="s">
        <v>522</v>
      </c>
      <c r="BN1130" s="46">
        <v>4300</v>
      </c>
      <c r="BO1130" s="24">
        <f>AL1130+AN1130+AP1130+AR1130+AT1130+AV1130+AX1130+AZ1130+BB1130+BD1130+BF1130+BH1130+BJ1130+BL1130+BN1130</f>
        <v>10708.7</v>
      </c>
      <c r="BP1130" s="28">
        <f>AJ1130-BO1130</f>
        <v>-805927.0905</v>
      </c>
      <c r="BQ1130" s="2">
        <v>45801</v>
      </c>
    </row>
    <row r="1131" spans="1:73" hidden="true">
      <c r="D1131" s="9" t="s">
        <v>12</v>
      </c>
      <c r="E1131" s="2">
        <v>45802</v>
      </c>
      <c r="F1131" s="38"/>
      <c r="G1131" s="51"/>
      <c r="H1131" s="4">
        <f>F454*50%</f>
        <v>1729.1</v>
      </c>
      <c r="I1131" s="120"/>
      <c r="J1131" s="4">
        <f>(G1131+H1131)-I1131</f>
        <v>1729.1</v>
      </c>
      <c r="K1131" s="4">
        <f>J1131+O1130</f>
        <v>398914.065</v>
      </c>
      <c r="L1131" s="3"/>
      <c r="M1131" s="3"/>
      <c r="N1131" s="33">
        <f>I1131+M1131</f>
        <v>0</v>
      </c>
      <c r="O1131" s="28">
        <f>K1131-M1131</f>
        <v>398914.065</v>
      </c>
      <c r="P1131" s="9" t="s">
        <v>12</v>
      </c>
      <c r="Q1131" s="2">
        <v>45802</v>
      </c>
      <c r="R1131" s="38"/>
      <c r="S1131" s="52"/>
      <c r="T1131" s="4">
        <f>R454*45%</f>
        <v>1222.11</v>
      </c>
      <c r="U1131" s="5"/>
      <c r="V1131" s="4">
        <f>(S1131+T1131)-U1131</f>
        <v>1222.11</v>
      </c>
      <c r="W1131" s="4">
        <f>V1131+AA1130</f>
        <v>121686.82</v>
      </c>
      <c r="X1131" s="3"/>
      <c r="Y1131" s="3"/>
      <c r="Z1131" s="25">
        <f>U1131+Y1131</f>
        <v>0</v>
      </c>
      <c r="AA1131" s="76">
        <f>W1131-Y1131</f>
        <v>121686.82</v>
      </c>
      <c r="AB1131" s="9" t="s">
        <v>12</v>
      </c>
      <c r="AC1131" s="19">
        <v>45802</v>
      </c>
      <c r="AD1131" s="41"/>
      <c r="AE1131" s="42"/>
      <c r="AF1131" s="4">
        <f>AD454-H1131-T1131</f>
        <v>3222.79</v>
      </c>
      <c r="AG1131" s="3"/>
      <c r="AH1131" s="8"/>
      <c r="AI1131" s="4">
        <f>(AE1131+AF1131)-AH1131</f>
        <v>3222.79</v>
      </c>
      <c r="AJ1131" s="4">
        <f>AI1131+BP1130</f>
        <v>-802704.3005</v>
      </c>
      <c r="AK1131" s="8"/>
      <c r="AL1131" s="8"/>
      <c r="AM1131" s="47"/>
      <c r="AN1131" s="47"/>
      <c r="AO1131" s="8"/>
      <c r="AP1131" s="8"/>
      <c r="AQ1131" s="47"/>
      <c r="AR1131" s="47"/>
      <c r="AS1131" s="8"/>
      <c r="AT1131" s="8"/>
      <c r="AU1131" s="47"/>
      <c r="AV1131" s="47"/>
      <c r="AW1131" s="8"/>
      <c r="AX1131" s="8"/>
      <c r="AY1131" s="47"/>
      <c r="AZ1131" s="47"/>
      <c r="BA1131" s="8" t="s">
        <v>341</v>
      </c>
      <c r="BB1131" s="8">
        <v>220</v>
      </c>
      <c r="BC1131" s="47"/>
      <c r="BD1131" s="47"/>
      <c r="BE1131" s="8"/>
      <c r="BF1131" s="8"/>
      <c r="BG1131" s="47"/>
      <c r="BH1131" s="47"/>
      <c r="BI1131" s="8"/>
      <c r="BJ1131" s="3"/>
      <c r="BK1131" s="47"/>
      <c r="BL1131" s="47"/>
      <c r="BM1131" s="46"/>
      <c r="BN1131" s="46"/>
      <c r="BO1131" s="24">
        <f>AL1131+AN1131+AP1131+AR1131+AT1131+AV1131+AX1131+AZ1131+BB1131+BD1131+BF1131+BH1131+BJ1131+BL1131+BN1131</f>
        <v>220</v>
      </c>
      <c r="BP1131" s="28">
        <f>AJ1131-BO1131</f>
        <v>-802924.3005</v>
      </c>
      <c r="BQ1131" s="2">
        <v>45802</v>
      </c>
    </row>
    <row r="1132" spans="1:73" hidden="true">
      <c r="D1132" s="9" t="s">
        <v>13</v>
      </c>
      <c r="E1132" s="2">
        <v>45803</v>
      </c>
      <c r="F1132" s="38"/>
      <c r="G1132" s="51"/>
      <c r="H1132" s="4">
        <f>F455*50%</f>
        <v>1350</v>
      </c>
      <c r="I1132" s="120"/>
      <c r="J1132" s="4">
        <f>(G1132+H1132)-I1132</f>
        <v>1350</v>
      </c>
      <c r="K1132" s="4">
        <f>J1132+O1131</f>
        <v>400264.065</v>
      </c>
      <c r="L1132" s="3"/>
      <c r="M1132" s="3"/>
      <c r="N1132" s="33">
        <f>I1132+M1132</f>
        <v>0</v>
      </c>
      <c r="O1132" s="28">
        <f>K1132-M1132</f>
        <v>400264.065</v>
      </c>
      <c r="P1132" s="9" t="s">
        <v>13</v>
      </c>
      <c r="Q1132" s="2">
        <v>45803</v>
      </c>
      <c r="R1132" s="38"/>
      <c r="S1132" s="52"/>
      <c r="T1132" s="4">
        <f>R455*45%</f>
        <v>1116</v>
      </c>
      <c r="U1132" s="5"/>
      <c r="V1132" s="4">
        <f>(S1132+T1132)-U1132</f>
        <v>1116</v>
      </c>
      <c r="W1132" s="4">
        <f>V1132+AA1131</f>
        <v>122802.82</v>
      </c>
      <c r="X1132" s="3"/>
      <c r="Y1132" s="3"/>
      <c r="Z1132" s="25">
        <f>U1132+Y1132</f>
        <v>0</v>
      </c>
      <c r="AA1132" s="76">
        <f>W1132-Y1132</f>
        <v>122802.82</v>
      </c>
      <c r="AB1132" s="9" t="s">
        <v>13</v>
      </c>
      <c r="AC1132" s="19">
        <v>45803</v>
      </c>
      <c r="AD1132" s="41"/>
      <c r="AE1132" s="42"/>
      <c r="AF1132" s="4">
        <f>AD455-H1132-T1132</f>
        <v>2714</v>
      </c>
      <c r="AG1132" s="3"/>
      <c r="AH1132" s="8"/>
      <c r="AI1132" s="4">
        <f>(AE1132+AF1132)-AH1132</f>
        <v>2714</v>
      </c>
      <c r="AJ1132" s="4">
        <f>AI1132+BP1131</f>
        <v>-800210.3005</v>
      </c>
      <c r="AK1132" s="8" t="s">
        <v>41</v>
      </c>
      <c r="AL1132" s="8">
        <f>2400+2750</f>
        <v>5150</v>
      </c>
      <c r="AM1132" s="47"/>
      <c r="AN1132" s="47"/>
      <c r="AO1132" s="8"/>
      <c r="AP1132" s="8"/>
      <c r="AQ1132" s="47"/>
      <c r="AR1132" s="47"/>
      <c r="AS1132" s="8" t="s">
        <v>523</v>
      </c>
      <c r="AT1132" s="8">
        <v>3000</v>
      </c>
      <c r="AU1132" s="47"/>
      <c r="AV1132" s="47"/>
      <c r="AW1132" s="8"/>
      <c r="AX1132" s="8"/>
      <c r="AY1132" s="47"/>
      <c r="AZ1132" s="47"/>
      <c r="BA1132" s="8" t="s">
        <v>524</v>
      </c>
      <c r="BB1132" s="8">
        <f>120+7500</f>
        <v>7620</v>
      </c>
      <c r="BC1132" s="47" t="s">
        <v>525</v>
      </c>
      <c r="BD1132" s="47">
        <v>398</v>
      </c>
      <c r="BE1132" s="8"/>
      <c r="BF1132" s="8"/>
      <c r="BG1132" s="47" t="s">
        <v>98</v>
      </c>
      <c r="BH1132" s="47">
        <v>4500</v>
      </c>
      <c r="BI1132" s="8"/>
      <c r="BJ1132" s="3"/>
      <c r="BK1132" s="47"/>
      <c r="BL1132" s="47"/>
      <c r="BM1132" s="46"/>
      <c r="BN1132" s="46"/>
      <c r="BO1132" s="24">
        <f>AL1132+AN1132+AP1132+AR1132+AT1132+AV1132+AX1132+AZ1132+BB1132+BD1132+BF1132+BH1132+BJ1132+BL1132+BN1132</f>
        <v>20668</v>
      </c>
      <c r="BP1132" s="28">
        <f>AJ1132-BO1132</f>
        <v>-820878.3005</v>
      </c>
      <c r="BQ1132" s="2">
        <v>45803</v>
      </c>
    </row>
    <row r="1133" spans="1:73" hidden="true">
      <c r="D1133" s="9" t="s">
        <v>14</v>
      </c>
      <c r="E1133" s="2">
        <v>45804</v>
      </c>
      <c r="F1133" s="38"/>
      <c r="G1133" s="51"/>
      <c r="H1133" s="4">
        <f>F456*50%</f>
        <v>1607.9</v>
      </c>
      <c r="I1133" s="120"/>
      <c r="J1133" s="4">
        <f>(G1133+H1133)-I1133</f>
        <v>1607.9</v>
      </c>
      <c r="K1133" s="4">
        <f>J1133+O1132</f>
        <v>401871.965</v>
      </c>
      <c r="L1133" s="3"/>
      <c r="M1133" s="3"/>
      <c r="N1133" s="33">
        <f>I1133+M1133</f>
        <v>0</v>
      </c>
      <c r="O1133" s="28">
        <f>K1133-M1133</f>
        <v>401871.965</v>
      </c>
      <c r="P1133" s="9" t="s">
        <v>14</v>
      </c>
      <c r="Q1133" s="2">
        <v>45804</v>
      </c>
      <c r="R1133" s="38"/>
      <c r="S1133" s="52"/>
      <c r="T1133" s="4">
        <f>R456*45%</f>
        <v>898.2</v>
      </c>
      <c r="U1133" s="5"/>
      <c r="V1133" s="4">
        <f>(S1133+T1133)-U1133</f>
        <v>898.2</v>
      </c>
      <c r="W1133" s="4">
        <f>V1133+AA1132</f>
        <v>123701.02</v>
      </c>
      <c r="X1133" s="3"/>
      <c r="Y1133" s="3"/>
      <c r="Z1133" s="25">
        <f>U1133+Y1133</f>
        <v>0</v>
      </c>
      <c r="AA1133" s="76">
        <f>W1133-Y1133</f>
        <v>123701.02</v>
      </c>
      <c r="AB1133" s="9" t="s">
        <v>14</v>
      </c>
      <c r="AC1133" s="19">
        <v>45804</v>
      </c>
      <c r="AD1133" s="41"/>
      <c r="AE1133" s="42"/>
      <c r="AF1133" s="4">
        <f>AD456-H1133-T1133</f>
        <v>2705.7</v>
      </c>
      <c r="AG1133" s="3"/>
      <c r="AH1133" s="8"/>
      <c r="AI1133" s="4">
        <f>(AE1133+AF1133)-AH1133</f>
        <v>2705.7</v>
      </c>
      <c r="AJ1133" s="4">
        <f>AI1133+BP1132</f>
        <v>-818172.6005</v>
      </c>
      <c r="AK1133" s="8" t="s">
        <v>41</v>
      </c>
      <c r="AL1133" s="8">
        <v>300</v>
      </c>
      <c r="AM1133" s="47"/>
      <c r="AN1133" s="47"/>
      <c r="AO1133" s="8"/>
      <c r="AP1133" s="8"/>
      <c r="AQ1133" s="47"/>
      <c r="AR1133" s="47"/>
      <c r="AS1133" s="8"/>
      <c r="AT1133" s="8"/>
      <c r="AU1133" s="47"/>
      <c r="AV1133" s="47"/>
      <c r="AW1133" s="8"/>
      <c r="AX1133" s="8"/>
      <c r="AY1133" s="47"/>
      <c r="AZ1133" s="47"/>
      <c r="BA1133" s="8" t="s">
        <v>341</v>
      </c>
      <c r="BB1133" s="8">
        <v>342.2</v>
      </c>
      <c r="BC1133" s="47"/>
      <c r="BD1133" s="47"/>
      <c r="BE1133" s="8" t="s">
        <v>526</v>
      </c>
      <c r="BF1133" s="8">
        <v>450</v>
      </c>
      <c r="BG1133" s="47"/>
      <c r="BH1133" s="47"/>
      <c r="BI1133" s="8"/>
      <c r="BJ1133" s="3"/>
      <c r="BK1133" s="47"/>
      <c r="BL1133" s="47"/>
      <c r="BM1133" s="46"/>
      <c r="BN1133" s="46"/>
      <c r="BO1133" s="24">
        <f>AL1133+AN1133+AP1133+AR1133+AT1133+AV1133+AX1133+AZ1133+BB1133+BD1133+BF1133+BH1133+BJ1133+BL1133+BN1133</f>
        <v>1092.2</v>
      </c>
      <c r="BP1133" s="28">
        <f>AJ1133-BO1133</f>
        <v>-819264.8005</v>
      </c>
      <c r="BQ1133" s="2">
        <v>45804</v>
      </c>
    </row>
    <row r="1134" spans="1:73" hidden="true">
      <c r="D1134" s="9" t="s">
        <v>15</v>
      </c>
      <c r="E1134" s="2">
        <v>45805</v>
      </c>
      <c r="F1134" s="38"/>
      <c r="G1134" s="51"/>
      <c r="H1134" s="4">
        <f>F457*50%</f>
        <v>616.05</v>
      </c>
      <c r="I1134" s="120"/>
      <c r="J1134" s="4">
        <f>(G1134+H1134)-I1134</f>
        <v>616.05</v>
      </c>
      <c r="K1134" s="4">
        <f>J1134+O1133</f>
        <v>402488.015</v>
      </c>
      <c r="L1134" s="3"/>
      <c r="M1134" s="3"/>
      <c r="N1134" s="33">
        <f>I1134+M1134</f>
        <v>0</v>
      </c>
      <c r="O1134" s="28">
        <f>K1134-M1134</f>
        <v>402488.015</v>
      </c>
      <c r="P1134" s="9" t="s">
        <v>15</v>
      </c>
      <c r="Q1134" s="2">
        <v>45805</v>
      </c>
      <c r="R1134" s="38"/>
      <c r="S1134" s="52"/>
      <c r="T1134" s="4">
        <f>R457*45%</f>
        <v>812.7</v>
      </c>
      <c r="U1134" s="5"/>
      <c r="V1134" s="4">
        <f>(S1134+T1134)-U1134</f>
        <v>812.7</v>
      </c>
      <c r="W1134" s="4">
        <f>V1134+AA1133</f>
        <v>124513.72</v>
      </c>
      <c r="X1134" s="3"/>
      <c r="Y1134" s="3"/>
      <c r="Z1134" s="25">
        <f>U1134+Y1134</f>
        <v>0</v>
      </c>
      <c r="AA1134" s="76">
        <f>W1134-Y1134</f>
        <v>124513.72</v>
      </c>
      <c r="AB1134" s="9" t="s">
        <v>15</v>
      </c>
      <c r="AC1134" s="19">
        <v>45805</v>
      </c>
      <c r="AD1134" s="41"/>
      <c r="AE1134" s="42"/>
      <c r="AF1134" s="4">
        <f>AD457-H1134-T1134</f>
        <v>1609.35</v>
      </c>
      <c r="AG1134" s="3"/>
      <c r="AH1134" s="8"/>
      <c r="AI1134" s="4">
        <f>(AE1134+AF1134)-AH1134</f>
        <v>1609.35</v>
      </c>
      <c r="AJ1134" s="4">
        <f>AI1134+BP1133</f>
        <v>-817655.4505</v>
      </c>
      <c r="AK1134" s="8"/>
      <c r="AL1134" s="8"/>
      <c r="AM1134" s="47"/>
      <c r="AN1134" s="47"/>
      <c r="AO1134" s="8"/>
      <c r="AP1134" s="8"/>
      <c r="AQ1134" s="47"/>
      <c r="AR1134" s="47"/>
      <c r="AS1134" s="8"/>
      <c r="AT1134" s="8"/>
      <c r="AU1134" s="47"/>
      <c r="AV1134" s="47"/>
      <c r="AW1134" s="8"/>
      <c r="AX1134" s="8"/>
      <c r="AY1134" s="47" t="s">
        <v>527</v>
      </c>
      <c r="AZ1134" s="47">
        <v>733.51</v>
      </c>
      <c r="BA1134" s="8" t="s">
        <v>341</v>
      </c>
      <c r="BB1134" s="8">
        <v>257</v>
      </c>
      <c r="BC1134" s="47"/>
      <c r="BD1134" s="47"/>
      <c r="BE1134" s="8"/>
      <c r="BF1134" s="8"/>
      <c r="BG1134" s="47" t="s">
        <v>98</v>
      </c>
      <c r="BH1134" s="47">
        <v>5000</v>
      </c>
      <c r="BI1134" s="8"/>
      <c r="BJ1134" s="3"/>
      <c r="BK1134" s="47"/>
      <c r="BL1134" s="47"/>
      <c r="BM1134" s="46"/>
      <c r="BN1134" s="46"/>
      <c r="BO1134" s="24">
        <f>AL1134+AN1134+AP1134+AR1134+AT1134+AV1134+AX1134+AZ1134+BB1134+BD1134+BF1134+BH1134+BJ1134+BL1134+BN1134</f>
        <v>5990.51</v>
      </c>
      <c r="BP1134" s="28">
        <f>AJ1134-BO1134</f>
        <v>-823645.9605</v>
      </c>
      <c r="BQ1134" s="2">
        <v>45805</v>
      </c>
    </row>
    <row r="1135" spans="1:73" hidden="true">
      <c r="D1135" s="9" t="s">
        <v>16</v>
      </c>
      <c r="E1135" s="2">
        <v>45806</v>
      </c>
      <c r="F1135" s="38"/>
      <c r="G1135" s="51"/>
      <c r="H1135" s="4">
        <f>F458*50%</f>
        <v>141.8</v>
      </c>
      <c r="I1135" s="120"/>
      <c r="J1135" s="4">
        <f>(G1135+H1135)-I1135</f>
        <v>141.8</v>
      </c>
      <c r="K1135" s="4">
        <f>J1135+O1134</f>
        <v>402629.815</v>
      </c>
      <c r="L1135" s="3"/>
      <c r="M1135" s="3"/>
      <c r="N1135" s="33">
        <f>I1135+M1135</f>
        <v>0</v>
      </c>
      <c r="O1135" s="28">
        <f>K1135-M1135</f>
        <v>402629.815</v>
      </c>
      <c r="P1135" s="9" t="s">
        <v>16</v>
      </c>
      <c r="Q1135" s="2">
        <v>45806</v>
      </c>
      <c r="R1135" s="38"/>
      <c r="S1135" s="52"/>
      <c r="T1135" s="4">
        <f>R458*45%</f>
        <v>1057.95</v>
      </c>
      <c r="U1135" s="5"/>
      <c r="V1135" s="4">
        <f>(S1135+T1135)-U1135</f>
        <v>1057.95</v>
      </c>
      <c r="W1135" s="4">
        <f>V1135+AA1134</f>
        <v>125571.67</v>
      </c>
      <c r="X1135" s="3"/>
      <c r="Y1135" s="3"/>
      <c r="Z1135" s="25">
        <f>U1135+Y1135</f>
        <v>0</v>
      </c>
      <c r="AA1135" s="76">
        <f>W1135-Y1135</f>
        <v>125571.67</v>
      </c>
      <c r="AB1135" s="9" t="s">
        <v>16</v>
      </c>
      <c r="AC1135" s="19">
        <v>45806</v>
      </c>
      <c r="AD1135" s="41"/>
      <c r="AE1135" s="42"/>
      <c r="AF1135" s="4">
        <f>AD458-H1135-T1135</f>
        <v>1434.85</v>
      </c>
      <c r="AG1135" s="3"/>
      <c r="AH1135" s="8"/>
      <c r="AI1135" s="4">
        <f>(AE1135+AF1135)-AH1135</f>
        <v>1434.85</v>
      </c>
      <c r="AJ1135" s="4">
        <f>AI1135+BP1134</f>
        <v>-822211.1105</v>
      </c>
      <c r="AK1135" s="8"/>
      <c r="AL1135" s="8"/>
      <c r="AM1135" s="47"/>
      <c r="AN1135" s="47"/>
      <c r="AO1135" s="8"/>
      <c r="AP1135" s="8"/>
      <c r="AQ1135" s="47"/>
      <c r="AR1135" s="47"/>
      <c r="AS1135" s="8"/>
      <c r="AT1135" s="8"/>
      <c r="AU1135" s="47"/>
      <c r="AV1135" s="47"/>
      <c r="AW1135" s="8"/>
      <c r="AX1135" s="8"/>
      <c r="AY1135" s="47"/>
      <c r="AZ1135" s="47"/>
      <c r="BA1135" s="8" t="s">
        <v>341</v>
      </c>
      <c r="BB1135" s="8">
        <v>137.3</v>
      </c>
      <c r="BC1135" s="47"/>
      <c r="BD1135" s="47"/>
      <c r="BE1135" s="8"/>
      <c r="BF1135" s="8"/>
      <c r="BG1135" s="47"/>
      <c r="BH1135" s="47"/>
      <c r="BI1135" s="8"/>
      <c r="BJ1135" s="3"/>
      <c r="BK1135" s="47"/>
      <c r="BL1135" s="47"/>
      <c r="BM1135" s="46"/>
      <c r="BN1135" s="46"/>
      <c r="BO1135" s="24">
        <f>AL1135+AN1135+AP1135+AR1135+AT1135+AV1135+AX1135+AZ1135+BB1135+BD1135+BF1135+BH1135+BJ1135+BL1135+BN1135</f>
        <v>137.3</v>
      </c>
      <c r="BP1135" s="28">
        <f>AJ1135-BO1135</f>
        <v>-822348.4105</v>
      </c>
      <c r="BQ1135" s="2">
        <v>45806</v>
      </c>
    </row>
    <row r="1136" spans="1:73" hidden="true">
      <c r="D1136" s="9" t="s">
        <v>10</v>
      </c>
      <c r="E1136" s="2">
        <v>45807</v>
      </c>
      <c r="F1136" s="38"/>
      <c r="G1136" s="51"/>
      <c r="H1136" s="4">
        <f>F459*50%</f>
        <v>261.2</v>
      </c>
      <c r="I1136" s="120"/>
      <c r="J1136" s="4">
        <f>(G1136+H1136)-I1136</f>
        <v>261.2</v>
      </c>
      <c r="K1136" s="4">
        <f>J1136+O1135</f>
        <v>402891.015</v>
      </c>
      <c r="L1136" s="3"/>
      <c r="M1136" s="3"/>
      <c r="N1136" s="33">
        <f>I1136+M1136</f>
        <v>0</v>
      </c>
      <c r="O1136" s="28">
        <f>K1136-M1136</f>
        <v>402891.015</v>
      </c>
      <c r="P1136" s="9" t="s">
        <v>10</v>
      </c>
      <c r="Q1136" s="2">
        <v>45807</v>
      </c>
      <c r="R1136" s="38"/>
      <c r="S1136" s="52"/>
      <c r="T1136" s="4">
        <f>R459*45%</f>
        <v>1543.05</v>
      </c>
      <c r="U1136" s="5"/>
      <c r="V1136" s="4">
        <f>(S1136+T1136)-U1136</f>
        <v>1543.05</v>
      </c>
      <c r="W1136" s="4">
        <f>V1136+AA1135</f>
        <v>127114.72</v>
      </c>
      <c r="X1136" s="3"/>
      <c r="Y1136" s="3"/>
      <c r="Z1136" s="25">
        <f>U1136+Y1136</f>
        <v>0</v>
      </c>
      <c r="AA1136" s="76">
        <f>W1136-Y1136</f>
        <v>127114.72</v>
      </c>
      <c r="AB1136" s="9" t="s">
        <v>10</v>
      </c>
      <c r="AC1136" s="19">
        <v>45807</v>
      </c>
      <c r="AD1136" s="41"/>
      <c r="AE1136" s="42"/>
      <c r="AF1136" s="4">
        <f>AD459-H1136-T1136</f>
        <v>2147.15</v>
      </c>
      <c r="AG1136" s="3"/>
      <c r="AH1136" s="8"/>
      <c r="AI1136" s="4">
        <f>(AE1136+AF1136)-AH1136</f>
        <v>2147.15</v>
      </c>
      <c r="AJ1136" s="4">
        <f>AI1136+BP1135</f>
        <v>-820201.2605</v>
      </c>
      <c r="AK1136" s="8"/>
      <c r="AL1136" s="8"/>
      <c r="AM1136" s="47"/>
      <c r="AN1136" s="47"/>
      <c r="AO1136" s="8"/>
      <c r="AP1136" s="8"/>
      <c r="AQ1136" s="47"/>
      <c r="AR1136" s="47"/>
      <c r="AS1136" s="8"/>
      <c r="AT1136" s="8"/>
      <c r="AU1136" s="47"/>
      <c r="AV1136" s="47"/>
      <c r="AW1136" s="8"/>
      <c r="AX1136" s="8"/>
      <c r="AY1136" s="47"/>
      <c r="AZ1136" s="47"/>
      <c r="BA1136" s="8" t="s">
        <v>341</v>
      </c>
      <c r="BB1136" s="8">
        <v>100.8</v>
      </c>
      <c r="BC1136" s="47" t="s">
        <v>528</v>
      </c>
      <c r="BD1136" s="47">
        <f>1000+1000</f>
        <v>2000</v>
      </c>
      <c r="BE1136" s="8"/>
      <c r="BF1136" s="8"/>
      <c r="BG1136" s="47"/>
      <c r="BH1136" s="47"/>
      <c r="BI1136" s="8"/>
      <c r="BJ1136" s="3"/>
      <c r="BK1136" s="47"/>
      <c r="BL1136" s="47"/>
      <c r="BM1136" s="46"/>
      <c r="BN1136" s="46"/>
      <c r="BO1136" s="24">
        <f>AL1136+AN1136+AP1136+AR1136+AT1136+AV1136+AX1136+AZ1136+BB1136+BD1136+BF1136+BH1136+BJ1136+BL1136+BN1136</f>
        <v>2100.8</v>
      </c>
      <c r="BP1136" s="28">
        <f>AJ1136-BO1136</f>
        <v>-822302.0605</v>
      </c>
      <c r="BQ1136" s="2">
        <v>45807</v>
      </c>
    </row>
    <row r="1137" spans="1:73" hidden="true">
      <c r="D1137" s="9" t="s">
        <v>11</v>
      </c>
      <c r="E1137" s="2">
        <v>45808</v>
      </c>
      <c r="F1137" s="38"/>
      <c r="G1137" s="51"/>
      <c r="H1137" s="4">
        <f>F460*50%</f>
        <v>172.15</v>
      </c>
      <c r="I1137" s="120"/>
      <c r="J1137" s="4">
        <f>(G1137+H1137)-I1137</f>
        <v>172.15</v>
      </c>
      <c r="K1137" s="4">
        <f>J1137+O1136</f>
        <v>403063.165</v>
      </c>
      <c r="L1137" s="3"/>
      <c r="M1137" s="3"/>
      <c r="N1137" s="33">
        <f>I1137+M1137</f>
        <v>0</v>
      </c>
      <c r="O1137" s="28">
        <f>K1137-M1137</f>
        <v>403063.165</v>
      </c>
      <c r="P1137" s="9" t="s">
        <v>11</v>
      </c>
      <c r="Q1137" s="2">
        <v>45808</v>
      </c>
      <c r="R1137" s="38"/>
      <c r="S1137" s="52"/>
      <c r="T1137" s="4">
        <f>R460*45%</f>
        <v>720.45</v>
      </c>
      <c r="U1137" s="5"/>
      <c r="V1137" s="4">
        <f>(S1137+T1137)-U1137</f>
        <v>720.45</v>
      </c>
      <c r="W1137" s="4">
        <f>V1137+AA1136</f>
        <v>127835.17</v>
      </c>
      <c r="X1137" s="3"/>
      <c r="Y1137" s="3"/>
      <c r="Z1137" s="25">
        <f>U1137+Y1137</f>
        <v>0</v>
      </c>
      <c r="AA1137" s="76">
        <f>W1137-Y1137</f>
        <v>127835.17</v>
      </c>
      <c r="AB1137" s="9" t="s">
        <v>11</v>
      </c>
      <c r="AC1137" s="19">
        <v>45808</v>
      </c>
      <c r="AD1137" s="41"/>
      <c r="AE1137" s="42"/>
      <c r="AF1137" s="4">
        <f>AD460-H1137-T1137</f>
        <v>1052.7</v>
      </c>
      <c r="AG1137" s="3"/>
      <c r="AH1137" s="8"/>
      <c r="AI1137" s="4">
        <f>(AE1137+AF1137)-AH1137</f>
        <v>1052.7</v>
      </c>
      <c r="AJ1137" s="4">
        <f>AI1137+BP1136</f>
        <v>-821249.3605</v>
      </c>
      <c r="AK1137" s="8"/>
      <c r="AL1137" s="8"/>
      <c r="AM1137" s="47"/>
      <c r="AN1137" s="47"/>
      <c r="AO1137" s="8"/>
      <c r="AP1137" s="8"/>
      <c r="AQ1137" s="47"/>
      <c r="AR1137" s="47"/>
      <c r="AS1137" s="8" t="s">
        <v>529</v>
      </c>
      <c r="AT1137" s="8">
        <v>300</v>
      </c>
      <c r="AU1137" s="47"/>
      <c r="AV1137" s="47"/>
      <c r="AW1137" s="8"/>
      <c r="AX1137" s="8"/>
      <c r="AY1137" s="47"/>
      <c r="AZ1137" s="47"/>
      <c r="BA1137" s="8" t="s">
        <v>341</v>
      </c>
      <c r="BB1137" s="8">
        <v>45</v>
      </c>
      <c r="BC1137" s="47"/>
      <c r="BD1137" s="47"/>
      <c r="BE1137" s="8"/>
      <c r="BF1137" s="8"/>
      <c r="BG1137" s="47"/>
      <c r="BH1137" s="47"/>
      <c r="BI1137" s="8"/>
      <c r="BJ1137" s="3"/>
      <c r="BK1137" s="47"/>
      <c r="BL1137" s="47"/>
      <c r="BM1137" s="46"/>
      <c r="BN1137" s="46"/>
      <c r="BO1137" s="24">
        <f>AL1137+AN1137+AP1137+AR1137+AT1137+AV1137+AX1137+AZ1137+BB1137+BD1137+BF1137+BH1137+BJ1137+BL1137+BN1137</f>
        <v>345</v>
      </c>
      <c r="BP1137" s="28">
        <f>AJ1137-BO1137</f>
        <v>-821594.3605</v>
      </c>
      <c r="BQ1137" s="2">
        <v>45808</v>
      </c>
    </row>
    <row r="1138" spans="1:73" hidden="true">
      <c r="D1138" s="9" t="s">
        <v>12</v>
      </c>
      <c r="E1138" s="2">
        <v>45809</v>
      </c>
      <c r="F1138" s="38"/>
      <c r="G1138" s="51"/>
      <c r="H1138" s="4">
        <f>F461*50%</f>
        <v>1810.5</v>
      </c>
      <c r="I1138" s="120"/>
      <c r="J1138" s="4">
        <f>(G1138+H1138)-I1138</f>
        <v>1810.5</v>
      </c>
      <c r="K1138" s="4">
        <f>J1138+O1137</f>
        <v>404873.665</v>
      </c>
      <c r="L1138" s="3"/>
      <c r="M1138" s="3"/>
      <c r="N1138" s="33">
        <f>I1138+M1138</f>
        <v>0</v>
      </c>
      <c r="O1138" s="28">
        <f>K1138-M1138</f>
        <v>404873.665</v>
      </c>
      <c r="P1138" s="9" t="s">
        <v>12</v>
      </c>
      <c r="Q1138" s="2">
        <v>45809</v>
      </c>
      <c r="R1138" s="38"/>
      <c r="S1138" s="52"/>
      <c r="T1138" s="4">
        <f>R461*45%</f>
        <v>1280.565</v>
      </c>
      <c r="U1138" s="5"/>
      <c r="V1138" s="4">
        <f>(S1138+T1138)-U1138</f>
        <v>1280.565</v>
      </c>
      <c r="W1138" s="4">
        <f>V1138+AA1137</f>
        <v>129115.735</v>
      </c>
      <c r="X1138" s="3"/>
      <c r="Y1138" s="3"/>
      <c r="Z1138" s="25">
        <f>U1138+Y1138</f>
        <v>0</v>
      </c>
      <c r="AA1138" s="76">
        <f>W1138-Y1138</f>
        <v>129115.735</v>
      </c>
      <c r="AB1138" s="9" t="s">
        <v>12</v>
      </c>
      <c r="AC1138" s="19">
        <v>45809</v>
      </c>
      <c r="AD1138" s="41"/>
      <c r="AE1138" s="42"/>
      <c r="AF1138" s="4">
        <f>AD461-H1138-T1138</f>
        <v>3375.635</v>
      </c>
      <c r="AG1138" s="3"/>
      <c r="AH1138" s="8"/>
      <c r="AI1138" s="4">
        <f>(AE1138+AF1138)-AH1138</f>
        <v>3375.635</v>
      </c>
      <c r="AJ1138" s="4">
        <f>AI1138+BP1137</f>
        <v>-818218.7255</v>
      </c>
      <c r="AK1138" s="8"/>
      <c r="AL1138" s="8"/>
      <c r="AM1138" s="47"/>
      <c r="AN1138" s="47"/>
      <c r="AO1138" s="8"/>
      <c r="AP1138" s="8"/>
      <c r="AQ1138" s="47"/>
      <c r="AR1138" s="47"/>
      <c r="AS1138" s="8" t="s">
        <v>530</v>
      </c>
      <c r="AT1138" s="8">
        <v>342.7</v>
      </c>
      <c r="AU1138" s="47"/>
      <c r="AV1138" s="47"/>
      <c r="AW1138" s="8"/>
      <c r="AX1138" s="8"/>
      <c r="AY1138" s="47"/>
      <c r="AZ1138" s="47"/>
      <c r="BA1138" s="8" t="s">
        <v>341</v>
      </c>
      <c r="BB1138" s="8">
        <v>40</v>
      </c>
      <c r="BC1138" s="47"/>
      <c r="BD1138" s="47"/>
      <c r="BE1138" s="8"/>
      <c r="BF1138" s="8"/>
      <c r="BG1138" s="47"/>
      <c r="BH1138" s="47"/>
      <c r="BI1138" s="8"/>
      <c r="BJ1138" s="3"/>
      <c r="BK1138" s="47"/>
      <c r="BL1138" s="47"/>
      <c r="BM1138" s="46"/>
      <c r="BN1138" s="46"/>
      <c r="BO1138" s="24">
        <f>AL1138+AN1138+AP1138+AR1138+AT1138+AV1138+AX1138+AZ1138+BB1138+BD1138+BF1138+BH1138+BJ1138+BL1138+BN1138</f>
        <v>382.7</v>
      </c>
      <c r="BP1138" s="28">
        <f>AJ1138-BO1138</f>
        <v>-818601.4255</v>
      </c>
      <c r="BQ1138" s="2">
        <v>45809</v>
      </c>
    </row>
    <row r="1139" spans="1:73" hidden="true">
      <c r="D1139" s="9" t="s">
        <v>13</v>
      </c>
      <c r="E1139" s="2">
        <v>45810</v>
      </c>
      <c r="F1139" s="38"/>
      <c r="G1139" s="51"/>
      <c r="H1139" s="4">
        <f>F462*50%</f>
        <v>289.525</v>
      </c>
      <c r="I1139" s="120"/>
      <c r="J1139" s="4">
        <f>(G1139+H1139)-I1139</f>
        <v>289.525</v>
      </c>
      <c r="K1139" s="4">
        <f>J1139+O1138</f>
        <v>405163.19</v>
      </c>
      <c r="L1139" s="3"/>
      <c r="M1139" s="3"/>
      <c r="N1139" s="33">
        <f>I1139+M1139</f>
        <v>0</v>
      </c>
      <c r="O1139" s="28">
        <f>K1139-M1139</f>
        <v>405163.19</v>
      </c>
      <c r="P1139" s="9" t="s">
        <v>13</v>
      </c>
      <c r="Q1139" s="2">
        <v>45810</v>
      </c>
      <c r="R1139" s="38"/>
      <c r="S1139" s="52"/>
      <c r="T1139" s="4">
        <f>R462*45%</f>
        <v>1405.8</v>
      </c>
      <c r="U1139" s="5"/>
      <c r="V1139" s="4">
        <f>(S1139+T1139)-U1139</f>
        <v>1405.8</v>
      </c>
      <c r="W1139" s="4">
        <f>V1139+AA1138</f>
        <v>130521.535</v>
      </c>
      <c r="X1139" s="3"/>
      <c r="Y1139" s="3"/>
      <c r="Z1139" s="25">
        <f>U1139+Y1139</f>
        <v>0</v>
      </c>
      <c r="AA1139" s="76">
        <f>W1139-Y1139</f>
        <v>130521.535</v>
      </c>
      <c r="AB1139" s="9" t="s">
        <v>13</v>
      </c>
      <c r="AC1139" s="19">
        <v>45810</v>
      </c>
      <c r="AD1139" s="41"/>
      <c r="AE1139" s="42"/>
      <c r="AF1139" s="4">
        <f>AD462-H1139-T1139</f>
        <v>2007.725</v>
      </c>
      <c r="AG1139" s="3"/>
      <c r="AH1139" s="8"/>
      <c r="AI1139" s="4">
        <f>(AE1139+AF1139)-AH1139</f>
        <v>2007.725</v>
      </c>
      <c r="AJ1139" s="4">
        <f>AI1139+BP1138</f>
        <v>-816593.7005</v>
      </c>
      <c r="AK1139" s="8"/>
      <c r="AL1139" s="8"/>
      <c r="AM1139" s="47"/>
      <c r="AN1139" s="47"/>
      <c r="AO1139" s="8"/>
      <c r="AP1139" s="8"/>
      <c r="AQ1139" s="47"/>
      <c r="AR1139" s="47"/>
      <c r="AS1139" s="8" t="s">
        <v>463</v>
      </c>
      <c r="AT1139" s="8">
        <v>2000</v>
      </c>
      <c r="AU1139" s="47"/>
      <c r="AV1139" s="47"/>
      <c r="AW1139" s="8"/>
      <c r="AX1139" s="8"/>
      <c r="AY1139" s="47"/>
      <c r="AZ1139" s="47"/>
      <c r="BA1139" s="8"/>
      <c r="BB1139" s="8"/>
      <c r="BC1139" s="47"/>
      <c r="BD1139" s="47"/>
      <c r="BE1139" s="8"/>
      <c r="BF1139" s="8"/>
      <c r="BG1139" s="47"/>
      <c r="BH1139" s="47"/>
      <c r="BI1139" s="8"/>
      <c r="BJ1139" s="3"/>
      <c r="BK1139" s="47"/>
      <c r="BL1139" s="47"/>
      <c r="BM1139" s="46"/>
      <c r="BN1139" s="46"/>
      <c r="BO1139" s="24">
        <f>AL1139+AN1139+AP1139+AR1139+AT1139+AV1139+AX1139+AZ1139+BB1139+BD1139+BF1139+BH1139+BJ1139+BL1139+BN1139</f>
        <v>2000</v>
      </c>
      <c r="BP1139" s="28">
        <f>AJ1139-BO1139</f>
        <v>-818593.7005</v>
      </c>
      <c r="BQ1139" s="2">
        <v>45810</v>
      </c>
    </row>
    <row r="1140" spans="1:73" hidden="true">
      <c r="D1140" s="9" t="s">
        <v>14</v>
      </c>
      <c r="E1140" s="2">
        <v>45811</v>
      </c>
      <c r="F1140" s="38"/>
      <c r="G1140" s="51"/>
      <c r="H1140" s="4">
        <f>F463*50%</f>
        <v>198.35</v>
      </c>
      <c r="I1140" s="120"/>
      <c r="J1140" s="4">
        <f>(G1140+H1140)-I1140</f>
        <v>198.35</v>
      </c>
      <c r="K1140" s="4">
        <f>J1140+O1139</f>
        <v>405361.54</v>
      </c>
      <c r="L1140" s="3"/>
      <c r="M1140" s="3"/>
      <c r="N1140" s="33">
        <f>I1140+M1140</f>
        <v>0</v>
      </c>
      <c r="O1140" s="28">
        <f>K1140-M1140</f>
        <v>405361.54</v>
      </c>
      <c r="P1140" s="9" t="s">
        <v>14</v>
      </c>
      <c r="Q1140" s="2">
        <v>45811</v>
      </c>
      <c r="R1140" s="38"/>
      <c r="S1140" s="52"/>
      <c r="T1140" s="4">
        <f>R463*45%</f>
        <v>514.8</v>
      </c>
      <c r="U1140" s="5"/>
      <c r="V1140" s="4">
        <f>(S1140+T1140)-U1140</f>
        <v>514.8</v>
      </c>
      <c r="W1140" s="4">
        <f>V1140+AA1139</f>
        <v>131036.335</v>
      </c>
      <c r="X1140" s="3"/>
      <c r="Y1140" s="3"/>
      <c r="Z1140" s="25">
        <f>U1140+Y1140</f>
        <v>0</v>
      </c>
      <c r="AA1140" s="76">
        <f>W1140-Y1140</f>
        <v>131036.335</v>
      </c>
      <c r="AB1140" s="9" t="s">
        <v>14</v>
      </c>
      <c r="AC1140" s="19">
        <v>45811</v>
      </c>
      <c r="AD1140" s="41"/>
      <c r="AE1140" s="42"/>
      <c r="AF1140" s="4">
        <f>AD463-H1140-T1140</f>
        <v>827.55</v>
      </c>
      <c r="AG1140" s="3"/>
      <c r="AH1140" s="8"/>
      <c r="AI1140" s="4">
        <f>(AE1140+AF1140)-AH1140</f>
        <v>827.55</v>
      </c>
      <c r="AJ1140" s="4">
        <f>AI1140+BP1139</f>
        <v>-817766.1505</v>
      </c>
      <c r="AK1140" s="8" t="s">
        <v>41</v>
      </c>
      <c r="AL1140" s="8">
        <v>2000</v>
      </c>
      <c r="AM1140" s="47" t="s">
        <v>531</v>
      </c>
      <c r="AN1140" s="47">
        <v>2000</v>
      </c>
      <c r="AO1140" s="8"/>
      <c r="AP1140" s="8"/>
      <c r="AQ1140" s="47"/>
      <c r="AR1140" s="47"/>
      <c r="AS1140" s="8"/>
      <c r="AT1140" s="8"/>
      <c r="AU1140" s="47"/>
      <c r="AV1140" s="47"/>
      <c r="AW1140" s="8"/>
      <c r="AX1140" s="8"/>
      <c r="AY1140" s="47"/>
      <c r="AZ1140" s="47"/>
      <c r="BA1140" s="8" t="s">
        <v>341</v>
      </c>
      <c r="BB1140" s="8">
        <v>51</v>
      </c>
      <c r="BC1140" s="47" t="s">
        <v>532</v>
      </c>
      <c r="BD1140" s="47">
        <v>700</v>
      </c>
      <c r="BE1140" s="8"/>
      <c r="BF1140" s="8"/>
      <c r="BG1140" s="47"/>
      <c r="BH1140" s="47"/>
      <c r="BI1140" s="8"/>
      <c r="BJ1140" s="3"/>
      <c r="BK1140" s="47"/>
      <c r="BL1140" s="47"/>
      <c r="BM1140" s="46"/>
      <c r="BN1140" s="46"/>
      <c r="BO1140" s="24">
        <f>AL1140+AN1140+AP1140+AR1140+AT1140+AV1140+AX1140+AZ1140+BB1140+BD1140+BF1140+BH1140+BJ1140+BL1140+BN1140</f>
        <v>4751</v>
      </c>
      <c r="BP1140" s="28">
        <f>AJ1140-BO1140</f>
        <v>-822517.1505</v>
      </c>
      <c r="BQ1140" s="2">
        <v>45811</v>
      </c>
    </row>
    <row r="1141" spans="1:73" hidden="true">
      <c r="D1141" s="9" t="s">
        <v>15</v>
      </c>
      <c r="E1141" s="2">
        <v>45812</v>
      </c>
      <c r="F1141" s="38"/>
      <c r="G1141" s="51"/>
      <c r="H1141" s="4">
        <f>F464*50%</f>
        <v>336.85</v>
      </c>
      <c r="I1141" s="120"/>
      <c r="J1141" s="4">
        <f>(G1141+H1141)-I1141</f>
        <v>336.85</v>
      </c>
      <c r="K1141" s="4">
        <f>J1141+O1140</f>
        <v>405698.39</v>
      </c>
      <c r="L1141" s="3"/>
      <c r="M1141" s="3"/>
      <c r="N1141" s="33">
        <f>I1141+M1141</f>
        <v>0</v>
      </c>
      <c r="O1141" s="28">
        <f>K1141-M1141</f>
        <v>405698.39</v>
      </c>
      <c r="P1141" s="9" t="s">
        <v>15</v>
      </c>
      <c r="Q1141" s="2">
        <v>45812</v>
      </c>
      <c r="R1141" s="38"/>
      <c r="S1141" s="52"/>
      <c r="T1141" s="4">
        <f>R464*45%</f>
        <v>245.25</v>
      </c>
      <c r="U1141" s="5"/>
      <c r="V1141" s="4">
        <f>(S1141+T1141)-U1141</f>
        <v>245.25</v>
      </c>
      <c r="W1141" s="4">
        <f>V1141+AA1140</f>
        <v>131281.585</v>
      </c>
      <c r="X1141" s="3"/>
      <c r="Y1141" s="3"/>
      <c r="Z1141" s="25">
        <f>U1141+Y1141</f>
        <v>0</v>
      </c>
      <c r="AA1141" s="76">
        <f>W1141-Y1141</f>
        <v>131281.585</v>
      </c>
      <c r="AB1141" s="9" t="s">
        <v>15</v>
      </c>
      <c r="AC1141" s="19">
        <v>45812</v>
      </c>
      <c r="AD1141" s="41"/>
      <c r="AE1141" s="42"/>
      <c r="AF1141" s="4">
        <f>AD464-H1141-T1141</f>
        <v>636.6</v>
      </c>
      <c r="AG1141" s="3"/>
      <c r="AH1141" s="8"/>
      <c r="AI1141" s="4">
        <f>(AE1141+AF1141)-AH1141</f>
        <v>636.6</v>
      </c>
      <c r="AJ1141" s="4">
        <f>AI1141+BP1140</f>
        <v>-821880.5505</v>
      </c>
      <c r="AK1141" s="8" t="s">
        <v>41</v>
      </c>
      <c r="AL1141" s="8">
        <v>1200</v>
      </c>
      <c r="AM1141" s="47"/>
      <c r="AN1141" s="47"/>
      <c r="AO1141" s="8"/>
      <c r="AP1141" s="8"/>
      <c r="AQ1141" s="47" t="s">
        <v>167</v>
      </c>
      <c r="AR1141" s="47">
        <v>359</v>
      </c>
      <c r="AS1141" s="8"/>
      <c r="AT1141" s="8"/>
      <c r="AU1141" s="47"/>
      <c r="AV1141" s="47"/>
      <c r="AW1141" s="8"/>
      <c r="AX1141" s="8"/>
      <c r="AY1141" s="47"/>
      <c r="AZ1141" s="47"/>
      <c r="BA1141" s="8" t="s">
        <v>341</v>
      </c>
      <c r="BB1141" s="8">
        <v>12</v>
      </c>
      <c r="BC1141" s="47"/>
      <c r="BD1141" s="47"/>
      <c r="BE1141" s="8"/>
      <c r="BF1141" s="8"/>
      <c r="BG1141" s="47"/>
      <c r="BH1141" s="47"/>
      <c r="BI1141" s="8"/>
      <c r="BJ1141" s="3"/>
      <c r="BK1141" s="47"/>
      <c r="BL1141" s="47"/>
      <c r="BM1141" s="46"/>
      <c r="BN1141" s="46"/>
      <c r="BO1141" s="24">
        <f>AL1141+AN1141+AP1141+AR1141+AT1141+AV1141+AX1141+AZ1141+BB1141+BD1141+BF1141+BH1141+BJ1141+BL1141+BN1141</f>
        <v>1571</v>
      </c>
      <c r="BP1141" s="28">
        <f>AJ1141-BO1141</f>
        <v>-823451.5505</v>
      </c>
      <c r="BQ1141" s="2">
        <v>45812</v>
      </c>
    </row>
    <row r="1142" spans="1:73" hidden="true">
      <c r="D1142" s="9" t="s">
        <v>16</v>
      </c>
      <c r="E1142" s="2">
        <v>45813</v>
      </c>
      <c r="F1142" s="38"/>
      <c r="G1142" s="51"/>
      <c r="H1142" s="4">
        <f>F465*50%</f>
        <v>430.5</v>
      </c>
      <c r="I1142" s="120"/>
      <c r="J1142" s="4">
        <f>(G1142+H1142)-I1142</f>
        <v>430.5</v>
      </c>
      <c r="K1142" s="4">
        <f>J1142+O1141</f>
        <v>406128.89</v>
      </c>
      <c r="L1142" s="3"/>
      <c r="M1142" s="3"/>
      <c r="N1142" s="33">
        <f>I1142+M1142</f>
        <v>0</v>
      </c>
      <c r="O1142" s="28">
        <f>K1142-M1142</f>
        <v>406128.89</v>
      </c>
      <c r="P1142" s="9" t="s">
        <v>16</v>
      </c>
      <c r="Q1142" s="2">
        <v>45813</v>
      </c>
      <c r="R1142" s="38"/>
      <c r="S1142" s="52"/>
      <c r="T1142" s="4">
        <f>R465*45%</f>
        <v>443.7</v>
      </c>
      <c r="U1142" s="5"/>
      <c r="V1142" s="4">
        <f>(S1142+T1142)-U1142</f>
        <v>443.7</v>
      </c>
      <c r="W1142" s="4">
        <f>V1142+AA1141</f>
        <v>131725.285</v>
      </c>
      <c r="X1142" s="3"/>
      <c r="Y1142" s="3"/>
      <c r="Z1142" s="25">
        <f>U1142+Y1142</f>
        <v>0</v>
      </c>
      <c r="AA1142" s="76">
        <f>W1142-Y1142</f>
        <v>131725.285</v>
      </c>
      <c r="AB1142" s="9" t="s">
        <v>16</v>
      </c>
      <c r="AC1142" s="19">
        <v>45813</v>
      </c>
      <c r="AD1142" s="41"/>
      <c r="AE1142" s="42"/>
      <c r="AF1142" s="4">
        <f>AD465-H1142-T1142</f>
        <v>972.8</v>
      </c>
      <c r="AG1142" s="3"/>
      <c r="AH1142" s="8"/>
      <c r="AI1142" s="4">
        <f>(AE1142+AF1142)-AH1142</f>
        <v>972.8</v>
      </c>
      <c r="AJ1142" s="4">
        <f>AI1142+BP1141</f>
        <v>-822478.7505</v>
      </c>
      <c r="AK1142" s="8"/>
      <c r="AL1142" s="8"/>
      <c r="AM1142" s="47"/>
      <c r="AN1142" s="47"/>
      <c r="AO1142" s="8"/>
      <c r="AP1142" s="8"/>
      <c r="AQ1142" s="47"/>
      <c r="AR1142" s="47"/>
      <c r="AS1142" s="8"/>
      <c r="AT1142" s="8"/>
      <c r="AU1142" s="47"/>
      <c r="AV1142" s="47"/>
      <c r="AW1142" s="8"/>
      <c r="AX1142" s="8"/>
      <c r="AY1142" s="47"/>
      <c r="AZ1142" s="47"/>
      <c r="BA1142" s="8" t="s">
        <v>341</v>
      </c>
      <c r="BB1142" s="8">
        <v>28</v>
      </c>
      <c r="BC1142" s="47"/>
      <c r="BD1142" s="47"/>
      <c r="BE1142" s="8"/>
      <c r="BF1142" s="8"/>
      <c r="BG1142" s="47"/>
      <c r="BH1142" s="47"/>
      <c r="BI1142" s="8"/>
      <c r="BJ1142" s="3"/>
      <c r="BK1142" s="47"/>
      <c r="BL1142" s="47"/>
      <c r="BM1142" s="46"/>
      <c r="BN1142" s="46"/>
      <c r="BO1142" s="24">
        <f>AL1142+AN1142+AP1142+AR1142+AT1142+AV1142+AX1142+AZ1142+BB1142+BD1142+BF1142+BH1142+BJ1142+BL1142+BN1142</f>
        <v>28</v>
      </c>
      <c r="BP1142" s="28">
        <f>AJ1142-BO1142</f>
        <v>-822506.7505</v>
      </c>
      <c r="BQ1142" s="2">
        <v>45813</v>
      </c>
    </row>
    <row r="1143" spans="1:73" hidden="true">
      <c r="D1143" s="9" t="s">
        <v>10</v>
      </c>
      <c r="E1143" s="2">
        <v>45814</v>
      </c>
      <c r="F1143" s="38"/>
      <c r="G1143" s="51"/>
      <c r="H1143" s="4">
        <f>F466*50%</f>
        <v>1813</v>
      </c>
      <c r="I1143" s="120"/>
      <c r="J1143" s="4">
        <f>(G1143+H1143)-I1143</f>
        <v>1813</v>
      </c>
      <c r="K1143" s="4">
        <f>J1143+O1142</f>
        <v>407941.89</v>
      </c>
      <c r="L1143" s="3"/>
      <c r="M1143" s="3"/>
      <c r="N1143" s="33">
        <f>I1143+M1143</f>
        <v>0</v>
      </c>
      <c r="O1143" s="28">
        <f>K1143-M1143</f>
        <v>407941.89</v>
      </c>
      <c r="P1143" s="9" t="s">
        <v>10</v>
      </c>
      <c r="Q1143" s="2">
        <v>45814</v>
      </c>
      <c r="R1143" s="38"/>
      <c r="S1143" s="52"/>
      <c r="T1143" s="4">
        <f>R466*45%</f>
        <v>2981.7</v>
      </c>
      <c r="U1143" s="5"/>
      <c r="V1143" s="4">
        <f>(S1143+T1143)-U1143</f>
        <v>2981.7</v>
      </c>
      <c r="W1143" s="4">
        <f>V1143+AA1142</f>
        <v>134706.985</v>
      </c>
      <c r="X1143" s="3"/>
      <c r="Y1143" s="3"/>
      <c r="Z1143" s="25">
        <f>U1143+Y1143</f>
        <v>0</v>
      </c>
      <c r="AA1143" s="76">
        <f>W1143-Y1143</f>
        <v>134706.985</v>
      </c>
      <c r="AB1143" s="9" t="s">
        <v>10</v>
      </c>
      <c r="AC1143" s="19">
        <v>45814</v>
      </c>
      <c r="AD1143" s="41"/>
      <c r="AE1143" s="42"/>
      <c r="AF1143" s="4">
        <f>AD466-H1143-T1143</f>
        <v>5457.3</v>
      </c>
      <c r="AG1143" s="3"/>
      <c r="AH1143" s="8"/>
      <c r="AI1143" s="4">
        <f>(AE1143+AF1143)-AH1143</f>
        <v>5457.3</v>
      </c>
      <c r="AJ1143" s="4">
        <f>AI1143+BP1142</f>
        <v>-817049.4505</v>
      </c>
      <c r="AK1143" s="8"/>
      <c r="AL1143" s="8"/>
      <c r="AM1143" s="47"/>
      <c r="AN1143" s="47"/>
      <c r="AO1143" s="8"/>
      <c r="AP1143" s="8"/>
      <c r="AQ1143" s="47"/>
      <c r="AR1143" s="47"/>
      <c r="AS1143" s="8"/>
      <c r="AT1143" s="8"/>
      <c r="AU1143" s="47"/>
      <c r="AV1143" s="47"/>
      <c r="AW1143" s="8"/>
      <c r="AX1143" s="8"/>
      <c r="AY1143" s="47"/>
      <c r="AZ1143" s="47"/>
      <c r="BA1143" s="8"/>
      <c r="BB1143" s="8"/>
      <c r="BC1143" s="47"/>
      <c r="BD1143" s="47"/>
      <c r="BE1143" s="8"/>
      <c r="BF1143" s="8"/>
      <c r="BG1143" s="47"/>
      <c r="BH1143" s="47"/>
      <c r="BI1143" s="8"/>
      <c r="BJ1143" s="3"/>
      <c r="BK1143" s="47"/>
      <c r="BL1143" s="47"/>
      <c r="BM1143" s="46"/>
      <c r="BN1143" s="46"/>
      <c r="BO1143" s="24">
        <f>AL1143+AN1143+AP1143+AR1143+AT1143+AV1143+AX1143+AZ1143+BB1143+BD1143+BF1143+BH1143+BJ1143+BL1143+BN1143</f>
        <v>0</v>
      </c>
      <c r="BP1143" s="28">
        <f>AJ1143-BO1143</f>
        <v>-817049.4505</v>
      </c>
      <c r="BQ1143" s="2">
        <v>45814</v>
      </c>
    </row>
    <row r="1144" spans="1:73" hidden="true">
      <c r="D1144" s="9" t="s">
        <v>11</v>
      </c>
      <c r="E1144" s="2">
        <v>45815</v>
      </c>
      <c r="F1144" s="38"/>
      <c r="G1144" s="51"/>
      <c r="H1144" s="4">
        <f>F467*50%</f>
        <v>1813.5</v>
      </c>
      <c r="I1144" s="120"/>
      <c r="J1144" s="4">
        <f>(G1144+H1144)-I1144</f>
        <v>1813.5</v>
      </c>
      <c r="K1144" s="4">
        <f>J1144+O1143</f>
        <v>409755.39</v>
      </c>
      <c r="L1144" s="3"/>
      <c r="M1144" s="3"/>
      <c r="N1144" s="33">
        <f>I1144+M1144</f>
        <v>0</v>
      </c>
      <c r="O1144" s="28">
        <f>K1144-M1144</f>
        <v>409755.39</v>
      </c>
      <c r="P1144" s="9" t="s">
        <v>11</v>
      </c>
      <c r="Q1144" s="2">
        <v>45815</v>
      </c>
      <c r="R1144" s="38"/>
      <c r="S1144" s="52"/>
      <c r="T1144" s="4">
        <f>R467*45%</f>
        <v>2982.15</v>
      </c>
      <c r="U1144" s="5"/>
      <c r="V1144" s="4">
        <f>(S1144+T1144)-U1144</f>
        <v>2982.15</v>
      </c>
      <c r="W1144" s="4">
        <f>V1144+AA1143</f>
        <v>137689.135</v>
      </c>
      <c r="X1144" s="3"/>
      <c r="Y1144" s="3"/>
      <c r="Z1144" s="25">
        <f>U1144+Y1144</f>
        <v>0</v>
      </c>
      <c r="AA1144" s="76">
        <f>W1144-Y1144</f>
        <v>137689.135</v>
      </c>
      <c r="AB1144" s="9" t="s">
        <v>11</v>
      </c>
      <c r="AC1144" s="19">
        <v>45815</v>
      </c>
      <c r="AD1144" s="41"/>
      <c r="AE1144" s="42"/>
      <c r="AF1144" s="4">
        <f>AD467-H1144-T1144</f>
        <v>5458.35</v>
      </c>
      <c r="AG1144" s="3"/>
      <c r="AH1144" s="8"/>
      <c r="AI1144" s="4">
        <f>(AE1144+AF1144)-AH1144</f>
        <v>5458.35</v>
      </c>
      <c r="AJ1144" s="4">
        <f>AI1144+BP1143</f>
        <v>-811591.1005</v>
      </c>
      <c r="AK1144" s="8"/>
      <c r="AL1144" s="8"/>
      <c r="AM1144" s="47"/>
      <c r="AN1144" s="47"/>
      <c r="AO1144" s="8"/>
      <c r="AP1144" s="8"/>
      <c r="AQ1144" s="47"/>
      <c r="AR1144" s="47"/>
      <c r="AS1144" s="8"/>
      <c r="AT1144" s="8"/>
      <c r="AU1144" s="47"/>
      <c r="AV1144" s="47"/>
      <c r="AW1144" s="8"/>
      <c r="AX1144" s="8"/>
      <c r="AY1144" s="47"/>
      <c r="AZ1144" s="47"/>
      <c r="BA1144" s="8"/>
      <c r="BB1144" s="8"/>
      <c r="BC1144" s="47"/>
      <c r="BD1144" s="47"/>
      <c r="BE1144" s="8"/>
      <c r="BF1144" s="8"/>
      <c r="BG1144" s="47"/>
      <c r="BH1144" s="47"/>
      <c r="BI1144" s="8"/>
      <c r="BJ1144" s="3"/>
      <c r="BK1144" s="47"/>
      <c r="BL1144" s="47"/>
      <c r="BM1144" s="46"/>
      <c r="BN1144" s="46"/>
      <c r="BO1144" s="24">
        <f>AL1144+AN1144+AP1144+AR1144+AT1144+AV1144+AX1144+AZ1144+BB1144+BD1144+BF1144+BH1144+BJ1144+BL1144+BN1144</f>
        <v>0</v>
      </c>
      <c r="BP1144" s="28">
        <f>AJ1144-BO1144</f>
        <v>-811591.1005</v>
      </c>
      <c r="BQ1144" s="2">
        <v>45815</v>
      </c>
    </row>
    <row r="1145" spans="1:73" hidden="true">
      <c r="D1145" s="9" t="s">
        <v>12</v>
      </c>
      <c r="E1145" s="2">
        <v>45816</v>
      </c>
      <c r="F1145" s="38"/>
      <c r="G1145" s="51"/>
      <c r="H1145" s="4">
        <f>F468*50%</f>
        <v>1814</v>
      </c>
      <c r="I1145" s="120"/>
      <c r="J1145" s="4">
        <f>(G1145+H1145)-I1145</f>
        <v>1814</v>
      </c>
      <c r="K1145" s="4">
        <f>J1145+O1144</f>
        <v>411569.39</v>
      </c>
      <c r="L1145" s="3"/>
      <c r="M1145" s="3"/>
      <c r="N1145" s="33">
        <f>I1145+M1145</f>
        <v>0</v>
      </c>
      <c r="O1145" s="28">
        <f>K1145-M1145</f>
        <v>411569.39</v>
      </c>
      <c r="P1145" s="9" t="s">
        <v>12</v>
      </c>
      <c r="Q1145" s="2">
        <v>45816</v>
      </c>
      <c r="R1145" s="38"/>
      <c r="S1145" s="52"/>
      <c r="T1145" s="4">
        <f>R468*45%</f>
        <v>2982.6</v>
      </c>
      <c r="U1145" s="5"/>
      <c r="V1145" s="4">
        <f>(S1145+T1145)-U1145</f>
        <v>2982.6</v>
      </c>
      <c r="W1145" s="4">
        <f>V1145+AA1144</f>
        <v>140671.735</v>
      </c>
      <c r="X1145" s="3"/>
      <c r="Y1145" s="3"/>
      <c r="Z1145" s="25">
        <f>U1145+Y1145</f>
        <v>0</v>
      </c>
      <c r="AA1145" s="76">
        <f>W1145-Y1145</f>
        <v>140671.735</v>
      </c>
      <c r="AB1145" s="9" t="s">
        <v>12</v>
      </c>
      <c r="AC1145" s="19">
        <v>45816</v>
      </c>
      <c r="AD1145" s="41"/>
      <c r="AE1145" s="42"/>
      <c r="AF1145" s="4">
        <f>AD468-H1145-T1145</f>
        <v>5459.4</v>
      </c>
      <c r="AG1145" s="3"/>
      <c r="AH1145" s="8"/>
      <c r="AI1145" s="4">
        <f>(AE1145+AF1145)-AH1145</f>
        <v>5459.4</v>
      </c>
      <c r="AJ1145" s="4">
        <f>AI1145+BP1144</f>
        <v>-806131.7005</v>
      </c>
      <c r="AK1145" s="8"/>
      <c r="AL1145" s="8"/>
      <c r="AM1145" s="47"/>
      <c r="AN1145" s="47"/>
      <c r="AO1145" s="8"/>
      <c r="AP1145" s="8"/>
      <c r="AQ1145" s="47"/>
      <c r="AR1145" s="47"/>
      <c r="AS1145" s="8"/>
      <c r="AT1145" s="8"/>
      <c r="AU1145" s="47"/>
      <c r="AV1145" s="47"/>
      <c r="AW1145" s="8"/>
      <c r="AX1145" s="8"/>
      <c r="AY1145" s="47"/>
      <c r="AZ1145" s="47"/>
      <c r="BA1145" s="8"/>
      <c r="BB1145" s="8"/>
      <c r="BC1145" s="47"/>
      <c r="BD1145" s="47"/>
      <c r="BE1145" s="8"/>
      <c r="BF1145" s="8"/>
      <c r="BG1145" s="47"/>
      <c r="BH1145" s="47"/>
      <c r="BI1145" s="8"/>
      <c r="BJ1145" s="3"/>
      <c r="BK1145" s="47"/>
      <c r="BL1145" s="47"/>
      <c r="BM1145" s="46"/>
      <c r="BN1145" s="46"/>
      <c r="BO1145" s="24">
        <f>AL1145+AN1145+AP1145+AR1145+AT1145+AV1145+AX1145+AZ1145+BB1145+BD1145+BF1145+BH1145+BJ1145+BL1145+BN1145</f>
        <v>0</v>
      </c>
      <c r="BP1145" s="28">
        <f>AJ1145-BO1145</f>
        <v>-806131.7005</v>
      </c>
      <c r="BQ1145" s="2">
        <v>45816</v>
      </c>
    </row>
    <row r="1146" spans="1:73" hidden="true">
      <c r="D1146" s="9" t="s">
        <v>13</v>
      </c>
      <c r="E1146" s="2">
        <v>45817</v>
      </c>
      <c r="F1146" s="38"/>
      <c r="G1146" s="51"/>
      <c r="H1146" s="4">
        <f>F469*50%</f>
        <v>1814.5</v>
      </c>
      <c r="I1146" s="120"/>
      <c r="J1146" s="4">
        <f>(G1146+H1146)-I1146</f>
        <v>1814.5</v>
      </c>
      <c r="K1146" s="4">
        <f>J1146+O1145</f>
        <v>413383.89</v>
      </c>
      <c r="L1146" s="3"/>
      <c r="M1146" s="3"/>
      <c r="N1146" s="33">
        <f>I1146+M1146</f>
        <v>0</v>
      </c>
      <c r="O1146" s="28">
        <f>K1146-M1146</f>
        <v>413383.89</v>
      </c>
      <c r="P1146" s="9" t="s">
        <v>13</v>
      </c>
      <c r="Q1146" s="2">
        <v>45817</v>
      </c>
      <c r="R1146" s="38"/>
      <c r="S1146" s="52"/>
      <c r="T1146" s="4">
        <f>R469*45%</f>
        <v>2983.05</v>
      </c>
      <c r="U1146" s="5"/>
      <c r="V1146" s="4">
        <f>(S1146+T1146)-U1146</f>
        <v>2983.05</v>
      </c>
      <c r="W1146" s="4">
        <f>V1146+AA1145</f>
        <v>143654.785</v>
      </c>
      <c r="X1146" s="3"/>
      <c r="Y1146" s="3"/>
      <c r="Z1146" s="25">
        <f>U1146+Y1146</f>
        <v>0</v>
      </c>
      <c r="AA1146" s="76">
        <f>W1146-Y1146</f>
        <v>143654.785</v>
      </c>
      <c r="AB1146" s="9" t="s">
        <v>13</v>
      </c>
      <c r="AC1146" s="19">
        <v>45817</v>
      </c>
      <c r="AD1146" s="41"/>
      <c r="AE1146" s="42"/>
      <c r="AF1146" s="4">
        <f>AD469-H1146-T1146</f>
        <v>5460.45</v>
      </c>
      <c r="AG1146" s="3"/>
      <c r="AH1146" s="8"/>
      <c r="AI1146" s="4">
        <f>(AE1146+AF1146)-AH1146</f>
        <v>5460.45</v>
      </c>
      <c r="AJ1146" s="4">
        <f>AI1146+BP1145</f>
        <v>-800671.2505</v>
      </c>
      <c r="AK1146" s="8"/>
      <c r="AL1146" s="8"/>
      <c r="AM1146" s="47"/>
      <c r="AN1146" s="47"/>
      <c r="AO1146" s="8"/>
      <c r="AP1146" s="8"/>
      <c r="AQ1146" s="47"/>
      <c r="AR1146" s="47"/>
      <c r="AS1146" s="8"/>
      <c r="AT1146" s="8"/>
      <c r="AU1146" s="47"/>
      <c r="AV1146" s="47"/>
      <c r="AW1146" s="8"/>
      <c r="AX1146" s="8"/>
      <c r="AY1146" s="47"/>
      <c r="AZ1146" s="47"/>
      <c r="BA1146" s="8"/>
      <c r="BB1146" s="8"/>
      <c r="BC1146" s="47"/>
      <c r="BD1146" s="47"/>
      <c r="BE1146" s="8"/>
      <c r="BF1146" s="8"/>
      <c r="BG1146" s="47"/>
      <c r="BH1146" s="47"/>
      <c r="BI1146" s="8"/>
      <c r="BJ1146" s="3"/>
      <c r="BK1146" s="47"/>
      <c r="BL1146" s="47"/>
      <c r="BM1146" s="46"/>
      <c r="BN1146" s="46"/>
      <c r="BO1146" s="24">
        <f>AL1146+AN1146+AP1146+AR1146+AT1146+AV1146+AX1146+AZ1146+BB1146+BD1146+BF1146+BH1146+BJ1146+BL1146+BN1146</f>
        <v>0</v>
      </c>
      <c r="BP1146" s="28">
        <f>AJ1146-BO1146</f>
        <v>-800671.2505</v>
      </c>
      <c r="BQ1146" s="2">
        <v>45817</v>
      </c>
    </row>
    <row r="1147" spans="1:73" hidden="true">
      <c r="D1147" s="9" t="s">
        <v>14</v>
      </c>
      <c r="E1147" s="2">
        <v>45818</v>
      </c>
      <c r="F1147" s="38"/>
      <c r="G1147" s="51"/>
      <c r="H1147" s="4">
        <f>F470*50%</f>
        <v>1815</v>
      </c>
      <c r="I1147" s="120"/>
      <c r="J1147" s="4">
        <f>(G1147+H1147)-I1147</f>
        <v>1815</v>
      </c>
      <c r="K1147" s="4">
        <f>J1147+O1146</f>
        <v>415198.89</v>
      </c>
      <c r="L1147" s="3"/>
      <c r="M1147" s="3"/>
      <c r="N1147" s="33">
        <f>I1147+M1147</f>
        <v>0</v>
      </c>
      <c r="O1147" s="28">
        <f>K1147-M1147</f>
        <v>415198.89</v>
      </c>
      <c r="P1147" s="9" t="s">
        <v>14</v>
      </c>
      <c r="Q1147" s="2">
        <v>45818</v>
      </c>
      <c r="R1147" s="38"/>
      <c r="S1147" s="52"/>
      <c r="T1147" s="4">
        <f>R470*45%</f>
        <v>2983.5</v>
      </c>
      <c r="U1147" s="5"/>
      <c r="V1147" s="4">
        <f>(S1147+T1147)-U1147</f>
        <v>2983.5</v>
      </c>
      <c r="W1147" s="4">
        <f>V1147+AA1146</f>
        <v>146638.285</v>
      </c>
      <c r="X1147" s="3"/>
      <c r="Y1147" s="3"/>
      <c r="Z1147" s="25">
        <f>U1147+Y1147</f>
        <v>0</v>
      </c>
      <c r="AA1147" s="76">
        <f>W1147-Y1147</f>
        <v>146638.285</v>
      </c>
      <c r="AB1147" s="9" t="s">
        <v>14</v>
      </c>
      <c r="AC1147" s="19">
        <v>45818</v>
      </c>
      <c r="AD1147" s="41"/>
      <c r="AE1147" s="42"/>
      <c r="AF1147" s="4">
        <f>AD470-H1147-T1147</f>
        <v>5461.5</v>
      </c>
      <c r="AG1147" s="3"/>
      <c r="AH1147" s="8"/>
      <c r="AI1147" s="4">
        <f>(AE1147+AF1147)-AH1147</f>
        <v>5461.5</v>
      </c>
      <c r="AJ1147" s="4">
        <f>AI1147+BP1146</f>
        <v>-795209.7505</v>
      </c>
      <c r="AK1147" s="8"/>
      <c r="AL1147" s="8"/>
      <c r="AM1147" s="47"/>
      <c r="AN1147" s="47"/>
      <c r="AO1147" s="8"/>
      <c r="AP1147" s="8"/>
      <c r="AQ1147" s="47"/>
      <c r="AR1147" s="47"/>
      <c r="AS1147" s="8"/>
      <c r="AT1147" s="8"/>
      <c r="AU1147" s="47"/>
      <c r="AV1147" s="47"/>
      <c r="AW1147" s="8"/>
      <c r="AX1147" s="8"/>
      <c r="AY1147" s="47"/>
      <c r="AZ1147" s="47"/>
      <c r="BA1147" s="8"/>
      <c r="BB1147" s="8"/>
      <c r="BC1147" s="47"/>
      <c r="BD1147" s="47"/>
      <c r="BE1147" s="8"/>
      <c r="BF1147" s="8"/>
      <c r="BG1147" s="47"/>
      <c r="BH1147" s="47"/>
      <c r="BI1147" s="8"/>
      <c r="BJ1147" s="3"/>
      <c r="BK1147" s="47"/>
      <c r="BL1147" s="47"/>
      <c r="BM1147" s="46"/>
      <c r="BN1147" s="46"/>
      <c r="BO1147" s="24">
        <f>AL1147+AN1147+AP1147+AR1147+AT1147+AV1147+AX1147+AZ1147+BB1147+BD1147+BF1147+BH1147+BJ1147+BL1147+BN1147</f>
        <v>0</v>
      </c>
      <c r="BP1147" s="28">
        <f>AJ1147-BO1147</f>
        <v>-795209.7505</v>
      </c>
      <c r="BQ1147" s="2">
        <v>45818</v>
      </c>
    </row>
    <row r="1148" spans="1:73" hidden="true">
      <c r="D1148" s="9" t="s">
        <v>15</v>
      </c>
      <c r="E1148" s="2">
        <v>45819</v>
      </c>
      <c r="F1148" s="38"/>
      <c r="G1148" s="51"/>
      <c r="H1148" s="4">
        <f>F471*50%</f>
        <v>1815.5</v>
      </c>
      <c r="I1148" s="120"/>
      <c r="J1148" s="4">
        <f>(G1148+H1148)-I1148</f>
        <v>1815.5</v>
      </c>
      <c r="K1148" s="4">
        <f>J1148+O1147</f>
        <v>417014.39</v>
      </c>
      <c r="L1148" s="3"/>
      <c r="M1148" s="3"/>
      <c r="N1148" s="33">
        <f>I1148+M1148</f>
        <v>0</v>
      </c>
      <c r="O1148" s="28">
        <f>K1148-M1148</f>
        <v>417014.39</v>
      </c>
      <c r="P1148" s="9" t="s">
        <v>15</v>
      </c>
      <c r="Q1148" s="2">
        <v>45819</v>
      </c>
      <c r="R1148" s="38"/>
      <c r="S1148" s="52"/>
      <c r="T1148" s="4">
        <f>R471*45%</f>
        <v>2983.95</v>
      </c>
      <c r="U1148" s="5"/>
      <c r="V1148" s="4">
        <f>(S1148+T1148)-U1148</f>
        <v>2983.95</v>
      </c>
      <c r="W1148" s="4">
        <f>V1148+AA1147</f>
        <v>149622.235</v>
      </c>
      <c r="X1148" s="3"/>
      <c r="Y1148" s="3"/>
      <c r="Z1148" s="25">
        <f>U1148+Y1148</f>
        <v>0</v>
      </c>
      <c r="AA1148" s="76">
        <f>W1148-Y1148</f>
        <v>149622.235</v>
      </c>
      <c r="AB1148" s="9" t="s">
        <v>15</v>
      </c>
      <c r="AC1148" s="19">
        <v>45819</v>
      </c>
      <c r="AD1148" s="41"/>
      <c r="AE1148" s="42"/>
      <c r="AF1148" s="4">
        <f>AD471-H1148-T1148</f>
        <v>5462.55</v>
      </c>
      <c r="AG1148" s="3"/>
      <c r="AH1148" s="8"/>
      <c r="AI1148" s="4">
        <f>(AE1148+AF1148)-AH1148</f>
        <v>5462.55</v>
      </c>
      <c r="AJ1148" s="4">
        <f>AI1148+BP1147</f>
        <v>-789747.2005</v>
      </c>
      <c r="AK1148" s="8"/>
      <c r="AL1148" s="8"/>
      <c r="AM1148" s="47"/>
      <c r="AN1148" s="47"/>
      <c r="AO1148" s="8"/>
      <c r="AP1148" s="8"/>
      <c r="AQ1148" s="47"/>
      <c r="AR1148" s="47"/>
      <c r="AS1148" s="8"/>
      <c r="AT1148" s="8"/>
      <c r="AU1148" s="47"/>
      <c r="AV1148" s="47"/>
      <c r="AW1148" s="8"/>
      <c r="AX1148" s="8"/>
      <c r="AY1148" s="47"/>
      <c r="AZ1148" s="47"/>
      <c r="BA1148" s="8"/>
      <c r="BB1148" s="8"/>
      <c r="BC1148" s="47"/>
      <c r="BD1148" s="47"/>
      <c r="BE1148" s="8"/>
      <c r="BF1148" s="8"/>
      <c r="BG1148" s="47"/>
      <c r="BH1148" s="47"/>
      <c r="BI1148" s="8"/>
      <c r="BJ1148" s="3"/>
      <c r="BK1148" s="47"/>
      <c r="BL1148" s="47"/>
      <c r="BM1148" s="46"/>
      <c r="BN1148" s="46"/>
      <c r="BO1148" s="24">
        <f>AL1148+AN1148+AP1148+AR1148+AT1148+AV1148+AX1148+AZ1148+BB1148+BD1148+BF1148+BH1148+BJ1148+BL1148+BN1148</f>
        <v>0</v>
      </c>
      <c r="BP1148" s="28">
        <f>AJ1148-BO1148</f>
        <v>-789747.2005</v>
      </c>
      <c r="BQ1148" s="2">
        <v>45819</v>
      </c>
    </row>
    <row r="1149" spans="1:73" hidden="true">
      <c r="D1149" s="9" t="s">
        <v>16</v>
      </c>
      <c r="E1149" s="2">
        <v>45820</v>
      </c>
      <c r="F1149" s="38"/>
      <c r="G1149" s="51"/>
      <c r="H1149" s="4">
        <f>F472*50%</f>
        <v>1816</v>
      </c>
      <c r="I1149" s="120"/>
      <c r="J1149" s="4">
        <f>(G1149+H1149)-I1149</f>
        <v>1816</v>
      </c>
      <c r="K1149" s="4">
        <f>J1149+O1148</f>
        <v>418830.39</v>
      </c>
      <c r="L1149" s="3"/>
      <c r="M1149" s="3"/>
      <c r="N1149" s="33">
        <f>I1149+M1149</f>
        <v>0</v>
      </c>
      <c r="O1149" s="28">
        <f>K1149-M1149</f>
        <v>418830.39</v>
      </c>
      <c r="P1149" s="9" t="s">
        <v>16</v>
      </c>
      <c r="Q1149" s="2">
        <v>45820</v>
      </c>
      <c r="R1149" s="38"/>
      <c r="S1149" s="52"/>
      <c r="T1149" s="4">
        <f>R472*45%</f>
        <v>2984.4</v>
      </c>
      <c r="U1149" s="5"/>
      <c r="V1149" s="4">
        <f>(S1149+T1149)-U1149</f>
        <v>2984.4</v>
      </c>
      <c r="W1149" s="4">
        <f>V1149+AA1148</f>
        <v>152606.635</v>
      </c>
      <c r="X1149" s="3"/>
      <c r="Y1149" s="3"/>
      <c r="Z1149" s="25">
        <f>U1149+Y1149</f>
        <v>0</v>
      </c>
      <c r="AA1149" s="76">
        <f>W1149-Y1149</f>
        <v>152606.635</v>
      </c>
      <c r="AB1149" s="9" t="s">
        <v>16</v>
      </c>
      <c r="AC1149" s="19">
        <v>45820</v>
      </c>
      <c r="AD1149" s="41"/>
      <c r="AE1149" s="42"/>
      <c r="AF1149" s="4">
        <f>AD472-H1149-T1149</f>
        <v>5463.6</v>
      </c>
      <c r="AG1149" s="3"/>
      <c r="AH1149" s="8"/>
      <c r="AI1149" s="4">
        <f>(AE1149+AF1149)-AH1149</f>
        <v>5463.6</v>
      </c>
      <c r="AJ1149" s="4">
        <f>AI1149+BP1148</f>
        <v>-784283.6005</v>
      </c>
      <c r="AK1149" s="8"/>
      <c r="AL1149" s="8"/>
      <c r="AM1149" s="47"/>
      <c r="AN1149" s="47"/>
      <c r="AO1149" s="8"/>
      <c r="AP1149" s="8"/>
      <c r="AQ1149" s="47"/>
      <c r="AR1149" s="47"/>
      <c r="AS1149" s="8"/>
      <c r="AT1149" s="8"/>
      <c r="AU1149" s="47"/>
      <c r="AV1149" s="47"/>
      <c r="AW1149" s="8"/>
      <c r="AX1149" s="8"/>
      <c r="AY1149" s="47"/>
      <c r="AZ1149" s="47"/>
      <c r="BA1149" s="8"/>
      <c r="BB1149" s="8"/>
      <c r="BC1149" s="47"/>
      <c r="BD1149" s="47"/>
      <c r="BE1149" s="8"/>
      <c r="BF1149" s="8"/>
      <c r="BG1149" s="47"/>
      <c r="BH1149" s="47"/>
      <c r="BI1149" s="8"/>
      <c r="BJ1149" s="3"/>
      <c r="BK1149" s="47"/>
      <c r="BL1149" s="47"/>
      <c r="BM1149" s="46"/>
      <c r="BN1149" s="46"/>
      <c r="BO1149" s="24">
        <f>AL1149+AN1149+AP1149+AR1149+AT1149+AV1149+AX1149+AZ1149+BB1149+BD1149+BF1149+BH1149+BJ1149+BL1149+BN1149</f>
        <v>0</v>
      </c>
      <c r="BP1149" s="28">
        <f>AJ1149-BO1149</f>
        <v>-784283.6005</v>
      </c>
      <c r="BQ1149" s="2">
        <v>45820</v>
      </c>
    </row>
    <row r="1150" spans="1:73" hidden="true">
      <c r="D1150" s="9" t="s">
        <v>10</v>
      </c>
      <c r="E1150" s="2">
        <v>45821</v>
      </c>
      <c r="F1150" s="38"/>
      <c r="G1150" s="51"/>
      <c r="H1150" s="4">
        <f>F473*50%</f>
        <v>1816.5</v>
      </c>
      <c r="I1150" s="120"/>
      <c r="J1150" s="4">
        <f>(G1150+H1150)-I1150</f>
        <v>1816.5</v>
      </c>
      <c r="K1150" s="4">
        <f>J1150+O1149</f>
        <v>420646.89</v>
      </c>
      <c r="L1150" s="3"/>
      <c r="M1150" s="3"/>
      <c r="N1150" s="33">
        <f>I1150+M1150</f>
        <v>0</v>
      </c>
      <c r="O1150" s="28">
        <f>K1150-M1150</f>
        <v>420646.89</v>
      </c>
      <c r="P1150" s="9" t="s">
        <v>10</v>
      </c>
      <c r="Q1150" s="2">
        <v>45821</v>
      </c>
      <c r="R1150" s="38"/>
      <c r="S1150" s="52"/>
      <c r="T1150" s="4">
        <f>R473*45%</f>
        <v>2984.85</v>
      </c>
      <c r="U1150" s="5"/>
      <c r="V1150" s="4">
        <f>(S1150+T1150)-U1150</f>
        <v>2984.85</v>
      </c>
      <c r="W1150" s="4">
        <f>V1150+AA1149</f>
        <v>155591.485</v>
      </c>
      <c r="X1150" s="3"/>
      <c r="Y1150" s="3"/>
      <c r="Z1150" s="25">
        <f>U1150+Y1150</f>
        <v>0</v>
      </c>
      <c r="AA1150" s="76">
        <f>W1150-Y1150</f>
        <v>155591.485</v>
      </c>
      <c r="AB1150" s="9" t="s">
        <v>10</v>
      </c>
      <c r="AC1150" s="19">
        <v>45821</v>
      </c>
      <c r="AD1150" s="41"/>
      <c r="AE1150" s="42"/>
      <c r="AF1150" s="4">
        <f>AD473-H1150-T1150</f>
        <v>5464.65</v>
      </c>
      <c r="AG1150" s="3"/>
      <c r="AH1150" s="8"/>
      <c r="AI1150" s="4">
        <f>(AE1150+AF1150)-AH1150</f>
        <v>5464.65</v>
      </c>
      <c r="AJ1150" s="4">
        <f>AI1150+BP1149</f>
        <v>-778818.9505</v>
      </c>
      <c r="AK1150" s="8"/>
      <c r="AL1150" s="8"/>
      <c r="AM1150" s="47"/>
      <c r="AN1150" s="47"/>
      <c r="AO1150" s="8"/>
      <c r="AP1150" s="8"/>
      <c r="AQ1150" s="47"/>
      <c r="AR1150" s="47"/>
      <c r="AS1150" s="8"/>
      <c r="AT1150" s="8"/>
      <c r="AU1150" s="47"/>
      <c r="AV1150" s="47"/>
      <c r="AW1150" s="8"/>
      <c r="AX1150" s="8"/>
      <c r="AY1150" s="47"/>
      <c r="AZ1150" s="47"/>
      <c r="BA1150" s="8"/>
      <c r="BB1150" s="8"/>
      <c r="BC1150" s="47"/>
      <c r="BD1150" s="47"/>
      <c r="BE1150" s="8"/>
      <c r="BF1150" s="8"/>
      <c r="BG1150" s="47"/>
      <c r="BH1150" s="47"/>
      <c r="BI1150" s="8"/>
      <c r="BJ1150" s="3"/>
      <c r="BK1150" s="47"/>
      <c r="BL1150" s="47"/>
      <c r="BM1150" s="46"/>
      <c r="BN1150" s="46"/>
      <c r="BO1150" s="24">
        <f>AL1150+AN1150+AP1150+AR1150+AT1150+AV1150+AX1150+AZ1150+BB1150+BD1150+BF1150+BH1150+BJ1150+BL1150+BN1150</f>
        <v>0</v>
      </c>
      <c r="BP1150" s="28">
        <f>AJ1150-BO1150</f>
        <v>-778818.9505</v>
      </c>
      <c r="BQ1150" s="2">
        <v>45821</v>
      </c>
    </row>
    <row r="1151" spans="1:73" hidden="true">
      <c r="D1151" s="9" t="s">
        <v>11</v>
      </c>
      <c r="E1151" s="2">
        <v>45822</v>
      </c>
      <c r="F1151" s="38"/>
      <c r="G1151" s="51"/>
      <c r="H1151" s="4">
        <f>F474*50%</f>
        <v>1817</v>
      </c>
      <c r="I1151" s="120"/>
      <c r="J1151" s="4">
        <f>(G1151+H1151)-I1151</f>
        <v>1817</v>
      </c>
      <c r="K1151" s="4">
        <f>J1151+O1150</f>
        <v>422463.89</v>
      </c>
      <c r="L1151" s="3"/>
      <c r="M1151" s="3"/>
      <c r="N1151" s="33">
        <f>I1151+M1151</f>
        <v>0</v>
      </c>
      <c r="O1151" s="28">
        <f>K1151-M1151</f>
        <v>422463.89</v>
      </c>
      <c r="P1151" s="9" t="s">
        <v>11</v>
      </c>
      <c r="Q1151" s="2">
        <v>45822</v>
      </c>
      <c r="R1151" s="38"/>
      <c r="S1151" s="52"/>
      <c r="T1151" s="4">
        <f>R474*45%</f>
        <v>2985.3</v>
      </c>
      <c r="U1151" s="5"/>
      <c r="V1151" s="4">
        <f>(S1151+T1151)-U1151</f>
        <v>2985.3</v>
      </c>
      <c r="W1151" s="4">
        <f>V1151+AA1150</f>
        <v>158576.785</v>
      </c>
      <c r="X1151" s="3"/>
      <c r="Y1151" s="3"/>
      <c r="Z1151" s="25">
        <f>U1151+Y1151</f>
        <v>0</v>
      </c>
      <c r="AA1151" s="76">
        <f>W1151-Y1151</f>
        <v>158576.785</v>
      </c>
      <c r="AB1151" s="9" t="s">
        <v>11</v>
      </c>
      <c r="AC1151" s="19">
        <v>45822</v>
      </c>
      <c r="AD1151" s="41"/>
      <c r="AE1151" s="42"/>
      <c r="AF1151" s="4">
        <f>AD474-H1151-T1151</f>
        <v>5465.7</v>
      </c>
      <c r="AG1151" s="3"/>
      <c r="AH1151" s="8"/>
      <c r="AI1151" s="4">
        <f>(AE1151+AF1151)-AH1151</f>
        <v>5465.7</v>
      </c>
      <c r="AJ1151" s="4">
        <f>AI1151+BP1150</f>
        <v>-773353.2505</v>
      </c>
      <c r="AK1151" s="8"/>
      <c r="AL1151" s="8"/>
      <c r="AM1151" s="47"/>
      <c r="AN1151" s="47"/>
      <c r="AO1151" s="8"/>
      <c r="AP1151" s="8"/>
      <c r="AQ1151" s="47"/>
      <c r="AR1151" s="47"/>
      <c r="AS1151" s="8"/>
      <c r="AT1151" s="8"/>
      <c r="AU1151" s="47"/>
      <c r="AV1151" s="47"/>
      <c r="AW1151" s="8"/>
      <c r="AX1151" s="8"/>
      <c r="AY1151" s="47"/>
      <c r="AZ1151" s="47"/>
      <c r="BA1151" s="8"/>
      <c r="BB1151" s="8"/>
      <c r="BC1151" s="47"/>
      <c r="BD1151" s="47"/>
      <c r="BE1151" s="8"/>
      <c r="BF1151" s="8"/>
      <c r="BG1151" s="47"/>
      <c r="BH1151" s="47"/>
      <c r="BI1151" s="8"/>
      <c r="BJ1151" s="3"/>
      <c r="BK1151" s="47"/>
      <c r="BL1151" s="47"/>
      <c r="BM1151" s="46"/>
      <c r="BN1151" s="46"/>
      <c r="BO1151" s="24">
        <f>AL1151+AN1151+AP1151+AR1151+AT1151+AV1151+AX1151+AZ1151+BB1151+BD1151+BF1151+BH1151+BJ1151+BL1151+BN1151</f>
        <v>0</v>
      </c>
      <c r="BP1151" s="28">
        <f>AJ1151-BO1151</f>
        <v>-773353.2505</v>
      </c>
      <c r="BQ1151" s="2">
        <v>45822</v>
      </c>
    </row>
    <row r="1152" spans="1:73" hidden="true">
      <c r="D1152" s="9" t="s">
        <v>12</v>
      </c>
      <c r="E1152" s="2">
        <v>45823</v>
      </c>
      <c r="F1152" s="38"/>
      <c r="G1152" s="51"/>
      <c r="H1152" s="4">
        <f>F475*50%</f>
        <v>1817.5</v>
      </c>
      <c r="I1152" s="120"/>
      <c r="J1152" s="4">
        <f>(G1152+H1152)-I1152</f>
        <v>1817.5</v>
      </c>
      <c r="K1152" s="4">
        <f>J1152+O1151</f>
        <v>424281.39</v>
      </c>
      <c r="L1152" s="113"/>
      <c r="M1152" s="3"/>
      <c r="N1152" s="33">
        <f>I1152+M1152</f>
        <v>0</v>
      </c>
      <c r="O1152" s="28">
        <f>K1152-M1152</f>
        <v>424281.39</v>
      </c>
      <c r="P1152" s="9" t="s">
        <v>12</v>
      </c>
      <c r="Q1152" s="2">
        <v>45823</v>
      </c>
      <c r="R1152" s="38"/>
      <c r="S1152" s="52"/>
      <c r="T1152" s="4">
        <f>R475*45%</f>
        <v>2985.75</v>
      </c>
      <c r="U1152" s="5"/>
      <c r="V1152" s="4">
        <f>(S1152+T1152)-U1152</f>
        <v>2985.75</v>
      </c>
      <c r="W1152" s="4">
        <f>V1152+AA1151</f>
        <v>161562.535</v>
      </c>
      <c r="X1152" s="3"/>
      <c r="Y1152" s="3"/>
      <c r="Z1152" s="25">
        <f>U1152+Y1152</f>
        <v>0</v>
      </c>
      <c r="AA1152" s="76">
        <f>W1152-Y1152</f>
        <v>161562.535</v>
      </c>
      <c r="AB1152" s="9" t="s">
        <v>12</v>
      </c>
      <c r="AC1152" s="19">
        <v>45823</v>
      </c>
      <c r="AD1152" s="41"/>
      <c r="AE1152" s="42"/>
      <c r="AF1152" s="4">
        <f>AD475-H1152-T1152</f>
        <v>5466.75</v>
      </c>
      <c r="AG1152" s="3"/>
      <c r="AH1152" s="8"/>
      <c r="AI1152" s="4">
        <f>(AE1152+AF1152)-AH1152</f>
        <v>5466.75</v>
      </c>
      <c r="AJ1152" s="4">
        <f>AI1152+BP1151</f>
        <v>-767886.5005</v>
      </c>
      <c r="AK1152" s="8" t="s">
        <v>41</v>
      </c>
      <c r="AL1152" s="8">
        <v>2362.95</v>
      </c>
      <c r="AM1152" s="47"/>
      <c r="AN1152" s="47"/>
      <c r="AO1152" s="8"/>
      <c r="AP1152" s="8"/>
      <c r="AQ1152" s="47"/>
      <c r="AR1152" s="47"/>
      <c r="AS1152" s="8"/>
      <c r="AT1152" s="8"/>
      <c r="AU1152" s="47"/>
      <c r="AV1152" s="47"/>
      <c r="AW1152" s="8"/>
      <c r="AX1152" s="8"/>
      <c r="AY1152" s="47"/>
      <c r="AZ1152" s="47"/>
      <c r="BA1152" s="8" t="s">
        <v>341</v>
      </c>
      <c r="BB1152" s="8">
        <v>330.6</v>
      </c>
      <c r="BC1152" s="47"/>
      <c r="BD1152" s="47"/>
      <c r="BE1152" s="8"/>
      <c r="BF1152" s="8"/>
      <c r="BG1152" s="47" t="s">
        <v>101</v>
      </c>
      <c r="BH1152" s="47">
        <v>1000</v>
      </c>
      <c r="BI1152" s="8"/>
      <c r="BJ1152" s="3"/>
      <c r="BK1152" s="47"/>
      <c r="BL1152" s="47"/>
      <c r="BM1152" s="46"/>
      <c r="BN1152" s="46"/>
      <c r="BO1152" s="24">
        <f>AL1152+AN1152+AP1152+AR1152+AT1152+AV1152+AX1152+AZ1152+BB1152+BD1152+BF1152+BH1152+BJ1152+BL1152+BN1152</f>
        <v>3693.55</v>
      </c>
      <c r="BP1152" s="28">
        <f>AJ1152-BO1152</f>
        <v>-771580.0505</v>
      </c>
      <c r="BQ1152" s="2">
        <v>45823</v>
      </c>
    </row>
    <row r="1153" spans="1:73" hidden="true">
      <c r="D1153" s="9" t="s">
        <v>13</v>
      </c>
      <c r="E1153" s="2">
        <v>45824</v>
      </c>
      <c r="F1153" s="38"/>
      <c r="G1153" s="51"/>
      <c r="H1153" s="4">
        <f>F476*50%</f>
        <v>77.3</v>
      </c>
      <c r="I1153" s="120"/>
      <c r="J1153" s="4">
        <f>(G1153+H1153)-I1153</f>
        <v>77.3</v>
      </c>
      <c r="K1153" s="4">
        <f>J1153+O1152</f>
        <v>424358.69</v>
      </c>
      <c r="L1153" s="3"/>
      <c r="M1153" s="3"/>
      <c r="N1153" s="33">
        <f>I1153+M1153</f>
        <v>0</v>
      </c>
      <c r="O1153" s="28">
        <f>K1153-M1153</f>
        <v>424358.69</v>
      </c>
      <c r="P1153" s="9" t="s">
        <v>13</v>
      </c>
      <c r="Q1153" s="2">
        <v>45824</v>
      </c>
      <c r="R1153" s="38"/>
      <c r="S1153" s="52"/>
      <c r="T1153" s="4">
        <f>R476*45%</f>
        <v>563.4</v>
      </c>
      <c r="U1153" s="5"/>
      <c r="V1153" s="4">
        <f>(S1153+T1153)-U1153</f>
        <v>563.4</v>
      </c>
      <c r="W1153" s="4">
        <f>V1153+AA1152</f>
        <v>162125.935</v>
      </c>
      <c r="X1153" s="3"/>
      <c r="Y1153" s="3"/>
      <c r="Z1153" s="25">
        <f>U1153+Y1153</f>
        <v>0</v>
      </c>
      <c r="AA1153" s="76">
        <f>W1153-Y1153</f>
        <v>162125.935</v>
      </c>
      <c r="AB1153" s="9" t="s">
        <v>13</v>
      </c>
      <c r="AC1153" s="19">
        <v>45824</v>
      </c>
      <c r="AD1153" s="41"/>
      <c r="AE1153" s="42"/>
      <c r="AF1153" s="4">
        <f>AD476-H1153-T1153</f>
        <v>765.9</v>
      </c>
      <c r="AG1153" s="3"/>
      <c r="AH1153" s="8"/>
      <c r="AI1153" s="4">
        <f>(AE1153+AF1153)-AH1153</f>
        <v>765.9</v>
      </c>
      <c r="AJ1153" s="4">
        <f>AI1153+BP1152</f>
        <v>-770814.1505</v>
      </c>
      <c r="AK1153" s="8" t="s">
        <v>533</v>
      </c>
      <c r="AL1153" s="8">
        <f>4000+1200</f>
        <v>5200</v>
      </c>
      <c r="AM1153" s="47" t="s">
        <v>534</v>
      </c>
      <c r="AN1153" s="47">
        <v>8328</v>
      </c>
      <c r="AO1153" s="8"/>
      <c r="AP1153" s="8"/>
      <c r="AQ1153" s="47"/>
      <c r="AR1153" s="47"/>
      <c r="AS1153" s="8"/>
      <c r="AT1153" s="8"/>
      <c r="AU1153" s="47"/>
      <c r="AV1153" s="47"/>
      <c r="AW1153" s="8"/>
      <c r="AX1153" s="8"/>
      <c r="AY1153" s="47"/>
      <c r="AZ1153" s="47"/>
      <c r="BA1153" s="8"/>
      <c r="BB1153" s="8"/>
      <c r="BC1153" s="47" t="s">
        <v>535</v>
      </c>
      <c r="BD1153" s="47">
        <v>700</v>
      </c>
      <c r="BE1153" s="8"/>
      <c r="BF1153" s="8"/>
      <c r="BG1153" s="47"/>
      <c r="BH1153" s="47"/>
      <c r="BI1153" s="8"/>
      <c r="BJ1153" s="3"/>
      <c r="BK1153" s="47"/>
      <c r="BL1153" s="47"/>
      <c r="BM1153" s="46"/>
      <c r="BN1153" s="46"/>
      <c r="BO1153" s="24">
        <f>AL1153+AN1153+AP1153+AR1153+AT1153+AV1153+AX1153+AZ1153+BB1153+BD1153+BF1153+BH1153+BJ1153+BL1153+BN1153</f>
        <v>14228</v>
      </c>
      <c r="BP1153" s="28">
        <f>AJ1153-BO1153</f>
        <v>-785042.1505</v>
      </c>
      <c r="BQ1153" s="2">
        <v>45824</v>
      </c>
    </row>
    <row r="1154" spans="1:73" hidden="true">
      <c r="D1154" s="9" t="s">
        <v>14</v>
      </c>
      <c r="E1154" s="2">
        <v>45825</v>
      </c>
      <c r="F1154" s="38"/>
      <c r="G1154" s="51"/>
      <c r="H1154" s="4">
        <f>F477*50%</f>
        <v>144.25</v>
      </c>
      <c r="I1154" s="120"/>
      <c r="J1154" s="4">
        <f>(G1154+H1154)-I1154</f>
        <v>144.25</v>
      </c>
      <c r="K1154" s="4">
        <f>J1154+O1153</f>
        <v>424502.94</v>
      </c>
      <c r="L1154" s="3"/>
      <c r="M1154" s="3"/>
      <c r="N1154" s="33">
        <f>I1154+M1154</f>
        <v>0</v>
      </c>
      <c r="O1154" s="28">
        <f>K1154-M1154</f>
        <v>424502.94</v>
      </c>
      <c r="P1154" s="9" t="s">
        <v>14</v>
      </c>
      <c r="Q1154" s="2">
        <v>45825</v>
      </c>
      <c r="R1154" s="38"/>
      <c r="S1154" s="52"/>
      <c r="T1154" s="4">
        <f>R477*45%</f>
        <v>952.2</v>
      </c>
      <c r="U1154" s="5"/>
      <c r="V1154" s="4">
        <f>(S1154+T1154)-U1154</f>
        <v>952.2</v>
      </c>
      <c r="W1154" s="4">
        <f>V1154+AA1153</f>
        <v>163078.135</v>
      </c>
      <c r="X1154" s="3"/>
      <c r="Y1154" s="3"/>
      <c r="Z1154" s="25">
        <f>U1154+Y1154</f>
        <v>0</v>
      </c>
      <c r="AA1154" s="76">
        <f>W1154-Y1154</f>
        <v>163078.135</v>
      </c>
      <c r="AB1154" s="9" t="s">
        <v>14</v>
      </c>
      <c r="AC1154" s="19">
        <v>45825</v>
      </c>
      <c r="AD1154" s="41"/>
      <c r="AE1154" s="42"/>
      <c r="AF1154" s="4">
        <f>AD477-H1154-T1154</f>
        <v>1308.05</v>
      </c>
      <c r="AG1154" s="3"/>
      <c r="AH1154" s="8">
        <v>1495</v>
      </c>
      <c r="AI1154" s="4">
        <f>(AE1154+AF1154)-AH1154</f>
        <v>-186.95</v>
      </c>
      <c r="AJ1154" s="4">
        <f>AI1154+BP1153</f>
        <v>-785229.1005</v>
      </c>
      <c r="AK1154" s="8"/>
      <c r="AL1154" s="8"/>
      <c r="AM1154" s="47"/>
      <c r="AN1154" s="47"/>
      <c r="AO1154" s="8"/>
      <c r="AP1154" s="8"/>
      <c r="AQ1154" s="47"/>
      <c r="AR1154" s="47"/>
      <c r="AS1154" s="8"/>
      <c r="AT1154" s="8"/>
      <c r="AU1154" s="47"/>
      <c r="AV1154" s="47"/>
      <c r="AW1154" s="8"/>
      <c r="AX1154" s="8"/>
      <c r="AY1154" s="47"/>
      <c r="AZ1154" s="47"/>
      <c r="BA1154" s="8" t="s">
        <v>341</v>
      </c>
      <c r="BB1154" s="8">
        <v>47</v>
      </c>
      <c r="BC1154" s="47"/>
      <c r="BD1154" s="47"/>
      <c r="BE1154" s="8"/>
      <c r="BF1154" s="8"/>
      <c r="BG1154" s="47"/>
      <c r="BH1154" s="47"/>
      <c r="BI1154" s="8"/>
      <c r="BJ1154" s="3"/>
      <c r="BK1154" s="47"/>
      <c r="BL1154" s="47"/>
      <c r="BM1154" s="46"/>
      <c r="BN1154" s="46"/>
      <c r="BO1154" s="24">
        <f>AL1154+AN1154+AP1154+AR1154+AT1154+AV1154+AX1154+AZ1154+BB1154+BD1154+BF1154+BH1154+BJ1154+BL1154+BN1154</f>
        <v>47</v>
      </c>
      <c r="BP1154" s="28">
        <f>AJ1154-BO1154</f>
        <v>-785276.1005</v>
      </c>
      <c r="BQ1154" s="2">
        <v>45825</v>
      </c>
    </row>
    <row r="1155" spans="1:73" hidden="true">
      <c r="D1155" s="9" t="s">
        <v>15</v>
      </c>
      <c r="E1155" s="2">
        <v>45826</v>
      </c>
      <c r="F1155" s="38"/>
      <c r="G1155" s="51"/>
      <c r="H1155" s="4">
        <f>F478*50%</f>
        <v>81.925</v>
      </c>
      <c r="I1155" s="120"/>
      <c r="J1155" s="4">
        <f>(G1155+H1155)-I1155</f>
        <v>81.925</v>
      </c>
      <c r="K1155" s="4">
        <f>J1155+O1154</f>
        <v>424584.865</v>
      </c>
      <c r="L1155" s="3"/>
      <c r="M1155" s="3"/>
      <c r="N1155" s="33">
        <f>I1155+M1155</f>
        <v>0</v>
      </c>
      <c r="O1155" s="28">
        <f>K1155-M1155</f>
        <v>424584.865</v>
      </c>
      <c r="P1155" s="9" t="s">
        <v>15</v>
      </c>
      <c r="Q1155" s="2">
        <v>45826</v>
      </c>
      <c r="R1155" s="38"/>
      <c r="S1155" s="52"/>
      <c r="T1155" s="4">
        <f>R478*45%</f>
        <v>918</v>
      </c>
      <c r="U1155" s="5"/>
      <c r="V1155" s="4">
        <f>(S1155+T1155)-U1155</f>
        <v>918</v>
      </c>
      <c r="W1155" s="4">
        <f>V1155+AA1154</f>
        <v>163996.135</v>
      </c>
      <c r="X1155" s="3"/>
      <c r="Y1155" s="3"/>
      <c r="Z1155" s="25">
        <f>U1155+Y1155</f>
        <v>0</v>
      </c>
      <c r="AA1155" s="76">
        <f>W1155-Y1155</f>
        <v>163996.135</v>
      </c>
      <c r="AB1155" s="9" t="s">
        <v>15</v>
      </c>
      <c r="AC1155" s="19">
        <v>45826</v>
      </c>
      <c r="AD1155" s="41"/>
      <c r="AE1155" s="42"/>
      <c r="AF1155" s="4">
        <f>AD478-H1155-T1155</f>
        <v>1203.925</v>
      </c>
      <c r="AG1155" s="3"/>
      <c r="AH1155" s="8"/>
      <c r="AI1155" s="4">
        <f>(AE1155+AF1155)-AH1155</f>
        <v>1203.925</v>
      </c>
      <c r="AJ1155" s="4">
        <f>AI1155+BP1154</f>
        <v>-784072.1755</v>
      </c>
      <c r="AK1155" s="8"/>
      <c r="AL1155" s="8"/>
      <c r="AM1155" s="47"/>
      <c r="AN1155" s="47"/>
      <c r="AO1155" s="8"/>
      <c r="AP1155" s="8"/>
      <c r="AQ1155" s="47"/>
      <c r="AR1155" s="47"/>
      <c r="AS1155" s="8"/>
      <c r="AT1155" s="8"/>
      <c r="AU1155" s="47"/>
      <c r="AV1155" s="47"/>
      <c r="AW1155" s="8"/>
      <c r="AX1155" s="8"/>
      <c r="AY1155" s="47"/>
      <c r="AZ1155" s="47"/>
      <c r="BA1155" s="8" t="s">
        <v>341</v>
      </c>
      <c r="BB1155" s="8">
        <v>30</v>
      </c>
      <c r="BC1155" s="47"/>
      <c r="BD1155" s="47"/>
      <c r="BE1155" s="8"/>
      <c r="BF1155" s="8"/>
      <c r="BG1155" s="47"/>
      <c r="BH1155" s="47"/>
      <c r="BI1155" s="8"/>
      <c r="BJ1155" s="3"/>
      <c r="BK1155" s="47"/>
      <c r="BL1155" s="47"/>
      <c r="BM1155" s="46"/>
      <c r="BN1155" s="46"/>
      <c r="BO1155" s="24">
        <f>AL1155+AN1155+AP1155+AR1155+AT1155+AV1155+AX1155+AZ1155+BB1155+BD1155+BF1155+BH1155+BJ1155+BL1155+BN1155</f>
        <v>30</v>
      </c>
      <c r="BP1155" s="28">
        <f>AJ1155-BO1155</f>
        <v>-784102.1755</v>
      </c>
      <c r="BQ1155" s="2">
        <v>45826</v>
      </c>
    </row>
    <row r="1156" spans="1:73" hidden="true">
      <c r="D1156" s="9" t="s">
        <v>16</v>
      </c>
      <c r="E1156" s="2">
        <v>45827</v>
      </c>
      <c r="F1156" s="38"/>
      <c r="G1156" s="51"/>
      <c r="H1156" s="4">
        <f>F479*50%</f>
        <v>176.85</v>
      </c>
      <c r="I1156" s="120"/>
      <c r="J1156" s="4">
        <f>(G1156+H1156)-I1156</f>
        <v>176.85</v>
      </c>
      <c r="K1156" s="4">
        <f>J1156+O1155</f>
        <v>424761.715</v>
      </c>
      <c r="L1156" s="3"/>
      <c r="M1156" s="3"/>
      <c r="N1156" s="33">
        <f>I1156+M1156</f>
        <v>0</v>
      </c>
      <c r="O1156" s="28">
        <f>K1156-M1156</f>
        <v>424761.715</v>
      </c>
      <c r="P1156" s="9" t="s">
        <v>16</v>
      </c>
      <c r="Q1156" s="2">
        <v>45827</v>
      </c>
      <c r="R1156" s="38"/>
      <c r="S1156" s="52"/>
      <c r="T1156" s="4">
        <f>R479*45%</f>
        <v>208.8</v>
      </c>
      <c r="U1156" s="5"/>
      <c r="V1156" s="4">
        <f>(S1156+T1156)-U1156</f>
        <v>208.8</v>
      </c>
      <c r="W1156" s="4">
        <f>V1156+AA1155</f>
        <v>164204.935</v>
      </c>
      <c r="X1156" s="3"/>
      <c r="Y1156" s="3"/>
      <c r="Z1156" s="25">
        <f>U1156+Y1156</f>
        <v>0</v>
      </c>
      <c r="AA1156" s="76">
        <f>W1156-Y1156</f>
        <v>164204.935</v>
      </c>
      <c r="AB1156" s="9" t="s">
        <v>16</v>
      </c>
      <c r="AC1156" s="19">
        <v>45827</v>
      </c>
      <c r="AD1156" s="41"/>
      <c r="AE1156" s="42"/>
      <c r="AF1156" s="4">
        <f>AD479-H1156-T1156</f>
        <v>432.05</v>
      </c>
      <c r="AG1156" s="3"/>
      <c r="AH1156" s="8"/>
      <c r="AI1156" s="4">
        <f>(AE1156+AF1156)-AH1156</f>
        <v>432.05</v>
      </c>
      <c r="AJ1156" s="4">
        <f>AI1156+BP1155</f>
        <v>-783670.1255</v>
      </c>
      <c r="AK1156" s="8"/>
      <c r="AL1156" s="8"/>
      <c r="AM1156" s="47" t="s">
        <v>516</v>
      </c>
      <c r="AN1156" s="47">
        <v>375</v>
      </c>
      <c r="AO1156" s="8"/>
      <c r="AP1156" s="8"/>
      <c r="AQ1156" s="47"/>
      <c r="AR1156" s="47"/>
      <c r="AS1156" s="8"/>
      <c r="AT1156" s="8"/>
      <c r="AU1156" s="47"/>
      <c r="AV1156" s="47"/>
      <c r="AW1156" s="8"/>
      <c r="AX1156" s="8"/>
      <c r="AY1156" s="47"/>
      <c r="AZ1156" s="47"/>
      <c r="BA1156" s="8" t="s">
        <v>341</v>
      </c>
      <c r="BB1156" s="8">
        <v>13</v>
      </c>
      <c r="BC1156" s="47" t="s">
        <v>536</v>
      </c>
      <c r="BD1156" s="47">
        <v>101</v>
      </c>
      <c r="BE1156" s="8"/>
      <c r="BF1156" s="8"/>
      <c r="BG1156" s="47" t="s">
        <v>98</v>
      </c>
      <c r="BH1156" s="47">
        <v>2000</v>
      </c>
      <c r="BI1156" s="8"/>
      <c r="BJ1156" s="3"/>
      <c r="BK1156" s="47"/>
      <c r="BL1156" s="47"/>
      <c r="BM1156" s="46"/>
      <c r="BN1156" s="46"/>
      <c r="BO1156" s="24">
        <f>AL1156+AN1156+AP1156+AR1156+AT1156+AV1156+AX1156+AZ1156+BB1156+BD1156+BF1156+BH1156+BJ1156+BL1156+BN1156</f>
        <v>2489</v>
      </c>
      <c r="BP1156" s="28">
        <f>AJ1156-BO1156</f>
        <v>-786159.1255</v>
      </c>
      <c r="BQ1156" s="2">
        <v>45827</v>
      </c>
    </row>
    <row r="1157" spans="1:73" hidden="true">
      <c r="D1157" s="9" t="s">
        <v>10</v>
      </c>
      <c r="E1157" s="2">
        <v>45828</v>
      </c>
      <c r="F1157" s="38"/>
      <c r="G1157" s="51"/>
      <c r="H1157" s="4">
        <f>F480*50%</f>
        <v>105.25</v>
      </c>
      <c r="I1157" s="120"/>
      <c r="J1157" s="4">
        <f>(G1157+H1157)-I1157</f>
        <v>105.25</v>
      </c>
      <c r="K1157" s="4">
        <f>J1157+O1156</f>
        <v>424866.965</v>
      </c>
      <c r="L1157" s="3"/>
      <c r="M1157" s="3"/>
      <c r="N1157" s="33">
        <f>I1157+M1157</f>
        <v>0</v>
      </c>
      <c r="O1157" s="28">
        <f>K1157-M1157</f>
        <v>424866.965</v>
      </c>
      <c r="P1157" s="9" t="s">
        <v>10</v>
      </c>
      <c r="Q1157" s="2">
        <v>45828</v>
      </c>
      <c r="R1157" s="38"/>
      <c r="S1157" s="52"/>
      <c r="T1157" s="4">
        <f>R480*45%</f>
        <v>265.5</v>
      </c>
      <c r="U1157" s="5"/>
      <c r="V1157" s="4">
        <f>(S1157+T1157)-U1157</f>
        <v>265.5</v>
      </c>
      <c r="W1157" s="4">
        <f>V1157+AA1156</f>
        <v>164470.435</v>
      </c>
      <c r="X1157" s="3"/>
      <c r="Y1157" s="3"/>
      <c r="Z1157" s="25">
        <f>U1157+Y1157</f>
        <v>0</v>
      </c>
      <c r="AA1157" s="76">
        <f>W1157-Y1157</f>
        <v>164470.435</v>
      </c>
      <c r="AB1157" s="9" t="s">
        <v>10</v>
      </c>
      <c r="AC1157" s="19">
        <v>45828</v>
      </c>
      <c r="AD1157" s="41"/>
      <c r="AE1157" s="42"/>
      <c r="AF1157" s="4">
        <f>AD480-H1157-T1157</f>
        <v>429.75</v>
      </c>
      <c r="AG1157" s="3"/>
      <c r="AH1157" s="8"/>
      <c r="AI1157" s="4">
        <f>(AE1157+AF1157)-AH1157</f>
        <v>429.75</v>
      </c>
      <c r="AJ1157" s="4">
        <f>AI1157+BP1156</f>
        <v>-785729.3755</v>
      </c>
      <c r="AK1157" s="8"/>
      <c r="AL1157" s="8"/>
      <c r="AM1157" s="47"/>
      <c r="AN1157" s="47"/>
      <c r="AO1157" s="8"/>
      <c r="AP1157" s="8"/>
      <c r="AQ1157" s="47"/>
      <c r="AR1157" s="47"/>
      <c r="AS1157" s="8"/>
      <c r="AT1157" s="8"/>
      <c r="AU1157" s="47"/>
      <c r="AV1157" s="47"/>
      <c r="AW1157" s="8"/>
      <c r="AX1157" s="8"/>
      <c r="AY1157" s="47"/>
      <c r="AZ1157" s="47"/>
      <c r="BA1157" s="8" t="s">
        <v>341</v>
      </c>
      <c r="BB1157" s="8">
        <v>13</v>
      </c>
      <c r="BC1157" s="47"/>
      <c r="BD1157" s="47"/>
      <c r="BE1157" s="8"/>
      <c r="BF1157" s="8"/>
      <c r="BG1157" s="47"/>
      <c r="BH1157" s="47"/>
      <c r="BI1157" s="8"/>
      <c r="BJ1157" s="3"/>
      <c r="BK1157" s="47"/>
      <c r="BL1157" s="47"/>
      <c r="BM1157" s="46"/>
      <c r="BN1157" s="46"/>
      <c r="BO1157" s="24">
        <f>AL1157+AN1157+AP1157+AR1157+AT1157+AV1157+AX1157+AZ1157+BB1157+BD1157+BF1157+BH1157+BJ1157+BL1157+BN1157</f>
        <v>13</v>
      </c>
      <c r="BP1157" s="28">
        <f>AJ1157-BO1157</f>
        <v>-785742.3755</v>
      </c>
      <c r="BQ1157" s="2">
        <v>45828</v>
      </c>
    </row>
    <row r="1158" spans="1:73" hidden="true">
      <c r="D1158" s="9" t="s">
        <v>11</v>
      </c>
      <c r="E1158" s="2">
        <v>45829</v>
      </c>
      <c r="F1158" s="38"/>
      <c r="G1158" s="51"/>
      <c r="H1158" s="4">
        <f>F481*50%</f>
        <v>330.85</v>
      </c>
      <c r="I1158" s="120"/>
      <c r="J1158" s="4">
        <f>(G1158+H1158)-I1158</f>
        <v>330.85</v>
      </c>
      <c r="K1158" s="4">
        <f>J1158+O1157</f>
        <v>425197.815</v>
      </c>
      <c r="L1158" s="3"/>
      <c r="M1158" s="3"/>
      <c r="N1158" s="33">
        <f>I1158+M1158</f>
        <v>0</v>
      </c>
      <c r="O1158" s="28">
        <f>K1158-M1158</f>
        <v>425197.815</v>
      </c>
      <c r="P1158" s="9" t="s">
        <v>11</v>
      </c>
      <c r="Q1158" s="2">
        <v>45829</v>
      </c>
      <c r="R1158" s="38"/>
      <c r="S1158" s="52"/>
      <c r="T1158" s="4">
        <f>R481*45%</f>
        <v>518.4</v>
      </c>
      <c r="U1158" s="5"/>
      <c r="V1158" s="4">
        <f>(S1158+T1158)-U1158</f>
        <v>518.4</v>
      </c>
      <c r="W1158" s="4">
        <f>V1158+AA1157</f>
        <v>164988.835</v>
      </c>
      <c r="X1158" s="3"/>
      <c r="Y1158" s="3"/>
      <c r="Z1158" s="25">
        <f>U1158+Y1158</f>
        <v>0</v>
      </c>
      <c r="AA1158" s="76">
        <f>W1158-Y1158</f>
        <v>164988.835</v>
      </c>
      <c r="AB1158" s="9" t="s">
        <v>11</v>
      </c>
      <c r="AC1158" s="19">
        <v>45829</v>
      </c>
      <c r="AD1158" s="41"/>
      <c r="AE1158" s="42"/>
      <c r="AF1158" s="4">
        <f>AD481-H1158-T1158</f>
        <v>964.45</v>
      </c>
      <c r="AG1158" s="3"/>
      <c r="AH1158" s="8"/>
      <c r="AI1158" s="4">
        <f>(AE1158+AF1158)-AH1158</f>
        <v>964.45</v>
      </c>
      <c r="AJ1158" s="4">
        <f>AI1158+BP1157</f>
        <v>-784777.9255</v>
      </c>
      <c r="AK1158" s="8" t="s">
        <v>41</v>
      </c>
      <c r="AL1158" s="8">
        <f>1940.46+2701</f>
        <v>4641.46</v>
      </c>
      <c r="AM1158" s="47" t="s">
        <v>537</v>
      </c>
      <c r="AN1158" s="47">
        <v>502.71</v>
      </c>
      <c r="AO1158" s="8"/>
      <c r="AP1158" s="8"/>
      <c r="AQ1158" s="47"/>
      <c r="AR1158" s="47"/>
      <c r="AS1158" s="8"/>
      <c r="AT1158" s="8"/>
      <c r="AU1158" s="47"/>
      <c r="AV1158" s="47"/>
      <c r="AW1158" s="8"/>
      <c r="AX1158" s="8"/>
      <c r="AY1158" s="47"/>
      <c r="AZ1158" s="47"/>
      <c r="BA1158" s="8" t="s">
        <v>538</v>
      </c>
      <c r="BB1158" s="8">
        <f>97+65</f>
        <v>162</v>
      </c>
      <c r="BC1158" s="47"/>
      <c r="BD1158" s="47"/>
      <c r="BE1158" s="8"/>
      <c r="BF1158" s="8"/>
      <c r="BG1158" s="47"/>
      <c r="BH1158" s="47"/>
      <c r="BI1158" s="8"/>
      <c r="BJ1158" s="3"/>
      <c r="BK1158" s="47"/>
      <c r="BL1158" s="47"/>
      <c r="BM1158" s="46"/>
      <c r="BN1158" s="46"/>
      <c r="BO1158" s="24">
        <f>AL1158+AN1158+AP1158+AR1158+AT1158+AV1158+AX1158+AZ1158+BB1158+BD1158+BF1158+BH1158+BJ1158+BL1158+BN1158</f>
        <v>5306.17</v>
      </c>
      <c r="BP1158" s="28">
        <f>AJ1158-BO1158</f>
        <v>-790084.0955</v>
      </c>
      <c r="BQ1158" s="2">
        <v>45829</v>
      </c>
    </row>
    <row r="1159" spans="1:73" hidden="true">
      <c r="D1159" s="9" t="s">
        <v>12</v>
      </c>
      <c r="E1159" s="2">
        <v>45830</v>
      </c>
      <c r="F1159" s="38"/>
      <c r="G1159" s="51"/>
      <c r="H1159" s="4">
        <f>F482*50%</f>
        <v>339.15</v>
      </c>
      <c r="I1159" s="120"/>
      <c r="J1159" s="4">
        <f>(G1159+H1159)-I1159</f>
        <v>339.15</v>
      </c>
      <c r="K1159" s="4">
        <f>J1159+O1158</f>
        <v>425536.965</v>
      </c>
      <c r="L1159" s="3"/>
      <c r="M1159" s="3"/>
      <c r="N1159" s="33">
        <f>I1159+M1159</f>
        <v>0</v>
      </c>
      <c r="O1159" s="28">
        <f>K1159-M1159</f>
        <v>425536.965</v>
      </c>
      <c r="P1159" s="9" t="s">
        <v>12</v>
      </c>
      <c r="Q1159" s="2">
        <v>45830</v>
      </c>
      <c r="R1159" s="38"/>
      <c r="S1159" s="52"/>
      <c r="T1159" s="4">
        <f>R482*45%</f>
        <v>785.7</v>
      </c>
      <c r="U1159" s="5"/>
      <c r="V1159" s="4">
        <f>(S1159+T1159)-U1159</f>
        <v>785.7</v>
      </c>
      <c r="W1159" s="4">
        <f>V1159+AA1158</f>
        <v>165774.535</v>
      </c>
      <c r="X1159" s="3"/>
      <c r="Y1159" s="3"/>
      <c r="Z1159" s="25">
        <f>U1159+Y1159</f>
        <v>0</v>
      </c>
      <c r="AA1159" s="76">
        <f>W1159-Y1159</f>
        <v>165774.535</v>
      </c>
      <c r="AB1159" s="9" t="s">
        <v>12</v>
      </c>
      <c r="AC1159" s="19">
        <v>45830</v>
      </c>
      <c r="AD1159" s="41"/>
      <c r="AE1159" s="42"/>
      <c r="AF1159" s="4">
        <f>AD482-H1159-T1159</f>
        <v>1299.45</v>
      </c>
      <c r="AG1159" s="3"/>
      <c r="AH1159" s="8"/>
      <c r="AI1159" s="4">
        <f>(AE1159+AF1159)-AH1159</f>
        <v>1299.45</v>
      </c>
      <c r="AJ1159" s="4">
        <f>AI1159+BP1158</f>
        <v>-788784.6455</v>
      </c>
      <c r="AK1159" s="8" t="s">
        <v>41</v>
      </c>
      <c r="AL1159" s="8">
        <v>2000</v>
      </c>
      <c r="AM1159" s="47"/>
      <c r="AN1159" s="47"/>
      <c r="AO1159" s="8"/>
      <c r="AP1159" s="8"/>
      <c r="AQ1159" s="47"/>
      <c r="AR1159" s="47"/>
      <c r="AS1159" s="8"/>
      <c r="AT1159" s="8"/>
      <c r="AU1159" s="47"/>
      <c r="AV1159" s="47"/>
      <c r="AW1159" s="8"/>
      <c r="AX1159" s="8"/>
      <c r="AY1159" s="47"/>
      <c r="AZ1159" s="47"/>
      <c r="BA1159" s="8" t="s">
        <v>539</v>
      </c>
      <c r="BB1159" s="8">
        <f>97+54.2</f>
        <v>151.2</v>
      </c>
      <c r="BC1159" s="47"/>
      <c r="BD1159" s="47"/>
      <c r="BE1159" s="8"/>
      <c r="BF1159" s="8"/>
      <c r="BG1159" s="47"/>
      <c r="BH1159" s="47"/>
      <c r="BI1159" s="8"/>
      <c r="BJ1159" s="3"/>
      <c r="BK1159" s="47"/>
      <c r="BL1159" s="47"/>
      <c r="BM1159" s="46"/>
      <c r="BN1159" s="46"/>
      <c r="BO1159" s="24">
        <f>AL1159+AN1159+AP1159+AR1159+AT1159+AV1159+AX1159+AZ1159+BB1159+BD1159+BF1159+BH1159+BJ1159+BL1159+BN1159</f>
        <v>2151.2</v>
      </c>
      <c r="BP1159" s="28">
        <f>AJ1159-BO1159</f>
        <v>-790935.8455</v>
      </c>
      <c r="BQ1159" s="2">
        <v>45830</v>
      </c>
    </row>
    <row r="1160" spans="1:73" hidden="true">
      <c r="D1160" s="9" t="s">
        <v>13</v>
      </c>
      <c r="E1160" s="2">
        <v>45831</v>
      </c>
      <c r="F1160" s="38"/>
      <c r="G1160" s="51"/>
      <c r="H1160" s="4">
        <f>F483*50%</f>
        <v>115.4</v>
      </c>
      <c r="I1160" s="120"/>
      <c r="J1160" s="4">
        <f>(G1160+H1160)-I1160</f>
        <v>115.4</v>
      </c>
      <c r="K1160" s="4">
        <f>J1160+O1159</f>
        <v>425652.365</v>
      </c>
      <c r="L1160" s="3"/>
      <c r="M1160" s="3"/>
      <c r="N1160" s="33">
        <f>I1160+M1160</f>
        <v>0</v>
      </c>
      <c r="O1160" s="28">
        <f>K1160-M1160</f>
        <v>425652.365</v>
      </c>
      <c r="P1160" s="9" t="s">
        <v>13</v>
      </c>
      <c r="Q1160" s="2">
        <v>45831</v>
      </c>
      <c r="R1160" s="38"/>
      <c r="S1160" s="52"/>
      <c r="T1160" s="4">
        <f>R483*45%</f>
        <v>1058.4</v>
      </c>
      <c r="U1160" s="5"/>
      <c r="V1160" s="4">
        <f>(S1160+T1160)-U1160</f>
        <v>1058.4</v>
      </c>
      <c r="W1160" s="4">
        <f>V1160+AA1159</f>
        <v>166832.935</v>
      </c>
      <c r="X1160" s="3"/>
      <c r="Y1160" s="3"/>
      <c r="Z1160" s="25">
        <f>U1160+Y1160</f>
        <v>0</v>
      </c>
      <c r="AA1160" s="76">
        <f>W1160-Y1160</f>
        <v>166832.935</v>
      </c>
      <c r="AB1160" s="9" t="s">
        <v>13</v>
      </c>
      <c r="AC1160" s="19">
        <v>45831</v>
      </c>
      <c r="AD1160" s="41"/>
      <c r="AE1160" s="42"/>
      <c r="AF1160" s="4">
        <f>AD483-H1160-T1160</f>
        <v>1409</v>
      </c>
      <c r="AG1160" s="3"/>
      <c r="AH1160" s="8"/>
      <c r="AI1160" s="4">
        <f>(AE1160+AF1160)-AH1160</f>
        <v>1409</v>
      </c>
      <c r="AJ1160" s="4">
        <f>AI1160+BP1159</f>
        <v>-789526.8455</v>
      </c>
      <c r="AK1160" s="8" t="s">
        <v>41</v>
      </c>
      <c r="AL1160" s="8">
        <v>2000</v>
      </c>
      <c r="AM1160" s="47" t="s">
        <v>540</v>
      </c>
      <c r="AN1160" s="47">
        <v>502.71</v>
      </c>
      <c r="AO1160" s="8"/>
      <c r="AP1160" s="8"/>
      <c r="AQ1160" s="47"/>
      <c r="AR1160" s="47"/>
      <c r="AS1160" s="8"/>
      <c r="AT1160" s="8"/>
      <c r="AU1160" s="47"/>
      <c r="AV1160" s="47"/>
      <c r="AW1160" s="8"/>
      <c r="AX1160" s="8"/>
      <c r="AY1160" s="47"/>
      <c r="AZ1160" s="47"/>
      <c r="BA1160" s="8" t="s">
        <v>341</v>
      </c>
      <c r="BB1160" s="8">
        <v>194.2</v>
      </c>
      <c r="BC1160" s="47"/>
      <c r="BD1160" s="47"/>
      <c r="BE1160" s="8"/>
      <c r="BF1160" s="8"/>
      <c r="BG1160" s="47"/>
      <c r="BH1160" s="47"/>
      <c r="BI1160" s="8"/>
      <c r="BJ1160" s="3"/>
      <c r="BK1160" s="47"/>
      <c r="BL1160" s="47"/>
      <c r="BM1160" s="46"/>
      <c r="BN1160" s="46"/>
      <c r="BO1160" s="24">
        <f>AL1160+AN1160+AP1160+AR1160+AT1160+AV1160+AX1160+AZ1160+BB1160+BD1160+BF1160+BH1160+BJ1160+BL1160+BN1160</f>
        <v>2696.91</v>
      </c>
      <c r="BP1160" s="28">
        <f>AJ1160-BO1160</f>
        <v>-792223.7555</v>
      </c>
      <c r="BQ1160" s="2">
        <v>45831</v>
      </c>
    </row>
    <row r="1161" spans="1:73" hidden="true">
      <c r="D1161" s="9" t="s">
        <v>14</v>
      </c>
      <c r="E1161" s="2">
        <v>45832</v>
      </c>
      <c r="F1161" s="38"/>
      <c r="G1161" s="51"/>
      <c r="H1161" s="4">
        <f>F484*50%</f>
        <v>101.95</v>
      </c>
      <c r="I1161" s="120"/>
      <c r="J1161" s="4">
        <f>(G1161+H1161)-I1161</f>
        <v>101.95</v>
      </c>
      <c r="K1161" s="4">
        <f>J1161+O1160</f>
        <v>425754.315</v>
      </c>
      <c r="L1161" s="3"/>
      <c r="M1161" s="3"/>
      <c r="N1161" s="33">
        <f>I1161+M1161</f>
        <v>0</v>
      </c>
      <c r="O1161" s="28">
        <f>K1161-M1161</f>
        <v>425754.315</v>
      </c>
      <c r="P1161" s="9" t="s">
        <v>14</v>
      </c>
      <c r="Q1161" s="2">
        <v>45832</v>
      </c>
      <c r="R1161" s="38"/>
      <c r="S1161" s="52"/>
      <c r="T1161" s="4">
        <f>R484*45%</f>
        <v>384.75</v>
      </c>
      <c r="U1161" s="5"/>
      <c r="V1161" s="4">
        <f>(S1161+T1161)-U1161</f>
        <v>384.75</v>
      </c>
      <c r="W1161" s="4">
        <f>V1161+AA1160</f>
        <v>167217.685</v>
      </c>
      <c r="X1161" s="3"/>
      <c r="Y1161" s="3"/>
      <c r="Z1161" s="25">
        <f>U1161+Y1161</f>
        <v>0</v>
      </c>
      <c r="AA1161" s="76">
        <f>W1161-Y1161</f>
        <v>167217.685</v>
      </c>
      <c r="AB1161" s="9" t="s">
        <v>14</v>
      </c>
      <c r="AC1161" s="19">
        <v>45832</v>
      </c>
      <c r="AD1161" s="41"/>
      <c r="AE1161" s="42"/>
      <c r="AF1161" s="4">
        <f>AD484-H1161-T1161</f>
        <v>572.2</v>
      </c>
      <c r="AG1161" s="3"/>
      <c r="AH1161" s="8"/>
      <c r="AI1161" s="4">
        <f>(AE1161+AF1161)-AH1161</f>
        <v>572.2</v>
      </c>
      <c r="AJ1161" s="4">
        <f>AI1161+BP1160</f>
        <v>-791651.5555</v>
      </c>
      <c r="AK1161" s="8"/>
      <c r="AL1161" s="8"/>
      <c r="AM1161" s="47" t="s">
        <v>540</v>
      </c>
      <c r="AN1161" s="47">
        <v>3222.91</v>
      </c>
      <c r="AO1161" s="8"/>
      <c r="AP1161" s="8"/>
      <c r="AQ1161" s="47"/>
      <c r="AR1161" s="47"/>
      <c r="AS1161" s="8"/>
      <c r="AT1161" s="8"/>
      <c r="AU1161" s="47"/>
      <c r="AV1161" s="47"/>
      <c r="AW1161" s="8"/>
      <c r="AX1161" s="8"/>
      <c r="AY1161" s="47"/>
      <c r="AZ1161" s="47"/>
      <c r="BA1161" s="8"/>
      <c r="BB1161" s="8"/>
      <c r="BC1161" s="47"/>
      <c r="BD1161" s="47"/>
      <c r="BE1161" s="8"/>
      <c r="BF1161" s="8"/>
      <c r="BG1161" s="47" t="s">
        <v>98</v>
      </c>
      <c r="BH1161" s="47">
        <f>1500+1500</f>
        <v>3000</v>
      </c>
      <c r="BI1161" s="8"/>
      <c r="BJ1161" s="3"/>
      <c r="BK1161" s="47"/>
      <c r="BL1161" s="47"/>
      <c r="BM1161" s="46"/>
      <c r="BN1161" s="46"/>
      <c r="BO1161" s="24">
        <f>AL1161+AN1161+AP1161+AR1161+AT1161+AV1161+AX1161+AZ1161+BB1161+BD1161+BF1161+BH1161+BJ1161+BL1161+BN1161</f>
        <v>6222.91</v>
      </c>
      <c r="BP1161" s="28">
        <f>AJ1161-BO1161</f>
        <v>-797874.4655</v>
      </c>
      <c r="BQ1161" s="2">
        <v>45832</v>
      </c>
    </row>
    <row r="1162" spans="1:73" hidden="true">
      <c r="D1162" s="9" t="s">
        <v>15</v>
      </c>
      <c r="E1162" s="2">
        <v>45833</v>
      </c>
      <c r="F1162" s="38"/>
      <c r="G1162" s="51"/>
      <c r="H1162" s="4">
        <f>F485*50%</f>
        <v>197.35</v>
      </c>
      <c r="I1162" s="120"/>
      <c r="J1162" s="4">
        <f>(G1162+H1162)-I1162</f>
        <v>197.35</v>
      </c>
      <c r="K1162" s="4">
        <f>J1162+O1161</f>
        <v>425951.665</v>
      </c>
      <c r="L1162" s="3"/>
      <c r="M1162" s="3"/>
      <c r="N1162" s="33">
        <f>I1162+M1162</f>
        <v>0</v>
      </c>
      <c r="O1162" s="28">
        <f>K1162-M1162</f>
        <v>425951.665</v>
      </c>
      <c r="P1162" s="9" t="s">
        <v>15</v>
      </c>
      <c r="Q1162" s="2">
        <v>45833</v>
      </c>
      <c r="R1162" s="38"/>
      <c r="S1162" s="52"/>
      <c r="T1162" s="4">
        <f>R485*45%</f>
        <v>1206</v>
      </c>
      <c r="U1162" s="5"/>
      <c r="V1162" s="4">
        <f>(S1162+T1162)-U1162</f>
        <v>1206</v>
      </c>
      <c r="W1162" s="4">
        <f>V1162+AA1161</f>
        <v>168423.685</v>
      </c>
      <c r="X1162" s="3"/>
      <c r="Y1162" s="3"/>
      <c r="Z1162" s="25">
        <f>U1162+Y1162</f>
        <v>0</v>
      </c>
      <c r="AA1162" s="76">
        <f>W1162-Y1162</f>
        <v>168423.685</v>
      </c>
      <c r="AB1162" s="9" t="s">
        <v>15</v>
      </c>
      <c r="AC1162" s="19">
        <v>45833</v>
      </c>
      <c r="AD1162" s="41"/>
      <c r="AE1162" s="42"/>
      <c r="AF1162" s="4">
        <f>AD485-H1162-T1162</f>
        <v>1671.35</v>
      </c>
      <c r="AG1162" s="3"/>
      <c r="AH1162" s="8"/>
      <c r="AI1162" s="4">
        <f>(AE1162+AF1162)-AH1162</f>
        <v>1671.35</v>
      </c>
      <c r="AJ1162" s="4">
        <f>AI1162+BP1161</f>
        <v>-796203.1155</v>
      </c>
      <c r="AK1162" s="8"/>
      <c r="AL1162" s="8"/>
      <c r="AM1162" s="47"/>
      <c r="AN1162" s="47"/>
      <c r="AO1162" s="8"/>
      <c r="AP1162" s="8"/>
      <c r="AQ1162" s="47"/>
      <c r="AR1162" s="47"/>
      <c r="AS1162" s="8"/>
      <c r="AT1162" s="8"/>
      <c r="AU1162" s="47"/>
      <c r="AV1162" s="47"/>
      <c r="AW1162" s="8"/>
      <c r="AX1162" s="8"/>
      <c r="AY1162" s="47"/>
      <c r="AZ1162" s="47"/>
      <c r="BA1162" s="8" t="s">
        <v>341</v>
      </c>
      <c r="BB1162" s="8">
        <v>28</v>
      </c>
      <c r="BC1162" s="47"/>
      <c r="BD1162" s="47"/>
      <c r="BE1162" s="8"/>
      <c r="BF1162" s="8"/>
      <c r="BG1162" s="47"/>
      <c r="BH1162" s="47"/>
      <c r="BI1162" s="8"/>
      <c r="BJ1162" s="3"/>
      <c r="BK1162" s="47"/>
      <c r="BL1162" s="47"/>
      <c r="BM1162" s="46"/>
      <c r="BN1162" s="46"/>
      <c r="BO1162" s="24">
        <f>AL1162+AN1162+AP1162+AR1162+AT1162+AV1162+AX1162+AZ1162+BB1162+BD1162+BF1162+BH1162+BJ1162+BL1162+BN1162</f>
        <v>28</v>
      </c>
      <c r="BP1162" s="28">
        <f>AJ1162-BO1162</f>
        <v>-796231.1155</v>
      </c>
      <c r="BQ1162" s="2">
        <v>45833</v>
      </c>
    </row>
    <row r="1163" spans="1:73" hidden="true">
      <c r="D1163" s="9" t="s">
        <v>16</v>
      </c>
      <c r="E1163" s="2">
        <v>45834</v>
      </c>
      <c r="F1163" s="38" t="s">
        <v>461</v>
      </c>
      <c r="G1163" s="126">
        <v>2300</v>
      </c>
      <c r="H1163" s="4">
        <f>F486*50%</f>
        <v>193.075</v>
      </c>
      <c r="I1163" s="120"/>
      <c r="J1163" s="4">
        <f>(G1163+H1163)-I1163</f>
        <v>2493.075</v>
      </c>
      <c r="K1163" s="4">
        <f>J1163+O1162</f>
        <v>428444.74</v>
      </c>
      <c r="L1163" s="3"/>
      <c r="M1163" s="3"/>
      <c r="N1163" s="33">
        <f>I1163+M1163</f>
        <v>0</v>
      </c>
      <c r="O1163" s="28">
        <f>K1163-M1163</f>
        <v>428444.74</v>
      </c>
      <c r="P1163" s="9" t="s">
        <v>16</v>
      </c>
      <c r="Q1163" s="2">
        <v>45834</v>
      </c>
      <c r="R1163" s="38"/>
      <c r="S1163" s="52"/>
      <c r="T1163" s="4">
        <f>R486*45%</f>
        <v>563.4</v>
      </c>
      <c r="U1163" s="5"/>
      <c r="V1163" s="4">
        <f>(S1163+T1163)-U1163</f>
        <v>563.4</v>
      </c>
      <c r="W1163" s="4">
        <f>V1163+AA1162</f>
        <v>168987.085</v>
      </c>
      <c r="X1163" s="3"/>
      <c r="Y1163" s="3"/>
      <c r="Z1163" s="25">
        <f>U1163+Y1163</f>
        <v>0</v>
      </c>
      <c r="AA1163" s="76">
        <f>W1163-Y1163</f>
        <v>168987.085</v>
      </c>
      <c r="AB1163" s="9" t="s">
        <v>16</v>
      </c>
      <c r="AC1163" s="19">
        <v>45834</v>
      </c>
      <c r="AD1163" s="41"/>
      <c r="AE1163" s="42"/>
      <c r="AF1163" s="4">
        <f>AD486-H1163-T1163</f>
        <v>881.675</v>
      </c>
      <c r="AG1163" s="3"/>
      <c r="AH1163" s="8"/>
      <c r="AI1163" s="4">
        <f>(AE1163+AF1163)-AH1163</f>
        <v>881.675</v>
      </c>
      <c r="AJ1163" s="4">
        <f>AI1163+BP1162</f>
        <v>-795349.4405</v>
      </c>
      <c r="AK1163" s="8" t="s">
        <v>41</v>
      </c>
      <c r="AL1163" s="8">
        <f>1000+2000</f>
        <v>3000</v>
      </c>
      <c r="AM1163" s="47"/>
      <c r="AN1163" s="47"/>
      <c r="AO1163" s="8"/>
      <c r="AP1163" s="8"/>
      <c r="AQ1163" s="47"/>
      <c r="AR1163" s="47"/>
      <c r="AS1163" s="8"/>
      <c r="AT1163" s="8"/>
      <c r="AU1163" s="47"/>
      <c r="AV1163" s="47"/>
      <c r="AW1163" s="8"/>
      <c r="AX1163" s="8"/>
      <c r="AY1163" s="47"/>
      <c r="AZ1163" s="47"/>
      <c r="BA1163" s="8" t="s">
        <v>341</v>
      </c>
      <c r="BB1163" s="8">
        <v>22</v>
      </c>
      <c r="BC1163" s="47"/>
      <c r="BD1163" s="47"/>
      <c r="BE1163" s="8"/>
      <c r="BF1163" s="8"/>
      <c r="BG1163" s="47" t="s">
        <v>98</v>
      </c>
      <c r="BH1163" s="47">
        <v>1200</v>
      </c>
      <c r="BI1163" s="8"/>
      <c r="BJ1163" s="3"/>
      <c r="BK1163" s="47"/>
      <c r="BL1163" s="47"/>
      <c r="BM1163" s="46"/>
      <c r="BN1163" s="46"/>
      <c r="BO1163" s="24">
        <f>AL1163+AN1163+AP1163+AR1163+AT1163+AV1163+AX1163+AZ1163+BB1163+BD1163+BF1163+BH1163+BJ1163+BL1163+BN1163</f>
        <v>4222</v>
      </c>
      <c r="BP1163" s="28">
        <f>AJ1163-BO1163</f>
        <v>-799571.4405</v>
      </c>
      <c r="BQ1163" s="2">
        <v>45834</v>
      </c>
    </row>
    <row r="1164" spans="1:73" hidden="true">
      <c r="D1164" s="9" t="s">
        <v>10</v>
      </c>
      <c r="E1164" s="2">
        <v>45835</v>
      </c>
      <c r="F1164" s="38"/>
      <c r="G1164" s="51"/>
      <c r="H1164" s="4">
        <f>F487*50%</f>
        <v>64</v>
      </c>
      <c r="I1164" s="120"/>
      <c r="J1164" s="4">
        <f>(G1164+H1164)-I1164</f>
        <v>64</v>
      </c>
      <c r="K1164" s="4">
        <f>J1164+O1163</f>
        <v>428508.74</v>
      </c>
      <c r="L1164" s="3" t="s">
        <v>541</v>
      </c>
      <c r="M1164" s="3">
        <v>4500</v>
      </c>
      <c r="N1164" s="33"/>
      <c r="O1164" s="28">
        <f>K1164-M1164</f>
        <v>424008.74</v>
      </c>
      <c r="P1164" s="9" t="s">
        <v>10</v>
      </c>
      <c r="Q1164" s="2">
        <v>45835</v>
      </c>
      <c r="R1164" s="38"/>
      <c r="S1164" s="52"/>
      <c r="T1164" s="4">
        <f>R487*45%</f>
        <v>629.1</v>
      </c>
      <c r="U1164" s="5"/>
      <c r="V1164" s="4">
        <f>(S1164+T1164)-U1164</f>
        <v>629.1</v>
      </c>
      <c r="W1164" s="4">
        <f>V1164+AA1163</f>
        <v>169616.185</v>
      </c>
      <c r="X1164" s="3"/>
      <c r="Y1164" s="3"/>
      <c r="Z1164" s="25">
        <f>U1164+Y1164</f>
        <v>0</v>
      </c>
      <c r="AA1164" s="76">
        <f>W1164-Y1164</f>
        <v>169616.185</v>
      </c>
      <c r="AB1164" s="9" t="s">
        <v>10</v>
      </c>
      <c r="AC1164" s="19">
        <v>45835</v>
      </c>
      <c r="AD1164" s="41"/>
      <c r="AE1164" s="42"/>
      <c r="AF1164" s="4">
        <f>AD487-H1164-T1164</f>
        <v>832.9</v>
      </c>
      <c r="AG1164" s="3"/>
      <c r="AH1164" s="8"/>
      <c r="AI1164" s="4">
        <f>(AE1164+AF1164)-AH1164</f>
        <v>832.9</v>
      </c>
      <c r="AJ1164" s="4">
        <f>AI1164+BP1163</f>
        <v>-798738.5405</v>
      </c>
      <c r="AK1164" s="8"/>
      <c r="AL1164" s="8"/>
      <c r="AM1164" s="47"/>
      <c r="AN1164" s="47"/>
      <c r="AO1164" s="8" t="s">
        <v>542</v>
      </c>
      <c r="AP1164" s="8">
        <v>1610.4</v>
      </c>
      <c r="AQ1164" s="47"/>
      <c r="AR1164" s="47"/>
      <c r="AS1164" s="8"/>
      <c r="AT1164" s="8"/>
      <c r="AU1164" s="47"/>
      <c r="AV1164" s="47"/>
      <c r="AW1164" s="8"/>
      <c r="AX1164" s="8"/>
      <c r="AY1164" s="47"/>
      <c r="AZ1164" s="47"/>
      <c r="BA1164" s="8" t="s">
        <v>341</v>
      </c>
      <c r="BB1164" s="8">
        <v>39</v>
      </c>
      <c r="BC1164" s="47"/>
      <c r="BD1164" s="47"/>
      <c r="BE1164" s="8"/>
      <c r="BF1164" s="8"/>
      <c r="BG1164" s="47"/>
      <c r="BH1164" s="47"/>
      <c r="BI1164" s="8"/>
      <c r="BJ1164" s="3"/>
      <c r="BK1164" s="47"/>
      <c r="BL1164" s="47"/>
      <c r="BM1164" s="46"/>
      <c r="BN1164" s="46"/>
      <c r="BO1164" s="24">
        <f>AL1164+AN1164+AP1164+AR1164+AT1164+AV1164+AX1164+AZ1164+BB1164+BD1164+BF1164+BH1164+BJ1164+BL1164+BN1164</f>
        <v>1649.4</v>
      </c>
      <c r="BP1164" s="28">
        <f>AJ1164-BO1164</f>
        <v>-800387.9405</v>
      </c>
      <c r="BQ1164" s="2">
        <v>45835</v>
      </c>
    </row>
    <row r="1165" spans="1:73" hidden="true">
      <c r="D1165" s="9" t="s">
        <v>11</v>
      </c>
      <c r="E1165" s="2">
        <v>45836</v>
      </c>
      <c r="F1165" s="38"/>
      <c r="G1165" s="51"/>
      <c r="H1165" s="4">
        <f>F488*50%</f>
        <v>59.85</v>
      </c>
      <c r="I1165" s="120">
        <f>708+330</f>
        <v>1038</v>
      </c>
      <c r="J1165" s="4">
        <f>(G1165+H1165)-I1165</f>
        <v>-978.15</v>
      </c>
      <c r="K1165" s="4">
        <f>J1165+O1164</f>
        <v>423030.59</v>
      </c>
      <c r="L1165" s="3"/>
      <c r="M1165" s="3"/>
      <c r="N1165" s="33">
        <f>I1165+M1165</f>
        <v>1038</v>
      </c>
      <c r="O1165" s="28">
        <f>K1165-M1165</f>
        <v>423030.59</v>
      </c>
      <c r="P1165" s="9" t="s">
        <v>11</v>
      </c>
      <c r="Q1165" s="2">
        <v>45836</v>
      </c>
      <c r="R1165" s="38"/>
      <c r="S1165" s="52"/>
      <c r="T1165" s="4">
        <f>R488*45%</f>
        <v>925.2</v>
      </c>
      <c r="U1165" s="5"/>
      <c r="V1165" s="4">
        <f>(S1165+T1165)-U1165</f>
        <v>925.2</v>
      </c>
      <c r="W1165" s="4">
        <f>V1165+AA1164</f>
        <v>170541.385</v>
      </c>
      <c r="X1165" s="3"/>
      <c r="Y1165" s="3"/>
      <c r="Z1165" s="25">
        <f>U1165+Y1165</f>
        <v>0</v>
      </c>
      <c r="AA1165" s="76">
        <f>W1165-Y1165</f>
        <v>170541.385</v>
      </c>
      <c r="AB1165" s="9" t="s">
        <v>11</v>
      </c>
      <c r="AC1165" s="19">
        <v>45836</v>
      </c>
      <c r="AD1165" s="41"/>
      <c r="AE1165" s="42"/>
      <c r="AF1165" s="4">
        <f>AD488-H1165-T1165</f>
        <v>1190.65</v>
      </c>
      <c r="AG1165" s="3"/>
      <c r="AH1165" s="8"/>
      <c r="AI1165" s="4">
        <f>(AE1165+AF1165)-AH1165</f>
        <v>1190.65</v>
      </c>
      <c r="AJ1165" s="4">
        <f>AI1165+BP1164</f>
        <v>-799197.2905</v>
      </c>
      <c r="AK1165" s="8"/>
      <c r="AL1165" s="8"/>
      <c r="AM1165" s="47"/>
      <c r="AN1165" s="47"/>
      <c r="AO1165" s="8"/>
      <c r="AP1165" s="8"/>
      <c r="AQ1165" s="47"/>
      <c r="AR1165" s="47"/>
      <c r="AS1165" s="8"/>
      <c r="AT1165" s="8"/>
      <c r="AU1165" s="47"/>
      <c r="AV1165" s="47"/>
      <c r="AW1165" s="8"/>
      <c r="AX1165" s="8"/>
      <c r="AY1165" s="47"/>
      <c r="AZ1165" s="47"/>
      <c r="BA1165" s="8" t="s">
        <v>341</v>
      </c>
      <c r="BB1165" s="8">
        <v>54</v>
      </c>
      <c r="BC1165" s="47"/>
      <c r="BD1165" s="47"/>
      <c r="BE1165" s="8"/>
      <c r="BF1165" s="8"/>
      <c r="BG1165" s="47"/>
      <c r="BH1165" s="47"/>
      <c r="BI1165" s="8"/>
      <c r="BJ1165" s="3"/>
      <c r="BK1165" s="47"/>
      <c r="BL1165" s="47"/>
      <c r="BM1165" s="46"/>
      <c r="BN1165" s="46"/>
      <c r="BO1165" s="24">
        <f>AL1165+AN1165+AP1165+AR1165+AT1165+AV1165+AX1165+AZ1165+BB1165+BD1165+BF1165+BH1165+BJ1165+BL1165+BN1165+N1165</f>
        <v>1092</v>
      </c>
      <c r="BP1165" s="28">
        <f>AJ1165-BO1165</f>
        <v>-800289.2905</v>
      </c>
      <c r="BQ1165" s="2">
        <v>45836</v>
      </c>
    </row>
    <row r="1166" spans="1:73" hidden="true">
      <c r="D1166" s="9" t="s">
        <v>12</v>
      </c>
      <c r="E1166" s="2">
        <v>45837</v>
      </c>
      <c r="F1166" s="38"/>
      <c r="G1166" s="51"/>
      <c r="H1166" s="4">
        <f>F489*50%</f>
        <v>147.95</v>
      </c>
      <c r="I1166" s="120"/>
      <c r="J1166" s="4">
        <f>(G1166+H1166)-I1166</f>
        <v>147.95</v>
      </c>
      <c r="K1166" s="4">
        <f>J1166+O1165</f>
        <v>423178.54</v>
      </c>
      <c r="L1166" s="3"/>
      <c r="M1166" s="3"/>
      <c r="N1166" s="33">
        <f>I1166+M1166</f>
        <v>0</v>
      </c>
      <c r="O1166" s="28">
        <f>K1166-M1166</f>
        <v>423178.54</v>
      </c>
      <c r="P1166" s="9" t="s">
        <v>12</v>
      </c>
      <c r="Q1166" s="2">
        <v>45837</v>
      </c>
      <c r="R1166" s="38"/>
      <c r="S1166" s="52"/>
      <c r="T1166" s="4">
        <f>R489*45%</f>
        <v>495.9</v>
      </c>
      <c r="U1166" s="5"/>
      <c r="V1166" s="4">
        <f>(S1166+T1166)-U1166</f>
        <v>495.9</v>
      </c>
      <c r="W1166" s="4">
        <f>V1166+AA1165</f>
        <v>171037.285</v>
      </c>
      <c r="X1166" s="3"/>
      <c r="Y1166" s="3"/>
      <c r="Z1166" s="25">
        <f>U1166+Y1166</f>
        <v>0</v>
      </c>
      <c r="AA1166" s="76">
        <f>W1166-Y1166</f>
        <v>171037.285</v>
      </c>
      <c r="AB1166" s="9" t="s">
        <v>12</v>
      </c>
      <c r="AC1166" s="19">
        <v>45837</v>
      </c>
      <c r="AD1166" s="41"/>
      <c r="AE1166" s="42"/>
      <c r="AF1166" s="4">
        <f>AD489-H1166-T1166</f>
        <v>754.05</v>
      </c>
      <c r="AG1166" s="3"/>
      <c r="AH1166" s="8"/>
      <c r="AI1166" s="4">
        <f>(AE1166+AF1166)-AH1166</f>
        <v>754.05</v>
      </c>
      <c r="AJ1166" s="4">
        <f>AI1166+BP1165</f>
        <v>-799535.2405</v>
      </c>
      <c r="AK1166" s="8"/>
      <c r="AL1166" s="8"/>
      <c r="AM1166" s="47"/>
      <c r="AN1166" s="47"/>
      <c r="AO1166" s="8"/>
      <c r="AP1166" s="8"/>
      <c r="AQ1166" s="47"/>
      <c r="AR1166" s="47"/>
      <c r="AS1166" s="8"/>
      <c r="AT1166" s="8"/>
      <c r="AU1166" s="47"/>
      <c r="AV1166" s="47"/>
      <c r="AW1166" s="8"/>
      <c r="AX1166" s="8"/>
      <c r="AY1166" s="47"/>
      <c r="AZ1166" s="47"/>
      <c r="BA1166" s="8" t="s">
        <v>341</v>
      </c>
      <c r="BB1166" s="8">
        <v>77</v>
      </c>
      <c r="BC1166" s="47"/>
      <c r="BD1166" s="47"/>
      <c r="BE1166" s="8"/>
      <c r="BF1166" s="8"/>
      <c r="BG1166" s="47" t="s">
        <v>101</v>
      </c>
      <c r="BH1166" s="47">
        <v>300</v>
      </c>
      <c r="BI1166" s="8"/>
      <c r="BJ1166" s="3"/>
      <c r="BK1166" s="47"/>
      <c r="BL1166" s="47"/>
      <c r="BM1166" s="46"/>
      <c r="BN1166" s="46"/>
      <c r="BO1166" s="24">
        <f>AL1166+AN1166+AP1166+AR1166+AT1166+AV1166+AX1166+AZ1166+BB1166+BD1166+BF1166+BH1166+BJ1166+BL1166+BN1166+N1166</f>
        <v>377</v>
      </c>
      <c r="BP1166" s="28">
        <f>AJ1166-BO1166</f>
        <v>-799912.2405</v>
      </c>
      <c r="BQ1166" s="2">
        <v>45837</v>
      </c>
    </row>
    <row r="1167" spans="1:73" hidden="true">
      <c r="D1167" s="9" t="s">
        <v>13</v>
      </c>
      <c r="E1167" s="2">
        <v>45838</v>
      </c>
      <c r="F1167" s="38"/>
      <c r="G1167" s="51"/>
      <c r="H1167" s="4">
        <f>F490*50%</f>
        <v>84.95</v>
      </c>
      <c r="I1167" s="120"/>
      <c r="J1167" s="4">
        <f>(G1167+H1167)-I1167</f>
        <v>84.95</v>
      </c>
      <c r="K1167" s="4">
        <f>J1167+O1166</f>
        <v>423263.49</v>
      </c>
      <c r="L1167" s="3"/>
      <c r="M1167" s="3"/>
      <c r="N1167" s="33">
        <f>I1167+M1167</f>
        <v>0</v>
      </c>
      <c r="O1167" s="28">
        <f>K1167-M1167</f>
        <v>423263.49</v>
      </c>
      <c r="P1167" s="9" t="s">
        <v>13</v>
      </c>
      <c r="Q1167" s="2">
        <v>45838</v>
      </c>
      <c r="R1167" s="38"/>
      <c r="S1167" s="52"/>
      <c r="T1167" s="4">
        <f>R490*45%</f>
        <v>1530.9</v>
      </c>
      <c r="U1167" s="5"/>
      <c r="V1167" s="4">
        <f>(S1167+T1167)-U1167</f>
        <v>1530.9</v>
      </c>
      <c r="W1167" s="4">
        <f>V1167+AA1166</f>
        <v>172568.185</v>
      </c>
      <c r="X1167" s="3"/>
      <c r="Y1167" s="3"/>
      <c r="Z1167" s="25">
        <f>U1167+Y1167</f>
        <v>0</v>
      </c>
      <c r="AA1167" s="76">
        <f>W1167-Y1167</f>
        <v>172568.185</v>
      </c>
      <c r="AB1167" s="9" t="s">
        <v>13</v>
      </c>
      <c r="AC1167" s="19">
        <v>45838</v>
      </c>
      <c r="AD1167" s="41"/>
      <c r="AE1167" s="42"/>
      <c r="AF1167" s="4">
        <f>AD490-H1167-T1167</f>
        <v>1956.05</v>
      </c>
      <c r="AG1167" s="3"/>
      <c r="AH1167" s="8"/>
      <c r="AI1167" s="4">
        <f>(AE1167+AF1167)-AH1167</f>
        <v>1956.05</v>
      </c>
      <c r="AJ1167" s="4">
        <f>AI1167+BP1166</f>
        <v>-797956.1905</v>
      </c>
      <c r="AK1167" s="8"/>
      <c r="AL1167" s="8"/>
      <c r="AM1167" s="47"/>
      <c r="AN1167" s="47"/>
      <c r="AO1167" s="8"/>
      <c r="AP1167" s="8"/>
      <c r="AQ1167" s="47"/>
      <c r="AR1167" s="47"/>
      <c r="AS1167" s="8"/>
      <c r="AT1167" s="8"/>
      <c r="AU1167" s="47"/>
      <c r="AV1167" s="47"/>
      <c r="AW1167" s="8"/>
      <c r="AX1167" s="8"/>
      <c r="AY1167" s="47"/>
      <c r="AZ1167" s="47"/>
      <c r="BA1167" s="8"/>
      <c r="BB1167" s="8"/>
      <c r="BC1167" s="47"/>
      <c r="BD1167" s="47"/>
      <c r="BE1167" s="8"/>
      <c r="BF1167" s="8"/>
      <c r="BG1167" s="47"/>
      <c r="BH1167" s="47"/>
      <c r="BI1167" s="8"/>
      <c r="BJ1167" s="3"/>
      <c r="BK1167" s="47"/>
      <c r="BL1167" s="47"/>
      <c r="BM1167" s="46"/>
      <c r="BN1167" s="46"/>
      <c r="BO1167" s="24">
        <f>AL1167+AN1167+AP1167+AR1167+AT1167+AV1167+AX1167+AZ1167+BB1167+BD1167+BF1167+BH1167+BJ1167+BL1167+BN1167+N1167</f>
        <v>0</v>
      </c>
      <c r="BP1167" s="28">
        <f>AJ1167-BO1167</f>
        <v>-797956.1905</v>
      </c>
      <c r="BQ1167" s="2">
        <v>45838</v>
      </c>
    </row>
    <row r="1168" spans="1:73" hidden="true">
      <c r="D1168" s="9" t="s">
        <v>14</v>
      </c>
      <c r="E1168" s="2">
        <v>45839</v>
      </c>
      <c r="F1168" s="38"/>
      <c r="G1168" s="51"/>
      <c r="H1168" s="4">
        <f>F491*50%</f>
        <v>104.575</v>
      </c>
      <c r="I1168" s="120"/>
      <c r="J1168" s="4">
        <f>(G1168+H1168)-I1168</f>
        <v>104.575</v>
      </c>
      <c r="K1168" s="4">
        <f>J1168+O1167</f>
        <v>423368.065</v>
      </c>
      <c r="L1168" s="3"/>
      <c r="M1168" s="3"/>
      <c r="N1168" s="33">
        <f>I1168+M1168</f>
        <v>0</v>
      </c>
      <c r="O1168" s="28">
        <f>K1168-M1168</f>
        <v>423368.065</v>
      </c>
      <c r="P1168" s="9" t="s">
        <v>14</v>
      </c>
      <c r="Q1168" s="2">
        <v>45839</v>
      </c>
      <c r="R1168" s="38"/>
      <c r="S1168" s="52"/>
      <c r="T1168" s="4">
        <f>R491*45%</f>
        <v>379.8</v>
      </c>
      <c r="U1168" s="5"/>
      <c r="V1168" s="4">
        <f>(S1168+T1168)-U1168</f>
        <v>379.8</v>
      </c>
      <c r="W1168" s="4">
        <f>V1168+AA1167</f>
        <v>172947.985</v>
      </c>
      <c r="X1168" s="3"/>
      <c r="Y1168" s="3"/>
      <c r="Z1168" s="25">
        <f>U1168+Y1168</f>
        <v>0</v>
      </c>
      <c r="AA1168" s="76">
        <f>W1168-Y1168</f>
        <v>172947.985</v>
      </c>
      <c r="AB1168" s="9" t="s">
        <v>14</v>
      </c>
      <c r="AC1168" s="19">
        <v>45839</v>
      </c>
      <c r="AD1168" s="41"/>
      <c r="AE1168" s="42"/>
      <c r="AF1168" s="4">
        <f>AD491-H1168-T1168</f>
        <v>568.775</v>
      </c>
      <c r="AG1168" s="3"/>
      <c r="AH1168" s="8"/>
      <c r="AI1168" s="4">
        <f>(AE1168+AF1168)-AH1168</f>
        <v>568.775</v>
      </c>
      <c r="AJ1168" s="4">
        <f>AI1168+BP1167</f>
        <v>-797387.4155</v>
      </c>
      <c r="AK1168" s="8"/>
      <c r="AL1168" s="8"/>
      <c r="AM1168" s="47" t="s">
        <v>543</v>
      </c>
      <c r="AN1168" s="47">
        <v>4059.2</v>
      </c>
      <c r="AO1168" s="8"/>
      <c r="AP1168" s="8"/>
      <c r="AQ1168" s="47"/>
      <c r="AR1168" s="47"/>
      <c r="AS1168" s="8"/>
      <c r="AT1168" s="8"/>
      <c r="AU1168" s="47"/>
      <c r="AV1168" s="47"/>
      <c r="AW1168" s="8"/>
      <c r="AX1168" s="8"/>
      <c r="AY1168" s="47"/>
      <c r="AZ1168" s="47"/>
      <c r="BA1168" s="8"/>
      <c r="BB1168" s="8"/>
      <c r="BC1168" s="47"/>
      <c r="BD1168" s="47"/>
      <c r="BE1168" s="8"/>
      <c r="BF1168" s="8"/>
      <c r="BG1168" s="47"/>
      <c r="BH1168" s="47"/>
      <c r="BI1168" s="8"/>
      <c r="BJ1168" s="3"/>
      <c r="BK1168" s="47"/>
      <c r="BL1168" s="47"/>
      <c r="BM1168" s="46"/>
      <c r="BN1168" s="46"/>
      <c r="BO1168" s="24">
        <f>AL1168+AN1168+AP1168+AR1168+AT1168+AV1168+AX1168+AZ1168+BB1168+BD1168+BF1168+BH1168+BJ1168+BL1168+BN1168+N1168</f>
        <v>4059.2</v>
      </c>
      <c r="BP1168" s="28">
        <f>AJ1168-BO1168</f>
        <v>-801446.6155</v>
      </c>
      <c r="BQ1168" s="2">
        <v>45839</v>
      </c>
    </row>
    <row r="1169" spans="1:73" hidden="true">
      <c r="D1169" s="9" t="s">
        <v>15</v>
      </c>
      <c r="E1169" s="2">
        <v>45840</v>
      </c>
      <c r="F1169" s="38"/>
      <c r="G1169" s="51"/>
      <c r="H1169" s="4">
        <f>F492*50%</f>
        <v>104.45</v>
      </c>
      <c r="I1169" s="120"/>
      <c r="J1169" s="4">
        <f>(G1169+H1169)-I1169</f>
        <v>104.45</v>
      </c>
      <c r="K1169" s="4">
        <f>J1169+O1168</f>
        <v>423472.515</v>
      </c>
      <c r="L1169" s="3"/>
      <c r="M1169" s="3"/>
      <c r="N1169" s="33">
        <f>I1169+M1169</f>
        <v>0</v>
      </c>
      <c r="O1169" s="28">
        <f>K1169-M1169</f>
        <v>423472.515</v>
      </c>
      <c r="P1169" s="9" t="s">
        <v>15</v>
      </c>
      <c r="Q1169" s="2">
        <v>45840</v>
      </c>
      <c r="R1169" s="38"/>
      <c r="S1169" s="52"/>
      <c r="T1169" s="4">
        <f>R492*45%</f>
        <v>1077.3</v>
      </c>
      <c r="U1169" s="5"/>
      <c r="V1169" s="4">
        <f>(S1169+T1169)-U1169</f>
        <v>1077.3</v>
      </c>
      <c r="W1169" s="4">
        <f>V1169+AA1168</f>
        <v>174025.285</v>
      </c>
      <c r="X1169" s="3"/>
      <c r="Y1169" s="3"/>
      <c r="Z1169" s="25">
        <f>U1169+Y1169</f>
        <v>0</v>
      </c>
      <c r="AA1169" s="76">
        <f>W1169-Y1169</f>
        <v>174025.285</v>
      </c>
      <c r="AB1169" s="9" t="s">
        <v>15</v>
      </c>
      <c r="AC1169" s="19">
        <v>45840</v>
      </c>
      <c r="AD1169" s="41"/>
      <c r="AE1169" s="42"/>
      <c r="AF1169" s="4">
        <f>AD492-H1169-T1169</f>
        <v>1421.15</v>
      </c>
      <c r="AG1169" s="3"/>
      <c r="AH1169" s="8"/>
      <c r="AI1169" s="4">
        <f>(AE1169+AF1169)-AH1169</f>
        <v>1421.15</v>
      </c>
      <c r="AJ1169" s="4">
        <f>AI1169+BP1168</f>
        <v>-800025.4655</v>
      </c>
      <c r="AK1169" s="8"/>
      <c r="AL1169" s="8"/>
      <c r="AM1169" s="47"/>
      <c r="AN1169" s="47"/>
      <c r="AO1169" s="8"/>
      <c r="AP1169" s="8"/>
      <c r="AQ1169" s="47"/>
      <c r="AR1169" s="47"/>
      <c r="AS1169" s="8"/>
      <c r="AT1169" s="8"/>
      <c r="AU1169" s="47"/>
      <c r="AV1169" s="47"/>
      <c r="AW1169" s="8"/>
      <c r="AX1169" s="8"/>
      <c r="AY1169" s="47"/>
      <c r="AZ1169" s="47"/>
      <c r="BA1169" s="8"/>
      <c r="BB1169" s="8"/>
      <c r="BC1169" s="47"/>
      <c r="BD1169" s="47"/>
      <c r="BE1169" s="8"/>
      <c r="BF1169" s="8"/>
      <c r="BG1169" s="47"/>
      <c r="BH1169" s="47"/>
      <c r="BI1169" s="8"/>
      <c r="BJ1169" s="3"/>
      <c r="BK1169" s="47"/>
      <c r="BL1169" s="47"/>
      <c r="BM1169" s="46"/>
      <c r="BN1169" s="46"/>
      <c r="BO1169" s="24">
        <f>AL1169+AN1169+AP1169+AR1169+AT1169+AV1169+AX1169+AZ1169+BB1169+BD1169+BF1169+BH1169+BJ1169+BL1169+BN1169+N1169</f>
        <v>0</v>
      </c>
      <c r="BP1169" s="28">
        <f>AJ1169-BO1169</f>
        <v>-800025.4655</v>
      </c>
      <c r="BQ1169" s="2">
        <v>45840</v>
      </c>
    </row>
    <row r="1170" spans="1:73" hidden="true">
      <c r="D1170" s="9" t="s">
        <v>16</v>
      </c>
      <c r="E1170" s="2">
        <v>45841</v>
      </c>
      <c r="F1170" s="38"/>
      <c r="G1170" s="51"/>
      <c r="H1170" s="4">
        <f>F493*50%</f>
        <v>1826.5</v>
      </c>
      <c r="I1170" s="120"/>
      <c r="J1170" s="4">
        <f>(G1170+H1170)-I1170</f>
        <v>1826.5</v>
      </c>
      <c r="K1170" s="4">
        <f>J1170+O1169</f>
        <v>425299.015</v>
      </c>
      <c r="L1170" s="3"/>
      <c r="M1170" s="3"/>
      <c r="N1170" s="33">
        <f>I1170+M1170</f>
        <v>0</v>
      </c>
      <c r="O1170" s="28">
        <f>K1170-M1170</f>
        <v>425299.015</v>
      </c>
      <c r="P1170" s="9" t="s">
        <v>16</v>
      </c>
      <c r="Q1170" s="2">
        <v>45841</v>
      </c>
      <c r="R1170" s="38"/>
      <c r="S1170" s="52"/>
      <c r="T1170" s="4">
        <f>R493*45%</f>
        <v>2993.85</v>
      </c>
      <c r="U1170" s="5"/>
      <c r="V1170" s="4">
        <f>(S1170+T1170)-U1170</f>
        <v>2993.85</v>
      </c>
      <c r="W1170" s="4">
        <f>V1170+AA1169</f>
        <v>177019.135</v>
      </c>
      <c r="X1170" s="3"/>
      <c r="Y1170" s="3"/>
      <c r="Z1170" s="25">
        <f>U1170+Y1170</f>
        <v>0</v>
      </c>
      <c r="AA1170" s="76">
        <f>W1170-Y1170</f>
        <v>177019.135</v>
      </c>
      <c r="AB1170" s="9" t="s">
        <v>16</v>
      </c>
      <c r="AC1170" s="19">
        <v>45841</v>
      </c>
      <c r="AD1170" s="41"/>
      <c r="AE1170" s="42"/>
      <c r="AF1170" s="4">
        <f>AD493-H1170-T1170</f>
        <v>5485.65</v>
      </c>
      <c r="AG1170" s="3"/>
      <c r="AH1170" s="8"/>
      <c r="AI1170" s="4">
        <f>(AE1170+AF1170)-AH1170</f>
        <v>5485.65</v>
      </c>
      <c r="AJ1170" s="4">
        <f>AI1170+BP1169</f>
        <v>-794539.8155</v>
      </c>
      <c r="AK1170" s="8"/>
      <c r="AL1170" s="8"/>
      <c r="AM1170" s="47"/>
      <c r="AN1170" s="47"/>
      <c r="AO1170" s="8"/>
      <c r="AP1170" s="8"/>
      <c r="AQ1170" s="47"/>
      <c r="AR1170" s="47"/>
      <c r="AS1170" s="8"/>
      <c r="AT1170" s="8"/>
      <c r="AU1170" s="47"/>
      <c r="AV1170" s="47"/>
      <c r="AW1170" s="8"/>
      <c r="AX1170" s="8"/>
      <c r="AY1170" s="47"/>
      <c r="AZ1170" s="47"/>
      <c r="BA1170" s="8"/>
      <c r="BB1170" s="8"/>
      <c r="BC1170" s="47"/>
      <c r="BD1170" s="47"/>
      <c r="BE1170" s="8"/>
      <c r="BF1170" s="8"/>
      <c r="BG1170" s="47"/>
      <c r="BH1170" s="47"/>
      <c r="BI1170" s="8"/>
      <c r="BJ1170" s="3"/>
      <c r="BK1170" s="47"/>
      <c r="BL1170" s="47"/>
      <c r="BM1170" s="46"/>
      <c r="BN1170" s="46"/>
      <c r="BO1170" s="24">
        <f>AL1170+AN1170+AP1170+AR1170+AT1170+AV1170+AX1170+AZ1170+BB1170+BD1170+BF1170+BH1170+BJ1170+BL1170+BN1170+N1170</f>
        <v>0</v>
      </c>
      <c r="BP1170" s="28">
        <f>AJ1170-BO1170</f>
        <v>-794539.8155</v>
      </c>
      <c r="BQ1170" s="2">
        <v>45841</v>
      </c>
    </row>
    <row r="1171" spans="1:73" hidden="true">
      <c r="D1171" s="9" t="s">
        <v>10</v>
      </c>
      <c r="E1171" s="2">
        <v>45842</v>
      </c>
      <c r="F1171" s="38"/>
      <c r="G1171" s="51"/>
      <c r="H1171" s="4">
        <f>F494*50%</f>
        <v>1827</v>
      </c>
      <c r="I1171" s="120"/>
      <c r="J1171" s="4">
        <f>(G1171+H1171)-I1171</f>
        <v>1827</v>
      </c>
      <c r="K1171" s="4">
        <f>J1171+O1170</f>
        <v>427126.015</v>
      </c>
      <c r="L1171" s="3"/>
      <c r="M1171" s="3"/>
      <c r="N1171" s="33">
        <f>I1171+M1171</f>
        <v>0</v>
      </c>
      <c r="O1171" s="28">
        <f>K1171-M1171</f>
        <v>427126.015</v>
      </c>
      <c r="P1171" s="9" t="s">
        <v>10</v>
      </c>
      <c r="Q1171" s="2">
        <v>45842</v>
      </c>
      <c r="R1171" s="38"/>
      <c r="S1171" s="52"/>
      <c r="T1171" s="4">
        <f>R494*45%</f>
        <v>2994.3</v>
      </c>
      <c r="U1171" s="5"/>
      <c r="V1171" s="4">
        <f>(S1171+T1171)-U1171</f>
        <v>2994.3</v>
      </c>
      <c r="W1171" s="4">
        <f>V1171+AA1170</f>
        <v>180013.435</v>
      </c>
      <c r="X1171" s="3"/>
      <c r="Y1171" s="3"/>
      <c r="Z1171" s="25">
        <f>U1171+Y1171</f>
        <v>0</v>
      </c>
      <c r="AA1171" s="76">
        <f>W1171-Y1171</f>
        <v>180013.435</v>
      </c>
      <c r="AB1171" s="9" t="s">
        <v>10</v>
      </c>
      <c r="AC1171" s="19">
        <v>45842</v>
      </c>
      <c r="AD1171" s="41"/>
      <c r="AE1171" s="42"/>
      <c r="AF1171" s="4">
        <f>AD494-H1171-T1171</f>
        <v>5486.7</v>
      </c>
      <c r="AG1171" s="3"/>
      <c r="AH1171" s="8"/>
      <c r="AI1171" s="4">
        <f>(AE1171+AF1171)-AH1171</f>
        <v>5486.7</v>
      </c>
      <c r="AJ1171" s="4">
        <f>AI1171+BP1170</f>
        <v>-789053.1155</v>
      </c>
      <c r="AK1171" s="8"/>
      <c r="AL1171" s="8"/>
      <c r="AM1171" s="47"/>
      <c r="AN1171" s="47"/>
      <c r="AO1171" s="8"/>
      <c r="AP1171" s="8"/>
      <c r="AQ1171" s="47"/>
      <c r="AR1171" s="47"/>
      <c r="AS1171" s="8"/>
      <c r="AT1171" s="8"/>
      <c r="AU1171" s="47"/>
      <c r="AV1171" s="47"/>
      <c r="AW1171" s="8"/>
      <c r="AX1171" s="8"/>
      <c r="AY1171" s="47"/>
      <c r="AZ1171" s="47"/>
      <c r="BA1171" s="8"/>
      <c r="BB1171" s="8"/>
      <c r="BC1171" s="47"/>
      <c r="BD1171" s="47"/>
      <c r="BE1171" s="8"/>
      <c r="BF1171" s="8"/>
      <c r="BG1171" s="47"/>
      <c r="BH1171" s="47"/>
      <c r="BI1171" s="8"/>
      <c r="BJ1171" s="3"/>
      <c r="BK1171" s="47"/>
      <c r="BL1171" s="47"/>
      <c r="BM1171" s="46"/>
      <c r="BN1171" s="46"/>
      <c r="BO1171" s="24">
        <f>AL1171+AN1171+AP1171+AR1171+AT1171+AV1171+AX1171+AZ1171+BB1171+BD1171+BF1171+BH1171+BJ1171+BL1171+BN1171+N1171</f>
        <v>0</v>
      </c>
      <c r="BP1171" s="28">
        <f>AJ1171-BO1171</f>
        <v>-789053.1155</v>
      </c>
      <c r="BQ1171" s="2">
        <v>45842</v>
      </c>
    </row>
    <row r="1172" spans="1:73" hidden="true">
      <c r="D1172" s="9" t="s">
        <v>11</v>
      </c>
      <c r="E1172" s="2">
        <v>45843</v>
      </c>
      <c r="F1172" s="38"/>
      <c r="G1172" s="51"/>
      <c r="H1172" s="4">
        <f>F495*50%</f>
        <v>1827.5</v>
      </c>
      <c r="I1172" s="120"/>
      <c r="J1172" s="4">
        <f>(G1172+H1172)-I1172</f>
        <v>1827.5</v>
      </c>
      <c r="K1172" s="4">
        <f>J1172+O1171</f>
        <v>428953.515</v>
      </c>
      <c r="L1172" s="3"/>
      <c r="M1172" s="3"/>
      <c r="N1172" s="33">
        <f>I1172+M1172</f>
        <v>0</v>
      </c>
      <c r="O1172" s="28">
        <f>K1172-M1172</f>
        <v>428953.515</v>
      </c>
      <c r="P1172" s="9" t="s">
        <v>11</v>
      </c>
      <c r="Q1172" s="2">
        <v>45843</v>
      </c>
      <c r="R1172" s="38"/>
      <c r="S1172" s="52"/>
      <c r="T1172" s="4">
        <f>R495*45%</f>
        <v>2994.75</v>
      </c>
      <c r="U1172" s="5"/>
      <c r="V1172" s="4">
        <f>(S1172+T1172)-U1172</f>
        <v>2994.75</v>
      </c>
      <c r="W1172" s="4">
        <f>V1172+AA1171</f>
        <v>183008.185</v>
      </c>
      <c r="X1172" s="3"/>
      <c r="Y1172" s="3"/>
      <c r="Z1172" s="25">
        <f>U1172+Y1172</f>
        <v>0</v>
      </c>
      <c r="AA1172" s="76">
        <f>W1172-Y1172</f>
        <v>183008.185</v>
      </c>
      <c r="AB1172" s="9" t="s">
        <v>11</v>
      </c>
      <c r="AC1172" s="19">
        <v>45843</v>
      </c>
      <c r="AD1172" s="41"/>
      <c r="AE1172" s="42"/>
      <c r="AF1172" s="4">
        <f>AD495-H1172-T1172</f>
        <v>5487.75</v>
      </c>
      <c r="AG1172" s="3"/>
      <c r="AH1172" s="8"/>
      <c r="AI1172" s="4">
        <f>(AE1172+AF1172)-AH1172</f>
        <v>5487.75</v>
      </c>
      <c r="AJ1172" s="4">
        <f>AI1172+BP1171</f>
        <v>-783565.3655</v>
      </c>
      <c r="AK1172" s="8"/>
      <c r="AL1172" s="8"/>
      <c r="AM1172" s="47"/>
      <c r="AN1172" s="47"/>
      <c r="AO1172" s="8"/>
      <c r="AP1172" s="8"/>
      <c r="AQ1172" s="47"/>
      <c r="AR1172" s="47"/>
      <c r="AS1172" s="8"/>
      <c r="AT1172" s="8"/>
      <c r="AU1172" s="47"/>
      <c r="AV1172" s="47"/>
      <c r="AW1172" s="8"/>
      <c r="AX1172" s="8"/>
      <c r="AY1172" s="47"/>
      <c r="AZ1172" s="47"/>
      <c r="BA1172" s="8"/>
      <c r="BB1172" s="8"/>
      <c r="BC1172" s="47"/>
      <c r="BD1172" s="47"/>
      <c r="BE1172" s="8"/>
      <c r="BF1172" s="8"/>
      <c r="BG1172" s="47"/>
      <c r="BH1172" s="47"/>
      <c r="BI1172" s="8"/>
      <c r="BJ1172" s="3"/>
      <c r="BK1172" s="47"/>
      <c r="BL1172" s="47"/>
      <c r="BM1172" s="46"/>
      <c r="BN1172" s="46"/>
      <c r="BO1172" s="24">
        <f>AL1172+AN1172+AP1172+AR1172+AT1172+AV1172+AX1172+AZ1172+BB1172+BD1172+BF1172+BH1172+BJ1172+BL1172+BN1172</f>
        <v>0</v>
      </c>
      <c r="BP1172" s="28">
        <f>AJ1172-BO1172</f>
        <v>-783565.3655</v>
      </c>
      <c r="BQ1172" s="2">
        <v>45843</v>
      </c>
    </row>
    <row r="1173" spans="1:73" hidden="true">
      <c r="D1173" s="9" t="s">
        <v>12</v>
      </c>
      <c r="E1173" s="2">
        <v>45844</v>
      </c>
      <c r="F1173" s="38"/>
      <c r="G1173" s="51"/>
      <c r="H1173" s="4">
        <f>F496*50%</f>
        <v>1828</v>
      </c>
      <c r="I1173" s="120"/>
      <c r="J1173" s="4">
        <f>(G1173+H1173)-I1173</f>
        <v>1828</v>
      </c>
      <c r="K1173" s="4">
        <f>J1173+O1172</f>
        <v>430781.515</v>
      </c>
      <c r="L1173" s="3"/>
      <c r="M1173" s="3"/>
      <c r="N1173" s="33">
        <f>I1173+M1173</f>
        <v>0</v>
      </c>
      <c r="O1173" s="28">
        <f>K1173-M1173</f>
        <v>430781.515</v>
      </c>
      <c r="P1173" s="9" t="s">
        <v>12</v>
      </c>
      <c r="Q1173" s="2">
        <v>45844</v>
      </c>
      <c r="R1173" s="38"/>
      <c r="S1173" s="52"/>
      <c r="T1173" s="4">
        <f>R496*45%</f>
        <v>2995.2</v>
      </c>
      <c r="U1173" s="5"/>
      <c r="V1173" s="4">
        <f>(S1173+T1173)-U1173</f>
        <v>2995.2</v>
      </c>
      <c r="W1173" s="4">
        <f>V1173+AA1172</f>
        <v>186003.385</v>
      </c>
      <c r="X1173" s="3"/>
      <c r="Y1173" s="3"/>
      <c r="Z1173" s="25">
        <f>U1173+Y1173</f>
        <v>0</v>
      </c>
      <c r="AA1173" s="76">
        <f>W1173-Y1173</f>
        <v>186003.385</v>
      </c>
      <c r="AB1173" s="9" t="s">
        <v>12</v>
      </c>
      <c r="AC1173" s="19">
        <v>45844</v>
      </c>
      <c r="AD1173" s="41"/>
      <c r="AE1173" s="42"/>
      <c r="AF1173" s="4">
        <f>AD496-H1173-T1173</f>
        <v>5488.8</v>
      </c>
      <c r="AG1173" s="3"/>
      <c r="AH1173" s="8"/>
      <c r="AI1173" s="4">
        <f>(AE1173+AF1173)-AH1173</f>
        <v>5488.8</v>
      </c>
      <c r="AJ1173" s="4">
        <f>AI1173+BP1172</f>
        <v>-778076.5655</v>
      </c>
      <c r="AK1173" s="8"/>
      <c r="AL1173" s="8"/>
      <c r="AM1173" s="47"/>
      <c r="AN1173" s="47"/>
      <c r="AO1173" s="8"/>
      <c r="AP1173" s="8"/>
      <c r="AQ1173" s="47"/>
      <c r="AR1173" s="47"/>
      <c r="AS1173" s="8"/>
      <c r="AT1173" s="8"/>
      <c r="AU1173" s="47"/>
      <c r="AV1173" s="47"/>
      <c r="AW1173" s="8"/>
      <c r="AX1173" s="8"/>
      <c r="AY1173" s="47"/>
      <c r="AZ1173" s="47"/>
      <c r="BA1173" s="8"/>
      <c r="BB1173" s="8"/>
      <c r="BC1173" s="47"/>
      <c r="BD1173" s="47"/>
      <c r="BE1173" s="8"/>
      <c r="BF1173" s="8"/>
      <c r="BG1173" s="47"/>
      <c r="BH1173" s="47"/>
      <c r="BI1173" s="8"/>
      <c r="BJ1173" s="3"/>
      <c r="BK1173" s="47"/>
      <c r="BL1173" s="47"/>
      <c r="BM1173" s="46"/>
      <c r="BN1173" s="46"/>
      <c r="BO1173" s="24">
        <f>AL1173+AN1173+AP1173+AR1173+AT1173+AV1173+AX1173+AZ1173+BB1173+BD1173+BF1173+BH1173+BJ1173+BL1173+BN1173</f>
        <v>0</v>
      </c>
      <c r="BP1173" s="28">
        <f>AJ1173-BO1173</f>
        <v>-778076.5655</v>
      </c>
      <c r="BQ1173" s="2">
        <v>45844</v>
      </c>
    </row>
    <row r="1174" spans="1:73" hidden="true">
      <c r="D1174" s="9" t="s">
        <v>13</v>
      </c>
      <c r="E1174" s="2">
        <v>45845</v>
      </c>
      <c r="F1174" s="38"/>
      <c r="G1174" s="51"/>
      <c r="H1174" s="4">
        <f>F497*50%</f>
        <v>1828.5</v>
      </c>
      <c r="I1174" s="120"/>
      <c r="J1174" s="4">
        <f>(G1174+H1174)-I1174</f>
        <v>1828.5</v>
      </c>
      <c r="K1174" s="4">
        <f>J1174+O1173</f>
        <v>432610.015</v>
      </c>
      <c r="L1174" s="3"/>
      <c r="M1174" s="3"/>
      <c r="N1174" s="33">
        <f>I1174+M1174</f>
        <v>0</v>
      </c>
      <c r="O1174" s="28">
        <f>K1174-M1174</f>
        <v>432610.015</v>
      </c>
      <c r="P1174" s="9" t="s">
        <v>13</v>
      </c>
      <c r="Q1174" s="2">
        <v>45845</v>
      </c>
      <c r="R1174" s="38"/>
      <c r="S1174" s="52"/>
      <c r="T1174" s="4">
        <f>R497*45%</f>
        <v>2995.65</v>
      </c>
      <c r="U1174" s="5"/>
      <c r="V1174" s="4">
        <f>(S1174+T1174)-U1174</f>
        <v>2995.65</v>
      </c>
      <c r="W1174" s="4">
        <f>V1174+AA1173</f>
        <v>188999.035</v>
      </c>
      <c r="X1174" s="3"/>
      <c r="Y1174" s="3"/>
      <c r="Z1174" s="25">
        <f>U1174+Y1174</f>
        <v>0</v>
      </c>
      <c r="AA1174" s="76">
        <f>W1174-Y1174</f>
        <v>188999.035</v>
      </c>
      <c r="AB1174" s="9" t="s">
        <v>13</v>
      </c>
      <c r="AC1174" s="19">
        <v>45845</v>
      </c>
      <c r="AD1174" s="41"/>
      <c r="AE1174" s="42"/>
      <c r="AF1174" s="4">
        <f>AD497-H1174-T1174</f>
        <v>5489.85</v>
      </c>
      <c r="AG1174" s="3"/>
      <c r="AH1174" s="8"/>
      <c r="AI1174" s="4">
        <f>(AE1174+AF1174)-AH1174</f>
        <v>5489.85</v>
      </c>
      <c r="AJ1174" s="4">
        <f>AI1174+BP1173</f>
        <v>-772586.7155</v>
      </c>
      <c r="AK1174" s="8"/>
      <c r="AL1174" s="8"/>
      <c r="AM1174" s="47"/>
      <c r="AN1174" s="47"/>
      <c r="AO1174" s="8"/>
      <c r="AP1174" s="8"/>
      <c r="AQ1174" s="47"/>
      <c r="AR1174" s="47"/>
      <c r="AS1174" s="8"/>
      <c r="AT1174" s="8"/>
      <c r="AU1174" s="47"/>
      <c r="AV1174" s="47"/>
      <c r="AW1174" s="8"/>
      <c r="AX1174" s="8"/>
      <c r="AY1174" s="47"/>
      <c r="AZ1174" s="47"/>
      <c r="BA1174" s="8"/>
      <c r="BB1174" s="8"/>
      <c r="BC1174" s="47"/>
      <c r="BD1174" s="47"/>
      <c r="BE1174" s="8"/>
      <c r="BF1174" s="8"/>
      <c r="BG1174" s="47"/>
      <c r="BH1174" s="47"/>
      <c r="BI1174" s="8"/>
      <c r="BJ1174" s="3"/>
      <c r="BK1174" s="47"/>
      <c r="BL1174" s="47"/>
      <c r="BM1174" s="46"/>
      <c r="BN1174" s="46"/>
      <c r="BO1174" s="24">
        <f>AL1174+AN1174+AP1174+AR1174+AT1174+AV1174+AX1174+AZ1174+BB1174+BD1174+BF1174+BH1174+BJ1174+BL1174+BN1174</f>
        <v>0</v>
      </c>
      <c r="BP1174" s="28">
        <f>AJ1174-BO1174</f>
        <v>-772586.7155</v>
      </c>
      <c r="BQ1174" s="2">
        <v>45845</v>
      </c>
    </row>
    <row r="1175" spans="1:73" hidden="true">
      <c r="D1175" s="9" t="s">
        <v>14</v>
      </c>
      <c r="E1175" s="2">
        <v>45846</v>
      </c>
      <c r="F1175" s="38"/>
      <c r="G1175" s="51"/>
      <c r="H1175" s="4">
        <f>F498*50%</f>
        <v>1829</v>
      </c>
      <c r="I1175" s="120"/>
      <c r="J1175" s="4">
        <f>(G1175+H1175)-I1175</f>
        <v>1829</v>
      </c>
      <c r="K1175" s="4">
        <f>J1175+O1174</f>
        <v>434439.015</v>
      </c>
      <c r="L1175" s="3"/>
      <c r="M1175" s="3"/>
      <c r="N1175" s="33">
        <f>I1175+M1175</f>
        <v>0</v>
      </c>
      <c r="O1175" s="28">
        <f>K1175-M1175</f>
        <v>434439.015</v>
      </c>
      <c r="P1175" s="9" t="s">
        <v>14</v>
      </c>
      <c r="Q1175" s="2">
        <v>45846</v>
      </c>
      <c r="R1175" s="38"/>
      <c r="S1175" s="52"/>
      <c r="T1175" s="4">
        <f>R498*45%</f>
        <v>2996.1</v>
      </c>
      <c r="U1175" s="5"/>
      <c r="V1175" s="4">
        <f>(S1175+T1175)-U1175</f>
        <v>2996.1</v>
      </c>
      <c r="W1175" s="4">
        <f>V1175+AA1174</f>
        <v>191995.135</v>
      </c>
      <c r="X1175" s="3"/>
      <c r="Y1175" s="3"/>
      <c r="Z1175" s="25">
        <f>U1175+Y1175</f>
        <v>0</v>
      </c>
      <c r="AA1175" s="76">
        <f>W1175-Y1175</f>
        <v>191995.135</v>
      </c>
      <c r="AB1175" s="9" t="s">
        <v>14</v>
      </c>
      <c r="AC1175" s="19">
        <v>45846</v>
      </c>
      <c r="AD1175" s="41"/>
      <c r="AE1175" s="42"/>
      <c r="AF1175" s="4">
        <f>AD498-H1175-T1175</f>
        <v>5490.9</v>
      </c>
      <c r="AG1175" s="3"/>
      <c r="AH1175" s="8"/>
      <c r="AI1175" s="4">
        <f>(AE1175+AF1175)-AH1175</f>
        <v>5490.9</v>
      </c>
      <c r="AJ1175" s="4">
        <f>AI1175+BP1174</f>
        <v>-767095.8155</v>
      </c>
      <c r="AK1175" s="8"/>
      <c r="AL1175" s="8"/>
      <c r="AM1175" s="47"/>
      <c r="AN1175" s="47"/>
      <c r="AO1175" s="8"/>
      <c r="AP1175" s="8"/>
      <c r="AQ1175" s="47"/>
      <c r="AR1175" s="47"/>
      <c r="AS1175" s="8"/>
      <c r="AT1175" s="8"/>
      <c r="AU1175" s="47"/>
      <c r="AV1175" s="47"/>
      <c r="AW1175" s="8"/>
      <c r="AX1175" s="8"/>
      <c r="AY1175" s="47"/>
      <c r="AZ1175" s="47"/>
      <c r="BA1175" s="8"/>
      <c r="BB1175" s="8"/>
      <c r="BC1175" s="47"/>
      <c r="BD1175" s="47"/>
      <c r="BE1175" s="8"/>
      <c r="BF1175" s="8"/>
      <c r="BG1175" s="47"/>
      <c r="BH1175" s="47"/>
      <c r="BI1175" s="8"/>
      <c r="BJ1175" s="3"/>
      <c r="BK1175" s="47"/>
      <c r="BL1175" s="47"/>
      <c r="BM1175" s="46"/>
      <c r="BN1175" s="46"/>
      <c r="BO1175" s="24">
        <f>AL1175+AN1175+AP1175+AR1175+AT1175+AV1175+AX1175+AZ1175+BB1175+BD1175+BF1175+BH1175+BJ1175+BL1175+BN1175</f>
        <v>0</v>
      </c>
      <c r="BP1175" s="28">
        <f>AJ1175-BO1175</f>
        <v>-767095.8155</v>
      </c>
      <c r="BQ1175" s="2">
        <v>45846</v>
      </c>
    </row>
    <row r="1176" spans="1:73" hidden="true">
      <c r="D1176" s="9" t="s">
        <v>15</v>
      </c>
      <c r="E1176" s="2">
        <v>45847</v>
      </c>
      <c r="F1176" s="38"/>
      <c r="G1176" s="51"/>
      <c r="H1176" s="4">
        <f>F499*50%</f>
        <v>1829.5</v>
      </c>
      <c r="I1176" s="120"/>
      <c r="J1176" s="4">
        <f>(G1176+H1176)-I1176</f>
        <v>1829.5</v>
      </c>
      <c r="K1176" s="4">
        <f>J1176+O1175</f>
        <v>436268.515</v>
      </c>
      <c r="L1176" s="3"/>
      <c r="M1176" s="3"/>
      <c r="N1176" s="33">
        <f>I1176+M1176</f>
        <v>0</v>
      </c>
      <c r="O1176" s="28">
        <f>K1176-M1176</f>
        <v>436268.515</v>
      </c>
      <c r="P1176" s="9" t="s">
        <v>15</v>
      </c>
      <c r="Q1176" s="2">
        <v>45847</v>
      </c>
      <c r="R1176" s="38"/>
      <c r="S1176" s="52"/>
      <c r="T1176" s="4">
        <f>R499*45%</f>
        <v>2996.55</v>
      </c>
      <c r="U1176" s="5"/>
      <c r="V1176" s="4">
        <f>(S1176+T1176)-U1176</f>
        <v>2996.55</v>
      </c>
      <c r="W1176" s="4">
        <f>V1176+AA1175</f>
        <v>194991.685</v>
      </c>
      <c r="X1176" s="3"/>
      <c r="Y1176" s="3"/>
      <c r="Z1176" s="25">
        <f>U1176+Y1176</f>
        <v>0</v>
      </c>
      <c r="AA1176" s="76">
        <f>W1176-Y1176</f>
        <v>194991.685</v>
      </c>
      <c r="AB1176" s="9" t="s">
        <v>15</v>
      </c>
      <c r="AC1176" s="19">
        <v>45847</v>
      </c>
      <c r="AD1176" s="41"/>
      <c r="AE1176" s="42"/>
      <c r="AF1176" s="4">
        <f>AD499-H1176-T1176</f>
        <v>5491.95</v>
      </c>
      <c r="AG1176" s="3"/>
      <c r="AH1176" s="8"/>
      <c r="AI1176" s="4">
        <f>(AE1176+AF1176)-AH1176</f>
        <v>5491.95</v>
      </c>
      <c r="AJ1176" s="4">
        <f>AI1176+BP1175</f>
        <v>-761603.8655</v>
      </c>
      <c r="AK1176" s="8"/>
      <c r="AL1176" s="8"/>
      <c r="AM1176" s="47"/>
      <c r="AN1176" s="47"/>
      <c r="AO1176" s="8"/>
      <c r="AP1176" s="8"/>
      <c r="AQ1176" s="47"/>
      <c r="AR1176" s="47"/>
      <c r="AS1176" s="8"/>
      <c r="AT1176" s="8"/>
      <c r="AU1176" s="47"/>
      <c r="AV1176" s="47"/>
      <c r="AW1176" s="8"/>
      <c r="AX1176" s="8"/>
      <c r="AY1176" s="47"/>
      <c r="AZ1176" s="47"/>
      <c r="BA1176" s="8"/>
      <c r="BB1176" s="8"/>
      <c r="BC1176" s="47"/>
      <c r="BD1176" s="47"/>
      <c r="BE1176" s="8"/>
      <c r="BF1176" s="8"/>
      <c r="BG1176" s="47"/>
      <c r="BH1176" s="47"/>
      <c r="BI1176" s="8"/>
      <c r="BJ1176" s="3"/>
      <c r="BK1176" s="47"/>
      <c r="BL1176" s="47"/>
      <c r="BM1176" s="46"/>
      <c r="BN1176" s="46"/>
      <c r="BO1176" s="24">
        <f>AL1176+AN1176+AP1176+AR1176+AT1176+AV1176+AX1176+AZ1176+BB1176+BD1176+BF1176+BH1176+BJ1176+BL1176+BN1176</f>
        <v>0</v>
      </c>
      <c r="BP1176" s="28">
        <f>AJ1176-BO1176</f>
        <v>-761603.8655</v>
      </c>
      <c r="BQ1176" s="2">
        <v>45847</v>
      </c>
    </row>
    <row r="1177" spans="1:73" hidden="true">
      <c r="D1177" s="9" t="s">
        <v>16</v>
      </c>
      <c r="E1177" s="2">
        <v>45848</v>
      </c>
      <c r="F1177" s="38"/>
      <c r="G1177" s="51"/>
      <c r="H1177" s="4">
        <f>F500*50%</f>
        <v>1830</v>
      </c>
      <c r="I1177" s="120"/>
      <c r="J1177" s="4">
        <f>(G1177+H1177)-I1177</f>
        <v>1830</v>
      </c>
      <c r="K1177" s="4">
        <f>J1177+O1176</f>
        <v>438098.515</v>
      </c>
      <c r="L1177" s="3"/>
      <c r="M1177" s="3"/>
      <c r="N1177" s="33">
        <f>I1177+M1177</f>
        <v>0</v>
      </c>
      <c r="O1177" s="28">
        <f>K1177-M1177</f>
        <v>438098.515</v>
      </c>
      <c r="P1177" s="9" t="s">
        <v>16</v>
      </c>
      <c r="Q1177" s="2">
        <v>45848</v>
      </c>
      <c r="R1177" s="38"/>
      <c r="S1177" s="52"/>
      <c r="T1177" s="4">
        <f>R500*45%</f>
        <v>2997</v>
      </c>
      <c r="U1177" s="5"/>
      <c r="V1177" s="4">
        <f>(S1177+T1177)-U1177</f>
        <v>2997</v>
      </c>
      <c r="W1177" s="4">
        <f>V1177+AA1176</f>
        <v>197988.685</v>
      </c>
      <c r="X1177" s="3"/>
      <c r="Y1177" s="3"/>
      <c r="Z1177" s="25">
        <f>U1177+Y1177</f>
        <v>0</v>
      </c>
      <c r="AA1177" s="76">
        <f>W1177-Y1177</f>
        <v>197988.685</v>
      </c>
      <c r="AB1177" s="9" t="s">
        <v>16</v>
      </c>
      <c r="AC1177" s="19">
        <v>45848</v>
      </c>
      <c r="AD1177" s="41"/>
      <c r="AE1177" s="42"/>
      <c r="AF1177" s="4">
        <f>AD500-H1177-T1177</f>
        <v>5493</v>
      </c>
      <c r="AG1177" s="3"/>
      <c r="AH1177" s="8"/>
      <c r="AI1177" s="4">
        <f>(AE1177+AF1177)-AH1177</f>
        <v>5493</v>
      </c>
      <c r="AJ1177" s="4">
        <f>AI1177+BP1176</f>
        <v>-756110.8655</v>
      </c>
      <c r="AK1177" s="8"/>
      <c r="AL1177" s="8"/>
      <c r="AM1177" s="47"/>
      <c r="AN1177" s="47"/>
      <c r="AO1177" s="8"/>
      <c r="AP1177" s="8"/>
      <c r="AQ1177" s="47"/>
      <c r="AR1177" s="47"/>
      <c r="AS1177" s="8"/>
      <c r="AT1177" s="8"/>
      <c r="AU1177" s="47"/>
      <c r="AV1177" s="47"/>
      <c r="AW1177" s="8"/>
      <c r="AX1177" s="8"/>
      <c r="AY1177" s="47"/>
      <c r="AZ1177" s="47"/>
      <c r="BA1177" s="8"/>
      <c r="BB1177" s="8"/>
      <c r="BC1177" s="47"/>
      <c r="BD1177" s="47"/>
      <c r="BE1177" s="8"/>
      <c r="BF1177" s="8"/>
      <c r="BG1177" s="47"/>
      <c r="BH1177" s="47"/>
      <c r="BI1177" s="8"/>
      <c r="BJ1177" s="3"/>
      <c r="BK1177" s="47"/>
      <c r="BL1177" s="47"/>
      <c r="BM1177" s="46"/>
      <c r="BN1177" s="46"/>
      <c r="BO1177" s="24">
        <f>AL1177+AN1177+AP1177+AR1177+AT1177+AV1177+AX1177+AZ1177+BB1177+BD1177+BF1177+BH1177+BJ1177+BL1177+BN1177</f>
        <v>0</v>
      </c>
      <c r="BP1177" s="28">
        <f>AJ1177-BO1177</f>
        <v>-756110.8655</v>
      </c>
      <c r="BQ1177" s="2">
        <v>45848</v>
      </c>
    </row>
    <row r="1178" spans="1:73" hidden="true">
      <c r="D1178" s="9" t="s">
        <v>10</v>
      </c>
      <c r="E1178" s="2">
        <v>45849</v>
      </c>
      <c r="F1178" s="38"/>
      <c r="G1178" s="51"/>
      <c r="H1178" s="4">
        <f>F501*50%</f>
        <v>1830.5</v>
      </c>
      <c r="I1178" s="120"/>
      <c r="J1178" s="4">
        <f>(G1178+H1178)-I1178</f>
        <v>1830.5</v>
      </c>
      <c r="K1178" s="4">
        <f>J1178+O1177</f>
        <v>439929.015</v>
      </c>
      <c r="L1178" s="3"/>
      <c r="M1178" s="3"/>
      <c r="N1178" s="33">
        <f>I1178+M1178</f>
        <v>0</v>
      </c>
      <c r="O1178" s="28">
        <f>K1178-M1178</f>
        <v>439929.015</v>
      </c>
      <c r="P1178" s="9" t="s">
        <v>10</v>
      </c>
      <c r="Q1178" s="2">
        <v>45849</v>
      </c>
      <c r="R1178" s="38"/>
      <c r="S1178" s="52"/>
      <c r="T1178" s="4">
        <f>R501*45%</f>
        <v>2997.45</v>
      </c>
      <c r="U1178" s="5"/>
      <c r="V1178" s="4">
        <f>(S1178+T1178)-U1178</f>
        <v>2997.45</v>
      </c>
      <c r="W1178" s="4">
        <f>V1178+AA1177</f>
        <v>200986.135</v>
      </c>
      <c r="X1178" s="3"/>
      <c r="Y1178" s="3"/>
      <c r="Z1178" s="25">
        <f>U1178+Y1178</f>
        <v>0</v>
      </c>
      <c r="AA1178" s="76">
        <f>W1178-Y1178</f>
        <v>200986.135</v>
      </c>
      <c r="AB1178" s="9" t="s">
        <v>10</v>
      </c>
      <c r="AC1178" s="19">
        <v>45849</v>
      </c>
      <c r="AD1178" s="41"/>
      <c r="AE1178" s="42"/>
      <c r="AF1178" s="4">
        <f>AD501-H1178-T1178</f>
        <v>5494.05</v>
      </c>
      <c r="AG1178" s="3"/>
      <c r="AH1178" s="8"/>
      <c r="AI1178" s="4">
        <f>(AE1178+AF1178)-AH1178</f>
        <v>5494.05</v>
      </c>
      <c r="AJ1178" s="4">
        <f>AI1178+BP1177</f>
        <v>-750616.8155</v>
      </c>
      <c r="AK1178" s="8"/>
      <c r="AL1178" s="8"/>
      <c r="AM1178" s="47"/>
      <c r="AN1178" s="47"/>
      <c r="AO1178" s="8"/>
      <c r="AP1178" s="8"/>
      <c r="AQ1178" s="47"/>
      <c r="AR1178" s="47"/>
      <c r="AS1178" s="8"/>
      <c r="AT1178" s="8"/>
      <c r="AU1178" s="47"/>
      <c r="AV1178" s="47"/>
      <c r="AW1178" s="8"/>
      <c r="AX1178" s="8"/>
      <c r="AY1178" s="47"/>
      <c r="AZ1178" s="47"/>
      <c r="BA1178" s="8"/>
      <c r="BB1178" s="8"/>
      <c r="BC1178" s="47"/>
      <c r="BD1178" s="47"/>
      <c r="BE1178" s="8"/>
      <c r="BF1178" s="8"/>
      <c r="BG1178" s="47"/>
      <c r="BH1178" s="47"/>
      <c r="BI1178" s="8"/>
      <c r="BJ1178" s="3"/>
      <c r="BK1178" s="47"/>
      <c r="BL1178" s="47"/>
      <c r="BM1178" s="46"/>
      <c r="BN1178" s="46"/>
      <c r="BO1178" s="24">
        <f>AL1178+AN1178+AP1178+AR1178+AT1178+AV1178+AX1178+AZ1178+BB1178+BD1178+BF1178+BH1178+BJ1178+BL1178+BN1178</f>
        <v>0</v>
      </c>
      <c r="BP1178" s="28">
        <f>AJ1178-BO1178</f>
        <v>-750616.8155</v>
      </c>
      <c r="BQ1178" s="2">
        <v>45849</v>
      </c>
    </row>
    <row r="1179" spans="1:73" hidden="true">
      <c r="D1179" s="9" t="s">
        <v>11</v>
      </c>
      <c r="E1179" s="2">
        <v>45850</v>
      </c>
      <c r="F1179" s="38"/>
      <c r="G1179" s="51"/>
      <c r="H1179" s="4">
        <f>F502*50%</f>
        <v>1831</v>
      </c>
      <c r="I1179" s="120"/>
      <c r="J1179" s="4">
        <f>(G1179+H1179)-I1179</f>
        <v>1831</v>
      </c>
      <c r="K1179" s="4">
        <f>J1179+O1178</f>
        <v>441760.015</v>
      </c>
      <c r="L1179" s="3"/>
      <c r="M1179" s="3"/>
      <c r="N1179" s="33">
        <f>I1179+M1179</f>
        <v>0</v>
      </c>
      <c r="O1179" s="28">
        <f>K1179-M1179</f>
        <v>441760.015</v>
      </c>
      <c r="P1179" s="9" t="s">
        <v>11</v>
      </c>
      <c r="Q1179" s="2">
        <v>45850</v>
      </c>
      <c r="R1179" s="38"/>
      <c r="S1179" s="52"/>
      <c r="T1179" s="4">
        <f>R502*45%</f>
        <v>2997.9</v>
      </c>
      <c r="U1179" s="5"/>
      <c r="V1179" s="4">
        <f>(S1179+T1179)-U1179</f>
        <v>2997.9</v>
      </c>
      <c r="W1179" s="4">
        <f>V1179+AA1178</f>
        <v>203984.035</v>
      </c>
      <c r="X1179" s="3"/>
      <c r="Y1179" s="3"/>
      <c r="Z1179" s="25">
        <f>U1179+Y1179</f>
        <v>0</v>
      </c>
      <c r="AA1179" s="76">
        <f>W1179-Y1179</f>
        <v>203984.035</v>
      </c>
      <c r="AB1179" s="9" t="s">
        <v>11</v>
      </c>
      <c r="AC1179" s="19">
        <v>45850</v>
      </c>
      <c r="AD1179" s="41"/>
      <c r="AE1179" s="42"/>
      <c r="AF1179" s="4">
        <f>AD502-H1179-T1179</f>
        <v>5495.1</v>
      </c>
      <c r="AG1179" s="3"/>
      <c r="AH1179" s="8"/>
      <c r="AI1179" s="4">
        <f>(AE1179+AF1179)-AH1179</f>
        <v>5495.1</v>
      </c>
      <c r="AJ1179" s="4">
        <f>AI1179+BP1178</f>
        <v>-745121.7155</v>
      </c>
      <c r="AK1179" s="8"/>
      <c r="AL1179" s="8"/>
      <c r="AM1179" s="47"/>
      <c r="AN1179" s="47"/>
      <c r="AO1179" s="8"/>
      <c r="AP1179" s="8"/>
      <c r="AQ1179" s="47"/>
      <c r="AR1179" s="47"/>
      <c r="AS1179" s="8"/>
      <c r="AT1179" s="8"/>
      <c r="AU1179" s="47"/>
      <c r="AV1179" s="47"/>
      <c r="AW1179" s="8"/>
      <c r="AX1179" s="8"/>
      <c r="AY1179" s="47"/>
      <c r="AZ1179" s="47"/>
      <c r="BA1179" s="8"/>
      <c r="BB1179" s="8"/>
      <c r="BC1179" s="47"/>
      <c r="BD1179" s="47"/>
      <c r="BE1179" s="8"/>
      <c r="BF1179" s="8"/>
      <c r="BG1179" s="47"/>
      <c r="BH1179" s="47"/>
      <c r="BI1179" s="8"/>
      <c r="BJ1179" s="3"/>
      <c r="BK1179" s="47"/>
      <c r="BL1179" s="47"/>
      <c r="BM1179" s="46"/>
      <c r="BN1179" s="46"/>
      <c r="BO1179" s="24">
        <f>AL1179+AN1179+AP1179+AR1179+AT1179+AV1179+AX1179+AZ1179+BB1179+BD1179+BF1179+BH1179+BJ1179+BL1179+BN1179</f>
        <v>0</v>
      </c>
      <c r="BP1179" s="28">
        <f>AJ1179-BO1179</f>
        <v>-745121.7155</v>
      </c>
      <c r="BQ1179" s="2">
        <v>45850</v>
      </c>
    </row>
    <row r="1180" spans="1:73" hidden="true">
      <c r="D1180" s="9" t="s">
        <v>12</v>
      </c>
      <c r="E1180" s="2">
        <v>45851</v>
      </c>
      <c r="F1180" s="38"/>
      <c r="G1180" s="51"/>
      <c r="H1180" s="4">
        <f>F503*50%</f>
        <v>1831.5</v>
      </c>
      <c r="I1180" s="120"/>
      <c r="J1180" s="4">
        <f>(G1180+H1180)-I1180</f>
        <v>1831.5</v>
      </c>
      <c r="K1180" s="4">
        <f>J1180+O1179</f>
        <v>443591.515</v>
      </c>
      <c r="L1180" s="3"/>
      <c r="M1180" s="3"/>
      <c r="N1180" s="33">
        <f>I1180+M1180</f>
        <v>0</v>
      </c>
      <c r="O1180" s="28">
        <f>K1180-M1180</f>
        <v>443591.515</v>
      </c>
      <c r="P1180" s="9" t="s">
        <v>12</v>
      </c>
      <c r="Q1180" s="2">
        <v>45851</v>
      </c>
      <c r="R1180" s="38"/>
      <c r="S1180" s="52"/>
      <c r="T1180" s="4">
        <f>R503*45%</f>
        <v>2998.35</v>
      </c>
      <c r="U1180" s="5"/>
      <c r="V1180" s="4">
        <f>(S1180+T1180)-U1180</f>
        <v>2998.35</v>
      </c>
      <c r="W1180" s="4">
        <f>V1180+AA1179</f>
        <v>206982.385</v>
      </c>
      <c r="X1180" s="3"/>
      <c r="Y1180" s="3"/>
      <c r="Z1180" s="25">
        <f>U1180+Y1180</f>
        <v>0</v>
      </c>
      <c r="AA1180" s="76">
        <f>W1180-Y1180</f>
        <v>206982.385</v>
      </c>
      <c r="AB1180" s="9" t="s">
        <v>12</v>
      </c>
      <c r="AC1180" s="19">
        <v>45851</v>
      </c>
      <c r="AD1180" s="41"/>
      <c r="AE1180" s="42"/>
      <c r="AF1180" s="4">
        <f>AD503-H1180-T1180</f>
        <v>5496.15</v>
      </c>
      <c r="AG1180" s="3"/>
      <c r="AH1180" s="8"/>
      <c r="AI1180" s="4">
        <f>(AE1180+AF1180)-AH1180</f>
        <v>5496.15</v>
      </c>
      <c r="AJ1180" s="4">
        <f>AI1180+BP1179</f>
        <v>-739625.5655</v>
      </c>
      <c r="AK1180" s="8"/>
      <c r="AL1180" s="8"/>
      <c r="AM1180" s="47"/>
      <c r="AN1180" s="47"/>
      <c r="AO1180" s="8"/>
      <c r="AP1180" s="8"/>
      <c r="AQ1180" s="47"/>
      <c r="AR1180" s="47"/>
      <c r="AS1180" s="8"/>
      <c r="AT1180" s="8"/>
      <c r="AU1180" s="47"/>
      <c r="AV1180" s="47"/>
      <c r="AW1180" s="8"/>
      <c r="AX1180" s="8"/>
      <c r="AY1180" s="47"/>
      <c r="AZ1180" s="47"/>
      <c r="BA1180" s="8"/>
      <c r="BB1180" s="8"/>
      <c r="BC1180" s="47"/>
      <c r="BD1180" s="47"/>
      <c r="BE1180" s="8"/>
      <c r="BF1180" s="8"/>
      <c r="BG1180" s="47"/>
      <c r="BH1180" s="47"/>
      <c r="BI1180" s="8"/>
      <c r="BJ1180" s="3"/>
      <c r="BK1180" s="47"/>
      <c r="BL1180" s="47"/>
      <c r="BM1180" s="46"/>
      <c r="BN1180" s="46"/>
      <c r="BO1180" s="24">
        <f>AL1180+AN1180+AP1180+AR1180+AT1180+AV1180+AX1180+AZ1180+BB1180+BD1180+BF1180+BH1180+BJ1180+BL1180+BN1180</f>
        <v>0</v>
      </c>
      <c r="BP1180" s="28">
        <f>AJ1180-BO1180</f>
        <v>-739625.5655</v>
      </c>
      <c r="BQ1180" s="2">
        <v>45851</v>
      </c>
    </row>
    <row r="1181" spans="1:73" hidden="true">
      <c r="D1181" s="9" t="s">
        <v>13</v>
      </c>
      <c r="E1181" s="2">
        <v>45852</v>
      </c>
      <c r="F1181" s="38"/>
      <c r="G1181" s="51"/>
      <c r="H1181" s="4">
        <f>F504*50%</f>
        <v>1832</v>
      </c>
      <c r="I1181" s="120"/>
      <c r="J1181" s="4">
        <f>(G1181+H1181)-I1181</f>
        <v>1832</v>
      </c>
      <c r="K1181" s="4">
        <f>J1181+O1180</f>
        <v>445423.515</v>
      </c>
      <c r="L1181" s="3"/>
      <c r="M1181" s="3"/>
      <c r="N1181" s="33">
        <f>I1181+M1181</f>
        <v>0</v>
      </c>
      <c r="O1181" s="28">
        <f>K1181-M1181</f>
        <v>445423.515</v>
      </c>
      <c r="P1181" s="9" t="s">
        <v>13</v>
      </c>
      <c r="Q1181" s="2">
        <v>45852</v>
      </c>
      <c r="R1181" s="38"/>
      <c r="S1181" s="52"/>
      <c r="T1181" s="4">
        <f>R504*45%</f>
        <v>2998.8</v>
      </c>
      <c r="U1181" s="5"/>
      <c r="V1181" s="4">
        <f>(S1181+T1181)-U1181</f>
        <v>2998.8</v>
      </c>
      <c r="W1181" s="4">
        <f>V1181+AA1180</f>
        <v>209981.185</v>
      </c>
      <c r="X1181" s="3"/>
      <c r="Y1181" s="3"/>
      <c r="Z1181" s="25">
        <f>U1181+Y1181</f>
        <v>0</v>
      </c>
      <c r="AA1181" s="76">
        <f>W1181-Y1181</f>
        <v>209981.185</v>
      </c>
      <c r="AB1181" s="9" t="s">
        <v>13</v>
      </c>
      <c r="AC1181" s="19">
        <v>45852</v>
      </c>
      <c r="AD1181" s="41"/>
      <c r="AE1181" s="42"/>
      <c r="AF1181" s="4">
        <f>AD504-H1181-T1181</f>
        <v>5497.2</v>
      </c>
      <c r="AG1181" s="3"/>
      <c r="AH1181" s="8"/>
      <c r="AI1181" s="4">
        <f>(AE1181+AF1181)-AH1181</f>
        <v>5497.2</v>
      </c>
      <c r="AJ1181" s="4">
        <f>AI1181+BP1180</f>
        <v>-734128.3655</v>
      </c>
      <c r="AK1181" s="8"/>
      <c r="AL1181" s="8"/>
      <c r="AM1181" s="47"/>
      <c r="AN1181" s="47"/>
      <c r="AO1181" s="8"/>
      <c r="AP1181" s="8"/>
      <c r="AQ1181" s="47"/>
      <c r="AR1181" s="47"/>
      <c r="AS1181" s="8"/>
      <c r="AT1181" s="8"/>
      <c r="AU1181" s="47"/>
      <c r="AV1181" s="47"/>
      <c r="AW1181" s="8"/>
      <c r="AX1181" s="8"/>
      <c r="AY1181" s="47"/>
      <c r="AZ1181" s="47"/>
      <c r="BA1181" s="8"/>
      <c r="BB1181" s="8"/>
      <c r="BC1181" s="47"/>
      <c r="BD1181" s="47"/>
      <c r="BE1181" s="8"/>
      <c r="BF1181" s="8"/>
      <c r="BG1181" s="47"/>
      <c r="BH1181" s="47"/>
      <c r="BI1181" s="8"/>
      <c r="BJ1181" s="3"/>
      <c r="BK1181" s="47"/>
      <c r="BL1181" s="47"/>
      <c r="BM1181" s="46"/>
      <c r="BN1181" s="46"/>
      <c r="BO1181" s="24">
        <f>AL1181+AN1181+AP1181+AR1181+AT1181+AV1181+AX1181+AZ1181+BB1181+BD1181+BF1181+BH1181+BJ1181+BL1181+BN1181</f>
        <v>0</v>
      </c>
      <c r="BP1181" s="28">
        <f>AJ1181-BO1181</f>
        <v>-734128.3655</v>
      </c>
      <c r="BQ1181" s="2">
        <v>45852</v>
      </c>
    </row>
    <row r="1182" spans="1:73" hidden="true">
      <c r="D1182" s="9" t="s">
        <v>14</v>
      </c>
      <c r="E1182" s="2">
        <v>45853</v>
      </c>
      <c r="F1182" s="38"/>
      <c r="G1182" s="51"/>
      <c r="H1182" s="4">
        <f>F505*50%</f>
        <v>1832.5</v>
      </c>
      <c r="I1182" s="120"/>
      <c r="J1182" s="4">
        <f>(G1182+H1182)-I1182</f>
        <v>1832.5</v>
      </c>
      <c r="K1182" s="4">
        <f>J1182+O1181</f>
        <v>447256.015</v>
      </c>
      <c r="L1182" s="113" t="s">
        <v>397</v>
      </c>
      <c r="M1182" s="3">
        <v>5190</v>
      </c>
      <c r="N1182" s="33">
        <f>I1182+M1182</f>
        <v>5190</v>
      </c>
      <c r="O1182" s="28">
        <f>K1182-M1182</f>
        <v>442066.015</v>
      </c>
      <c r="P1182" s="9" t="s">
        <v>14</v>
      </c>
      <c r="Q1182" s="2">
        <v>45853</v>
      </c>
      <c r="R1182" s="38"/>
      <c r="S1182" s="52"/>
      <c r="T1182" s="4">
        <f>R505*45%</f>
        <v>2999.25</v>
      </c>
      <c r="U1182" s="5"/>
      <c r="V1182" s="4">
        <f>(S1182+T1182)-U1182</f>
        <v>2999.25</v>
      </c>
      <c r="W1182" s="4">
        <f>V1182+AA1181</f>
        <v>212980.435</v>
      </c>
      <c r="X1182" s="3"/>
      <c r="Y1182" s="3"/>
      <c r="Z1182" s="25">
        <f>U1182+Y1182</f>
        <v>0</v>
      </c>
      <c r="AA1182" s="76">
        <f>W1182-Y1182</f>
        <v>212980.435</v>
      </c>
      <c r="AB1182" s="9" t="s">
        <v>14</v>
      </c>
      <c r="AC1182" s="19">
        <v>45853</v>
      </c>
      <c r="AD1182" s="41"/>
      <c r="AE1182" s="42"/>
      <c r="AF1182" s="4">
        <f>AD505-H1182-T1182</f>
        <v>5498.25</v>
      </c>
      <c r="AG1182" s="3"/>
      <c r="AH1182" s="8"/>
      <c r="AI1182" s="4">
        <f>(AE1182+AF1182)-AH1182</f>
        <v>5498.25</v>
      </c>
      <c r="AJ1182" s="4">
        <f>AI1182+BP1181</f>
        <v>-728630.1155</v>
      </c>
      <c r="AK1182" s="8"/>
      <c r="AL1182" s="8"/>
      <c r="AM1182" s="47"/>
      <c r="AN1182" s="47"/>
      <c r="AO1182" s="8"/>
      <c r="AP1182" s="8"/>
      <c r="AQ1182" s="47"/>
      <c r="AR1182" s="47"/>
      <c r="AS1182" s="8"/>
      <c r="AT1182" s="8"/>
      <c r="AU1182" s="47"/>
      <c r="AV1182" s="47"/>
      <c r="AW1182" s="8"/>
      <c r="AX1182" s="8"/>
      <c r="AY1182" s="47"/>
      <c r="AZ1182" s="47"/>
      <c r="BA1182" s="8"/>
      <c r="BB1182" s="8"/>
      <c r="BC1182" s="47"/>
      <c r="BD1182" s="47"/>
      <c r="BE1182" s="8"/>
      <c r="BF1182" s="8"/>
      <c r="BG1182" s="47"/>
      <c r="BH1182" s="47"/>
      <c r="BI1182" s="8"/>
      <c r="BJ1182" s="3"/>
      <c r="BK1182" s="47"/>
      <c r="BL1182" s="47"/>
      <c r="BM1182" s="46"/>
      <c r="BN1182" s="46"/>
      <c r="BO1182" s="24">
        <f>AL1182+AN1182+AP1182+AR1182+AT1182+AV1182+AX1182+AZ1182+BB1182+BD1182+BF1182+BH1182+BJ1182+BL1182+BN1182</f>
        <v>0</v>
      </c>
      <c r="BP1182" s="28">
        <f>AJ1182-BO1182</f>
        <v>-728630.1155</v>
      </c>
      <c r="BQ1182" s="2">
        <v>45853</v>
      </c>
    </row>
    <row r="1183" spans="1:73" hidden="true">
      <c r="D1183" s="9" t="s">
        <v>15</v>
      </c>
      <c r="E1183" s="2">
        <v>45854</v>
      </c>
      <c r="F1183" s="38"/>
      <c r="G1183" s="51"/>
      <c r="H1183" s="4">
        <f>F506*50%</f>
        <v>1833</v>
      </c>
      <c r="I1183" s="120"/>
      <c r="J1183" s="4">
        <f>(G1183+H1183)-I1183</f>
        <v>1833</v>
      </c>
      <c r="K1183" s="4">
        <f>J1183+O1182</f>
        <v>443899.015</v>
      </c>
      <c r="L1183" s="3"/>
      <c r="M1183" s="3"/>
      <c r="N1183" s="33">
        <f>I1183+M1183</f>
        <v>0</v>
      </c>
      <c r="O1183" s="28">
        <f>K1183-M1183</f>
        <v>443899.015</v>
      </c>
      <c r="P1183" s="9" t="s">
        <v>15</v>
      </c>
      <c r="Q1183" s="2">
        <v>45854</v>
      </c>
      <c r="R1183" s="38"/>
      <c r="S1183" s="52"/>
      <c r="T1183" s="4">
        <f>R506*45%</f>
        <v>2999.7</v>
      </c>
      <c r="U1183" s="5"/>
      <c r="V1183" s="4">
        <f>(S1183+T1183)-U1183</f>
        <v>2999.7</v>
      </c>
      <c r="W1183" s="4">
        <f>V1183+AA1182</f>
        <v>215980.135</v>
      </c>
      <c r="X1183" s="3"/>
      <c r="Y1183" s="3"/>
      <c r="Z1183" s="25">
        <f>U1183+Y1183</f>
        <v>0</v>
      </c>
      <c r="AA1183" s="76">
        <f>W1183-Y1183</f>
        <v>215980.135</v>
      </c>
      <c r="AB1183" s="9" t="s">
        <v>15</v>
      </c>
      <c r="AC1183" s="19">
        <v>45854</v>
      </c>
      <c r="AD1183" s="41"/>
      <c r="AE1183" s="42"/>
      <c r="AF1183" s="4">
        <f>AD506-H1183-T1183</f>
        <v>5499.3</v>
      </c>
      <c r="AG1183" s="3"/>
      <c r="AH1183" s="8"/>
      <c r="AI1183" s="4">
        <f>(AE1183+AF1183)-AH1183</f>
        <v>5499.3</v>
      </c>
      <c r="AJ1183" s="4">
        <f>AI1183+BP1182</f>
        <v>-723130.8155</v>
      </c>
      <c r="AK1183" s="8"/>
      <c r="AL1183" s="8"/>
      <c r="AM1183" s="47"/>
      <c r="AN1183" s="47"/>
      <c r="AO1183" s="8"/>
      <c r="AP1183" s="8"/>
      <c r="AQ1183" s="47"/>
      <c r="AR1183" s="47"/>
      <c r="AS1183" s="8"/>
      <c r="AT1183" s="8"/>
      <c r="AU1183" s="47"/>
      <c r="AV1183" s="47"/>
      <c r="AW1183" s="8"/>
      <c r="AX1183" s="8"/>
      <c r="AY1183" s="47"/>
      <c r="AZ1183" s="47"/>
      <c r="BA1183" s="8"/>
      <c r="BB1183" s="8"/>
      <c r="BC1183" s="47"/>
      <c r="BD1183" s="47"/>
      <c r="BE1183" s="8"/>
      <c r="BF1183" s="8"/>
      <c r="BG1183" s="47"/>
      <c r="BH1183" s="47"/>
      <c r="BI1183" s="8"/>
      <c r="BJ1183" s="3"/>
      <c r="BK1183" s="47"/>
      <c r="BL1183" s="47"/>
      <c r="BM1183" s="46"/>
      <c r="BN1183" s="46"/>
      <c r="BO1183" s="24">
        <f>AL1183+AN1183+AP1183+AR1183+AT1183+AV1183+AX1183+AZ1183+BB1183+BD1183+BF1183+BH1183+BJ1183+BL1183+BN1183</f>
        <v>0</v>
      </c>
      <c r="BP1183" s="28">
        <f>AJ1183-BO1183</f>
        <v>-723130.8155</v>
      </c>
      <c r="BQ1183" s="2">
        <v>45854</v>
      </c>
    </row>
    <row r="1184" spans="1:73" hidden="true">
      <c r="D1184" s="9" t="s">
        <v>16</v>
      </c>
      <c r="E1184" s="2">
        <v>45855</v>
      </c>
      <c r="F1184" s="38"/>
      <c r="G1184" s="51"/>
      <c r="H1184" s="4">
        <f>F507*50%</f>
        <v>1833.5</v>
      </c>
      <c r="I1184" s="120"/>
      <c r="J1184" s="4">
        <f>(G1184+H1184)-I1184</f>
        <v>1833.5</v>
      </c>
      <c r="K1184" s="4">
        <f>J1184+O1183</f>
        <v>445732.515</v>
      </c>
      <c r="L1184" s="3"/>
      <c r="M1184" s="3"/>
      <c r="N1184" s="33">
        <f>I1184+M1184</f>
        <v>0</v>
      </c>
      <c r="O1184" s="28">
        <f>K1184-M1184</f>
        <v>445732.515</v>
      </c>
      <c r="P1184" s="9" t="s">
        <v>16</v>
      </c>
      <c r="Q1184" s="2">
        <v>45855</v>
      </c>
      <c r="R1184" s="38"/>
      <c r="S1184" s="52"/>
      <c r="T1184" s="4">
        <f>R507*45%</f>
        <v>3000.15</v>
      </c>
      <c r="U1184" s="5"/>
      <c r="V1184" s="4">
        <f>(S1184+T1184)-U1184</f>
        <v>3000.15</v>
      </c>
      <c r="W1184" s="4">
        <f>V1184+AA1183</f>
        <v>218980.285</v>
      </c>
      <c r="X1184" s="3"/>
      <c r="Y1184" s="3"/>
      <c r="Z1184" s="25">
        <f>U1184+Y1184</f>
        <v>0</v>
      </c>
      <c r="AA1184" s="76">
        <f>W1184-Y1184</f>
        <v>218980.285</v>
      </c>
      <c r="AB1184" s="9" t="s">
        <v>16</v>
      </c>
      <c r="AC1184" s="19">
        <v>45855</v>
      </c>
      <c r="AD1184" s="41"/>
      <c r="AE1184" s="42"/>
      <c r="AF1184" s="4">
        <f>AD507-H1184-T1184</f>
        <v>5500.35</v>
      </c>
      <c r="AG1184" s="3"/>
      <c r="AH1184" s="8"/>
      <c r="AI1184" s="4">
        <f>(AE1184+AF1184)-AH1184</f>
        <v>5500.35</v>
      </c>
      <c r="AJ1184" s="4">
        <f>AI1184+BP1183</f>
        <v>-717630.4655</v>
      </c>
      <c r="AK1184" s="8"/>
      <c r="AL1184" s="8"/>
      <c r="AM1184" s="47"/>
      <c r="AN1184" s="47"/>
      <c r="AO1184" s="8"/>
      <c r="AP1184" s="8"/>
      <c r="AQ1184" s="47"/>
      <c r="AR1184" s="47"/>
      <c r="AS1184" s="8"/>
      <c r="AT1184" s="8"/>
      <c r="AU1184" s="47"/>
      <c r="AV1184" s="47"/>
      <c r="AW1184" s="8"/>
      <c r="AX1184" s="8"/>
      <c r="AY1184" s="47"/>
      <c r="AZ1184" s="47"/>
      <c r="BA1184" s="8"/>
      <c r="BB1184" s="8"/>
      <c r="BC1184" s="47"/>
      <c r="BD1184" s="47"/>
      <c r="BE1184" s="8"/>
      <c r="BF1184" s="8"/>
      <c r="BG1184" s="47"/>
      <c r="BH1184" s="47"/>
      <c r="BI1184" s="8"/>
      <c r="BJ1184" s="3"/>
      <c r="BK1184" s="47"/>
      <c r="BL1184" s="47"/>
      <c r="BM1184" s="46"/>
      <c r="BN1184" s="46"/>
      <c r="BO1184" s="24">
        <f>AL1184+AN1184+AP1184+AR1184+AT1184+AV1184+AX1184+AZ1184+BB1184+BD1184+BF1184+BH1184+BJ1184+BL1184+BN1184</f>
        <v>0</v>
      </c>
      <c r="BP1184" s="28">
        <f>AJ1184-BO1184</f>
        <v>-717630.4655</v>
      </c>
      <c r="BQ1184" s="2">
        <v>45855</v>
      </c>
    </row>
    <row r="1185" spans="1:73" hidden="true">
      <c r="D1185" s="9" t="s">
        <v>10</v>
      </c>
      <c r="E1185" s="2">
        <v>45856</v>
      </c>
      <c r="F1185" s="38"/>
      <c r="G1185" s="51"/>
      <c r="H1185" s="4">
        <f>F508*50%</f>
        <v>1834</v>
      </c>
      <c r="I1185" s="120"/>
      <c r="J1185" s="4">
        <f>(G1185+H1185)-I1185</f>
        <v>1834</v>
      </c>
      <c r="K1185" s="4">
        <f>J1185+O1184</f>
        <v>447566.515</v>
      </c>
      <c r="L1185" s="3"/>
      <c r="M1185" s="3"/>
      <c r="N1185" s="33">
        <f>I1185+M1185</f>
        <v>0</v>
      </c>
      <c r="O1185" s="28">
        <f>K1185-M1185</f>
        <v>447566.515</v>
      </c>
      <c r="P1185" s="9" t="s">
        <v>10</v>
      </c>
      <c r="Q1185" s="2">
        <v>45856</v>
      </c>
      <c r="R1185" s="38"/>
      <c r="S1185" s="52"/>
      <c r="T1185" s="4">
        <f>R508*45%</f>
        <v>3000.6</v>
      </c>
      <c r="U1185" s="5"/>
      <c r="V1185" s="4">
        <f>(S1185+T1185)-U1185</f>
        <v>3000.6</v>
      </c>
      <c r="W1185" s="4">
        <f>V1185+AA1184</f>
        <v>221980.885</v>
      </c>
      <c r="X1185" s="3"/>
      <c r="Y1185" s="3"/>
      <c r="Z1185" s="25">
        <f>U1185+Y1185</f>
        <v>0</v>
      </c>
      <c r="AA1185" s="76">
        <f>W1185-Y1185</f>
        <v>221980.885</v>
      </c>
      <c r="AB1185" s="9" t="s">
        <v>10</v>
      </c>
      <c r="AC1185" s="19">
        <v>45856</v>
      </c>
      <c r="AD1185" s="41"/>
      <c r="AE1185" s="42"/>
      <c r="AF1185" s="4">
        <f>AD508-H1185-T1185</f>
        <v>5501.4</v>
      </c>
      <c r="AG1185" s="3"/>
      <c r="AH1185" s="8"/>
      <c r="AI1185" s="4">
        <f>(AE1185+AF1185)-AH1185</f>
        <v>5501.4</v>
      </c>
      <c r="AJ1185" s="4">
        <f>AI1185+BP1184</f>
        <v>-712129.0655</v>
      </c>
      <c r="AK1185" s="8"/>
      <c r="AL1185" s="8"/>
      <c r="AM1185" s="47"/>
      <c r="AN1185" s="47"/>
      <c r="AO1185" s="8"/>
      <c r="AP1185" s="8"/>
      <c r="AQ1185" s="47"/>
      <c r="AR1185" s="47"/>
      <c r="AS1185" s="8"/>
      <c r="AT1185" s="8"/>
      <c r="AU1185" s="47"/>
      <c r="AV1185" s="47"/>
      <c r="AW1185" s="8"/>
      <c r="AX1185" s="8"/>
      <c r="AY1185" s="47"/>
      <c r="AZ1185" s="47"/>
      <c r="BA1185" s="8"/>
      <c r="BB1185" s="8"/>
      <c r="BC1185" s="47"/>
      <c r="BD1185" s="47"/>
      <c r="BE1185" s="8"/>
      <c r="BF1185" s="8"/>
      <c r="BG1185" s="47"/>
      <c r="BH1185" s="47"/>
      <c r="BI1185" s="8"/>
      <c r="BJ1185" s="3"/>
      <c r="BK1185" s="47"/>
      <c r="BL1185" s="47"/>
      <c r="BM1185" s="46"/>
      <c r="BN1185" s="46"/>
      <c r="BO1185" s="24">
        <f>AL1185+AN1185+AP1185+AR1185+AT1185+AV1185+AX1185+AZ1185+BB1185+BD1185+BF1185+BH1185+BJ1185+BL1185+BN1185</f>
        <v>0</v>
      </c>
      <c r="BP1185" s="28">
        <f>AJ1185-BO1185</f>
        <v>-712129.0655</v>
      </c>
      <c r="BQ1185" s="2">
        <v>45856</v>
      </c>
    </row>
    <row r="1186" spans="1:73" hidden="true">
      <c r="D1186" s="9" t="s">
        <v>11</v>
      </c>
      <c r="E1186" s="2">
        <v>45857</v>
      </c>
      <c r="F1186" s="38"/>
      <c r="G1186" s="51"/>
      <c r="H1186" s="4">
        <f>F509*50%</f>
        <v>1834.5</v>
      </c>
      <c r="I1186" s="120"/>
      <c r="J1186" s="4">
        <f>(G1186+H1186)-I1186</f>
        <v>1834.5</v>
      </c>
      <c r="K1186" s="4">
        <f>J1186+O1185</f>
        <v>449401.015</v>
      </c>
      <c r="L1186" s="3"/>
      <c r="M1186" s="3"/>
      <c r="N1186" s="33">
        <f>I1186+M1186</f>
        <v>0</v>
      </c>
      <c r="O1186" s="28">
        <f>K1186-M1186</f>
        <v>449401.015</v>
      </c>
      <c r="P1186" s="9" t="s">
        <v>11</v>
      </c>
      <c r="Q1186" s="2">
        <v>45857</v>
      </c>
      <c r="R1186" s="38"/>
      <c r="S1186" s="52"/>
      <c r="T1186" s="4">
        <f>R509*45%</f>
        <v>3001.05</v>
      </c>
      <c r="U1186" s="5"/>
      <c r="V1186" s="4">
        <f>(S1186+T1186)-U1186</f>
        <v>3001.05</v>
      </c>
      <c r="W1186" s="4">
        <f>V1186+AA1185</f>
        <v>224981.935</v>
      </c>
      <c r="X1186" s="3"/>
      <c r="Y1186" s="3"/>
      <c r="Z1186" s="25">
        <f>U1186+Y1186</f>
        <v>0</v>
      </c>
      <c r="AA1186" s="76">
        <f>W1186-Y1186</f>
        <v>224981.935</v>
      </c>
      <c r="AB1186" s="9" t="s">
        <v>11</v>
      </c>
      <c r="AC1186" s="19">
        <v>45857</v>
      </c>
      <c r="AD1186" s="41"/>
      <c r="AE1186" s="42"/>
      <c r="AF1186" s="4">
        <f>AD509-H1186-T1186</f>
        <v>5502.45</v>
      </c>
      <c r="AG1186" s="3"/>
      <c r="AH1186" s="8"/>
      <c r="AI1186" s="4">
        <f>(AE1186+AF1186)-AH1186</f>
        <v>5502.45</v>
      </c>
      <c r="AJ1186" s="4">
        <f>AI1186+BP1185</f>
        <v>-706626.6155</v>
      </c>
      <c r="AK1186" s="8"/>
      <c r="AL1186" s="8"/>
      <c r="AM1186" s="47"/>
      <c r="AN1186" s="47"/>
      <c r="AO1186" s="8"/>
      <c r="AP1186" s="8"/>
      <c r="AQ1186" s="47"/>
      <c r="AR1186" s="47"/>
      <c r="AS1186" s="8"/>
      <c r="AT1186" s="8"/>
      <c r="AU1186" s="47"/>
      <c r="AV1186" s="47"/>
      <c r="AW1186" s="8"/>
      <c r="AX1186" s="8"/>
      <c r="AY1186" s="47"/>
      <c r="AZ1186" s="47"/>
      <c r="BA1186" s="8"/>
      <c r="BB1186" s="8"/>
      <c r="BC1186" s="47"/>
      <c r="BD1186" s="47"/>
      <c r="BE1186" s="8"/>
      <c r="BF1186" s="8"/>
      <c r="BG1186" s="47"/>
      <c r="BH1186" s="47"/>
      <c r="BI1186" s="8"/>
      <c r="BJ1186" s="3"/>
      <c r="BK1186" s="47"/>
      <c r="BL1186" s="47"/>
      <c r="BM1186" s="46"/>
      <c r="BN1186" s="46"/>
      <c r="BO1186" s="24">
        <f>AL1186+AN1186+AP1186+AR1186+AT1186+AV1186+AX1186+AZ1186+BB1186+BD1186+BF1186+BH1186+BJ1186+BL1186+BN1186</f>
        <v>0</v>
      </c>
      <c r="BP1186" s="28">
        <f>AJ1186-BO1186</f>
        <v>-706626.6155</v>
      </c>
      <c r="BQ1186" s="2">
        <v>45857</v>
      </c>
    </row>
    <row r="1187" spans="1:73" hidden="true">
      <c r="D1187" s="9" t="s">
        <v>12</v>
      </c>
      <c r="E1187" s="2">
        <v>45858</v>
      </c>
      <c r="F1187" s="38"/>
      <c r="G1187" s="51"/>
      <c r="H1187" s="4">
        <f>F510*50%</f>
        <v>1835</v>
      </c>
      <c r="I1187" s="120"/>
      <c r="J1187" s="4">
        <f>(G1187+H1187)-I1187</f>
        <v>1835</v>
      </c>
      <c r="K1187" s="4">
        <f>J1187+O1186</f>
        <v>451236.015</v>
      </c>
      <c r="L1187" s="3"/>
      <c r="M1187" s="3"/>
      <c r="N1187" s="33">
        <f>I1187+M1187</f>
        <v>0</v>
      </c>
      <c r="O1187" s="28">
        <f>K1187-M1187</f>
        <v>451236.015</v>
      </c>
      <c r="P1187" s="9" t="s">
        <v>12</v>
      </c>
      <c r="Q1187" s="2">
        <v>45858</v>
      </c>
      <c r="R1187" s="38"/>
      <c r="S1187" s="52"/>
      <c r="T1187" s="4">
        <f>R510*45%</f>
        <v>3001.5</v>
      </c>
      <c r="U1187" s="5"/>
      <c r="V1187" s="4">
        <f>(S1187+T1187)-U1187</f>
        <v>3001.5</v>
      </c>
      <c r="W1187" s="4">
        <f>V1187+AA1186</f>
        <v>227983.435</v>
      </c>
      <c r="X1187" s="3"/>
      <c r="Y1187" s="3"/>
      <c r="Z1187" s="25">
        <f>U1187+Y1187</f>
        <v>0</v>
      </c>
      <c r="AA1187" s="76">
        <f>W1187-Y1187</f>
        <v>227983.435</v>
      </c>
      <c r="AB1187" s="9" t="s">
        <v>12</v>
      </c>
      <c r="AC1187" s="19">
        <v>45858</v>
      </c>
      <c r="AD1187" s="41"/>
      <c r="AE1187" s="42"/>
      <c r="AF1187" s="4">
        <f>AD510-H1187-T1187</f>
        <v>5503.5</v>
      </c>
      <c r="AG1187" s="3"/>
      <c r="AH1187" s="8"/>
      <c r="AI1187" s="4">
        <f>(AE1187+AF1187)-AH1187</f>
        <v>5503.5</v>
      </c>
      <c r="AJ1187" s="4">
        <f>AI1187+BP1186</f>
        <v>-701123.1155</v>
      </c>
      <c r="AK1187" s="8"/>
      <c r="AL1187" s="8"/>
      <c r="AM1187" s="47"/>
      <c r="AN1187" s="47"/>
      <c r="AO1187" s="8"/>
      <c r="AP1187" s="8"/>
      <c r="AQ1187" s="47"/>
      <c r="AR1187" s="47"/>
      <c r="AS1187" s="8"/>
      <c r="AT1187" s="8"/>
      <c r="AU1187" s="47"/>
      <c r="AV1187" s="47"/>
      <c r="AW1187" s="8"/>
      <c r="AX1187" s="8"/>
      <c r="AY1187" s="47"/>
      <c r="AZ1187" s="47"/>
      <c r="BA1187" s="8"/>
      <c r="BB1187" s="8"/>
      <c r="BC1187" s="47"/>
      <c r="BD1187" s="47"/>
      <c r="BE1187" s="8"/>
      <c r="BF1187" s="8"/>
      <c r="BG1187" s="47"/>
      <c r="BH1187" s="47"/>
      <c r="BI1187" s="8"/>
      <c r="BJ1187" s="3"/>
      <c r="BK1187" s="47"/>
      <c r="BL1187" s="47"/>
      <c r="BM1187" s="46"/>
      <c r="BN1187" s="46"/>
      <c r="BO1187" s="24">
        <f>AL1187+AN1187+AP1187+AR1187+AT1187+AV1187+AX1187+AZ1187+BB1187+BD1187+BF1187+BH1187+BJ1187+BL1187+BN1187</f>
        <v>0</v>
      </c>
      <c r="BP1187" s="28">
        <f>AJ1187-BO1187</f>
        <v>-701123.1155</v>
      </c>
      <c r="BQ1187" s="2">
        <v>45858</v>
      </c>
    </row>
    <row r="1188" spans="1:73" hidden="true">
      <c r="D1188" s="9" t="s">
        <v>13</v>
      </c>
      <c r="E1188" s="2">
        <v>45859</v>
      </c>
      <c r="F1188" s="38"/>
      <c r="G1188" s="51"/>
      <c r="H1188" s="4">
        <f>F511*50%</f>
        <v>1835.5</v>
      </c>
      <c r="I1188" s="120"/>
      <c r="J1188" s="4">
        <f>(G1188+H1188)-I1188</f>
        <v>1835.5</v>
      </c>
      <c r="K1188" s="4">
        <f>J1188+O1187</f>
        <v>453071.515</v>
      </c>
      <c r="L1188" s="3"/>
      <c r="M1188" s="3"/>
      <c r="N1188" s="33">
        <f>I1188+M1188</f>
        <v>0</v>
      </c>
      <c r="O1188" s="28">
        <f>K1188-M1188</f>
        <v>453071.515</v>
      </c>
      <c r="P1188" s="9" t="s">
        <v>13</v>
      </c>
      <c r="Q1188" s="2">
        <v>45859</v>
      </c>
      <c r="R1188" s="38"/>
      <c r="S1188" s="52"/>
      <c r="T1188" s="4">
        <f>R511*45%</f>
        <v>3001.95</v>
      </c>
      <c r="U1188" s="5"/>
      <c r="V1188" s="4">
        <f>(S1188+T1188)-U1188</f>
        <v>3001.95</v>
      </c>
      <c r="W1188" s="4">
        <f>V1188+AA1187</f>
        <v>230985.385</v>
      </c>
      <c r="X1188" s="3"/>
      <c r="Y1188" s="3"/>
      <c r="Z1188" s="25">
        <f>U1188+Y1188</f>
        <v>0</v>
      </c>
      <c r="AA1188" s="76">
        <f>W1188-Y1188</f>
        <v>230985.385</v>
      </c>
      <c r="AB1188" s="9" t="s">
        <v>13</v>
      </c>
      <c r="AC1188" s="19">
        <v>45859</v>
      </c>
      <c r="AD1188" s="41"/>
      <c r="AE1188" s="42"/>
      <c r="AF1188" s="4">
        <f>AD511-H1188-T1188</f>
        <v>5504.55</v>
      </c>
      <c r="AG1188" s="3"/>
      <c r="AH1188" s="8"/>
      <c r="AI1188" s="4">
        <f>(AE1188+AF1188)-AH1188</f>
        <v>5504.55</v>
      </c>
      <c r="AJ1188" s="4">
        <f>AI1188+BP1187</f>
        <v>-695618.5655</v>
      </c>
      <c r="AK1188" s="8"/>
      <c r="AL1188" s="8"/>
      <c r="AM1188" s="47"/>
      <c r="AN1188" s="47"/>
      <c r="AO1188" s="8"/>
      <c r="AP1188" s="8"/>
      <c r="AQ1188" s="47"/>
      <c r="AR1188" s="47"/>
      <c r="AS1188" s="8"/>
      <c r="AT1188" s="8"/>
      <c r="AU1188" s="47"/>
      <c r="AV1188" s="47"/>
      <c r="AW1188" s="8"/>
      <c r="AX1188" s="8"/>
      <c r="AY1188" s="47"/>
      <c r="AZ1188" s="47"/>
      <c r="BA1188" s="8"/>
      <c r="BB1188" s="8"/>
      <c r="BC1188" s="47"/>
      <c r="BD1188" s="47"/>
      <c r="BE1188" s="8"/>
      <c r="BF1188" s="8"/>
      <c r="BG1188" s="47"/>
      <c r="BH1188" s="47"/>
      <c r="BI1188" s="8"/>
      <c r="BJ1188" s="3"/>
      <c r="BK1188" s="47"/>
      <c r="BL1188" s="47"/>
      <c r="BM1188" s="46"/>
      <c r="BN1188" s="46"/>
      <c r="BO1188" s="24">
        <f>AL1188+AN1188+AP1188+AR1188+AT1188+AV1188+AX1188+AZ1188+BB1188+BD1188+BF1188+BH1188+BJ1188+BL1188+BN1188</f>
        <v>0</v>
      </c>
      <c r="BP1188" s="28">
        <f>AJ1188-BO1188</f>
        <v>-695618.5655</v>
      </c>
      <c r="BQ1188" s="2">
        <v>45859</v>
      </c>
    </row>
    <row r="1189" spans="1:73" hidden="true">
      <c r="D1189" s="9" t="s">
        <v>14</v>
      </c>
      <c r="E1189" s="2">
        <v>45860</v>
      </c>
      <c r="F1189" s="38"/>
      <c r="G1189" s="51"/>
      <c r="H1189" s="4">
        <f>F512*50%</f>
        <v>1836</v>
      </c>
      <c r="I1189" s="120"/>
      <c r="J1189" s="4">
        <f>(G1189+H1189)-I1189</f>
        <v>1836</v>
      </c>
      <c r="K1189" s="4">
        <f>J1189+O1188</f>
        <v>454907.515</v>
      </c>
      <c r="L1189" s="3"/>
      <c r="M1189" s="3"/>
      <c r="N1189" s="33">
        <f>I1189+M1189</f>
        <v>0</v>
      </c>
      <c r="O1189" s="28">
        <f>K1189-M1189</f>
        <v>454907.515</v>
      </c>
      <c r="P1189" s="9" t="s">
        <v>14</v>
      </c>
      <c r="Q1189" s="2">
        <v>45860</v>
      </c>
      <c r="R1189" s="38"/>
      <c r="S1189" s="52"/>
      <c r="T1189" s="4">
        <f>R512*45%</f>
        <v>3002.4</v>
      </c>
      <c r="U1189" s="5"/>
      <c r="V1189" s="4">
        <f>(S1189+T1189)-U1189</f>
        <v>3002.4</v>
      </c>
      <c r="W1189" s="4">
        <f>V1189+AA1188</f>
        <v>233987.785</v>
      </c>
      <c r="X1189" s="3"/>
      <c r="Y1189" s="3"/>
      <c r="Z1189" s="25">
        <f>U1189+Y1189</f>
        <v>0</v>
      </c>
      <c r="AA1189" s="76">
        <f>W1189-Y1189</f>
        <v>233987.785</v>
      </c>
      <c r="AB1189" s="9" t="s">
        <v>14</v>
      </c>
      <c r="AC1189" s="19">
        <v>45860</v>
      </c>
      <c r="AD1189" s="41"/>
      <c r="AE1189" s="42"/>
      <c r="AF1189" s="4">
        <f>AD512-H1189-T1189</f>
        <v>5505.6</v>
      </c>
      <c r="AG1189" s="3"/>
      <c r="AH1189" s="8"/>
      <c r="AI1189" s="4">
        <f>(AE1189+AF1189)-AH1189</f>
        <v>5505.6</v>
      </c>
      <c r="AJ1189" s="4">
        <f>AI1189+BP1188</f>
        <v>-690112.9655</v>
      </c>
      <c r="AK1189" s="8"/>
      <c r="AL1189" s="8"/>
      <c r="AM1189" s="47"/>
      <c r="AN1189" s="47"/>
      <c r="AO1189" s="8"/>
      <c r="AP1189" s="8"/>
      <c r="AQ1189" s="47"/>
      <c r="AR1189" s="47"/>
      <c r="AS1189" s="8"/>
      <c r="AT1189" s="8"/>
      <c r="AU1189" s="47"/>
      <c r="AV1189" s="47"/>
      <c r="AW1189" s="8"/>
      <c r="AX1189" s="8"/>
      <c r="AY1189" s="47"/>
      <c r="AZ1189" s="47"/>
      <c r="BA1189" s="8"/>
      <c r="BB1189" s="8"/>
      <c r="BC1189" s="47"/>
      <c r="BD1189" s="47"/>
      <c r="BE1189" s="8"/>
      <c r="BF1189" s="8"/>
      <c r="BG1189" s="47"/>
      <c r="BH1189" s="47"/>
      <c r="BI1189" s="8"/>
      <c r="BJ1189" s="3"/>
      <c r="BK1189" s="47"/>
      <c r="BL1189" s="47"/>
      <c r="BM1189" s="46"/>
      <c r="BN1189" s="46"/>
      <c r="BO1189" s="24">
        <f>AL1189+AN1189+AP1189+AR1189+AT1189+AV1189+AX1189+AZ1189+BB1189+BD1189+BF1189+BH1189+BJ1189+BL1189+BN1189</f>
        <v>0</v>
      </c>
      <c r="BP1189" s="28">
        <f>AJ1189-BO1189</f>
        <v>-690112.9655</v>
      </c>
      <c r="BQ1189" s="2">
        <v>45860</v>
      </c>
    </row>
    <row r="1190" spans="1:73" hidden="true">
      <c r="D1190" s="9" t="s">
        <v>15</v>
      </c>
      <c r="E1190" s="2">
        <v>45861</v>
      </c>
      <c r="F1190" s="38"/>
      <c r="G1190" s="51"/>
      <c r="H1190" s="4">
        <f>F513*50%</f>
        <v>1836.5</v>
      </c>
      <c r="I1190" s="120"/>
      <c r="J1190" s="4">
        <f>(G1190+H1190)-I1190</f>
        <v>1836.5</v>
      </c>
      <c r="K1190" s="4">
        <f>J1190+O1189</f>
        <v>456744.015</v>
      </c>
      <c r="L1190" s="3"/>
      <c r="M1190" s="3"/>
      <c r="N1190" s="33">
        <f>I1190+M1190</f>
        <v>0</v>
      </c>
      <c r="O1190" s="28">
        <f>K1190-M1190</f>
        <v>456744.015</v>
      </c>
      <c r="P1190" s="9" t="s">
        <v>15</v>
      </c>
      <c r="Q1190" s="2">
        <v>45861</v>
      </c>
      <c r="R1190" s="38"/>
      <c r="S1190" s="52"/>
      <c r="T1190" s="4">
        <f>R513*45%</f>
        <v>3002.85</v>
      </c>
      <c r="U1190" s="5"/>
      <c r="V1190" s="4">
        <f>(S1190+T1190)-U1190</f>
        <v>3002.85</v>
      </c>
      <c r="W1190" s="4">
        <f>V1190+AA1189</f>
        <v>236990.635</v>
      </c>
      <c r="X1190" s="3"/>
      <c r="Y1190" s="3"/>
      <c r="Z1190" s="25">
        <f>U1190+Y1190</f>
        <v>0</v>
      </c>
      <c r="AA1190" s="76">
        <f>W1190-Y1190</f>
        <v>236990.635</v>
      </c>
      <c r="AB1190" s="9" t="s">
        <v>15</v>
      </c>
      <c r="AC1190" s="19">
        <v>45861</v>
      </c>
      <c r="AD1190" s="41"/>
      <c r="AE1190" s="42"/>
      <c r="AF1190" s="4">
        <f>AD513-H1190-T1190</f>
        <v>5506.65</v>
      </c>
      <c r="AG1190" s="3"/>
      <c r="AH1190" s="8"/>
      <c r="AI1190" s="4">
        <f>(AE1190+AF1190)-AH1190</f>
        <v>5506.65</v>
      </c>
      <c r="AJ1190" s="4">
        <f>AI1190+BP1189</f>
        <v>-684606.3155</v>
      </c>
      <c r="AK1190" s="8"/>
      <c r="AL1190" s="8"/>
      <c r="AM1190" s="47"/>
      <c r="AN1190" s="47"/>
      <c r="AO1190" s="8"/>
      <c r="AP1190" s="8"/>
      <c r="AQ1190" s="47"/>
      <c r="AR1190" s="47"/>
      <c r="AS1190" s="8"/>
      <c r="AT1190" s="8"/>
      <c r="AU1190" s="47"/>
      <c r="AV1190" s="47"/>
      <c r="AW1190" s="8"/>
      <c r="AX1190" s="8"/>
      <c r="AY1190" s="47"/>
      <c r="AZ1190" s="47"/>
      <c r="BA1190" s="8"/>
      <c r="BB1190" s="8"/>
      <c r="BC1190" s="47"/>
      <c r="BD1190" s="47"/>
      <c r="BE1190" s="8"/>
      <c r="BF1190" s="8"/>
      <c r="BG1190" s="47"/>
      <c r="BH1190" s="47"/>
      <c r="BI1190" s="8"/>
      <c r="BJ1190" s="3"/>
      <c r="BK1190" s="47"/>
      <c r="BL1190" s="47"/>
      <c r="BM1190" s="46"/>
      <c r="BN1190" s="46"/>
      <c r="BO1190" s="24">
        <f>AL1190+AN1190+AP1190+AR1190+AT1190+AV1190+AX1190+AZ1190+BB1190+BD1190+BF1190+BH1190+BJ1190+BL1190+BN1190</f>
        <v>0</v>
      </c>
      <c r="BP1190" s="28">
        <f>AJ1190-BO1190</f>
        <v>-684606.3155</v>
      </c>
      <c r="BQ1190" s="2">
        <v>45861</v>
      </c>
    </row>
    <row r="1191" spans="1:73" hidden="true">
      <c r="D1191" s="9" t="s">
        <v>16</v>
      </c>
      <c r="E1191" s="2">
        <v>45862</v>
      </c>
      <c r="F1191" s="38"/>
      <c r="G1191" s="51"/>
      <c r="H1191" s="4">
        <f>F514*50%</f>
        <v>1837</v>
      </c>
      <c r="I1191" s="120"/>
      <c r="J1191" s="4">
        <f>(G1191+H1191)-I1191</f>
        <v>1837</v>
      </c>
      <c r="K1191" s="4">
        <f>J1191+O1190</f>
        <v>458581.015</v>
      </c>
      <c r="L1191" s="3"/>
      <c r="M1191" s="3"/>
      <c r="N1191" s="33">
        <f>I1191+M1191</f>
        <v>0</v>
      </c>
      <c r="O1191" s="28">
        <f>K1191-M1191</f>
        <v>458581.015</v>
      </c>
      <c r="P1191" s="9" t="s">
        <v>16</v>
      </c>
      <c r="Q1191" s="2">
        <v>45862</v>
      </c>
      <c r="R1191" s="38"/>
      <c r="S1191" s="52"/>
      <c r="T1191" s="4">
        <f>R514*45%</f>
        <v>3003.3</v>
      </c>
      <c r="U1191" s="5"/>
      <c r="V1191" s="4">
        <f>(S1191+T1191)-U1191</f>
        <v>3003.3</v>
      </c>
      <c r="W1191" s="4">
        <f>V1191+AA1190</f>
        <v>239993.935</v>
      </c>
      <c r="X1191" s="3"/>
      <c r="Y1191" s="3"/>
      <c r="Z1191" s="25">
        <f>U1191+Y1191</f>
        <v>0</v>
      </c>
      <c r="AA1191" s="76">
        <f>W1191-Y1191</f>
        <v>239993.935</v>
      </c>
      <c r="AB1191" s="9" t="s">
        <v>16</v>
      </c>
      <c r="AC1191" s="19">
        <v>45862</v>
      </c>
      <c r="AD1191" s="41"/>
      <c r="AE1191" s="42"/>
      <c r="AF1191" s="4">
        <f>AD514-H1191-T1191</f>
        <v>5507.7</v>
      </c>
      <c r="AG1191" s="3"/>
      <c r="AH1191" s="8"/>
      <c r="AI1191" s="4">
        <f>(AE1191+AF1191)-AH1191</f>
        <v>5507.7</v>
      </c>
      <c r="AJ1191" s="4">
        <f>AI1191+BP1190</f>
        <v>-679098.6155</v>
      </c>
      <c r="AK1191" s="8"/>
      <c r="AL1191" s="8"/>
      <c r="AM1191" s="47"/>
      <c r="AN1191" s="47"/>
      <c r="AO1191" s="8"/>
      <c r="AP1191" s="8"/>
      <c r="AQ1191" s="47"/>
      <c r="AR1191" s="47"/>
      <c r="AS1191" s="8"/>
      <c r="AT1191" s="8"/>
      <c r="AU1191" s="47"/>
      <c r="AV1191" s="47"/>
      <c r="AW1191" s="8"/>
      <c r="AX1191" s="8"/>
      <c r="AY1191" s="47"/>
      <c r="AZ1191" s="47"/>
      <c r="BA1191" s="8"/>
      <c r="BB1191" s="8"/>
      <c r="BC1191" s="47"/>
      <c r="BD1191" s="47"/>
      <c r="BE1191" s="8"/>
      <c r="BF1191" s="8"/>
      <c r="BG1191" s="47"/>
      <c r="BH1191" s="47"/>
      <c r="BI1191" s="8"/>
      <c r="BJ1191" s="3"/>
      <c r="BK1191" s="47"/>
      <c r="BL1191" s="47"/>
      <c r="BM1191" s="46"/>
      <c r="BN1191" s="46"/>
      <c r="BO1191" s="24">
        <f>AL1191+AN1191+AP1191+AR1191+AT1191+AV1191+AX1191+AZ1191+BB1191+BD1191+BF1191+BH1191+BJ1191+BL1191+BN1191</f>
        <v>0</v>
      </c>
      <c r="BP1191" s="28">
        <f>AJ1191-BO1191</f>
        <v>-679098.6155</v>
      </c>
      <c r="BQ1191" s="2">
        <v>45862</v>
      </c>
    </row>
    <row r="1192" spans="1:73" hidden="true">
      <c r="D1192" s="9" t="s">
        <v>10</v>
      </c>
      <c r="E1192" s="2">
        <v>45863</v>
      </c>
      <c r="F1192" s="38"/>
      <c r="G1192" s="51"/>
      <c r="H1192" s="4">
        <f>F515*50%</f>
        <v>1837.5</v>
      </c>
      <c r="I1192" s="120"/>
      <c r="J1192" s="4">
        <f>(G1192+H1192)-I1192</f>
        <v>1837.5</v>
      </c>
      <c r="K1192" s="4">
        <f>J1192+O1191</f>
        <v>460418.515</v>
      </c>
      <c r="L1192" s="3"/>
      <c r="M1192" s="3"/>
      <c r="N1192" s="33">
        <f>I1192+M1192</f>
        <v>0</v>
      </c>
      <c r="O1192" s="28">
        <f>K1192-M1192</f>
        <v>460418.515</v>
      </c>
      <c r="P1192" s="9" t="s">
        <v>10</v>
      </c>
      <c r="Q1192" s="2">
        <v>45863</v>
      </c>
      <c r="R1192" s="38"/>
      <c r="S1192" s="52"/>
      <c r="T1192" s="4">
        <f>R515*45%</f>
        <v>3003.75</v>
      </c>
      <c r="U1192" s="5"/>
      <c r="V1192" s="4">
        <f>(S1192+T1192)-U1192</f>
        <v>3003.75</v>
      </c>
      <c r="W1192" s="4">
        <f>V1192+AA1191</f>
        <v>242997.685</v>
      </c>
      <c r="X1192" s="3"/>
      <c r="Y1192" s="3"/>
      <c r="Z1192" s="25">
        <f>U1192+Y1192</f>
        <v>0</v>
      </c>
      <c r="AA1192" s="76">
        <f>W1192-Y1192</f>
        <v>242997.685</v>
      </c>
      <c r="AB1192" s="9" t="s">
        <v>10</v>
      </c>
      <c r="AC1192" s="19">
        <v>45863</v>
      </c>
      <c r="AD1192" s="41"/>
      <c r="AE1192" s="42"/>
      <c r="AF1192" s="4">
        <f>AD515-H1192-T1192</f>
        <v>5508.75</v>
      </c>
      <c r="AG1192" s="3"/>
      <c r="AH1192" s="8"/>
      <c r="AI1192" s="4">
        <f>(AE1192+AF1192)-AH1192</f>
        <v>5508.75</v>
      </c>
      <c r="AJ1192" s="4">
        <f>AI1192+BP1191</f>
        <v>-673589.8655</v>
      </c>
      <c r="AK1192" s="8"/>
      <c r="AL1192" s="8"/>
      <c r="AM1192" s="47"/>
      <c r="AN1192" s="47"/>
      <c r="AO1192" s="8"/>
      <c r="AP1192" s="8"/>
      <c r="AQ1192" s="47"/>
      <c r="AR1192" s="47"/>
      <c r="AS1192" s="8"/>
      <c r="AT1192" s="8"/>
      <c r="AU1192" s="47"/>
      <c r="AV1192" s="47"/>
      <c r="AW1192" s="8"/>
      <c r="AX1192" s="8"/>
      <c r="AY1192" s="47"/>
      <c r="AZ1192" s="47"/>
      <c r="BA1192" s="8"/>
      <c r="BB1192" s="8"/>
      <c r="BC1192" s="47"/>
      <c r="BD1192" s="47"/>
      <c r="BE1192" s="8"/>
      <c r="BF1192" s="8"/>
      <c r="BG1192" s="47"/>
      <c r="BH1192" s="47"/>
      <c r="BI1192" s="8"/>
      <c r="BJ1192" s="3"/>
      <c r="BK1192" s="47"/>
      <c r="BL1192" s="47"/>
      <c r="BM1192" s="46"/>
      <c r="BN1192" s="46"/>
      <c r="BO1192" s="24">
        <f>AL1192+AN1192+AP1192+AR1192+AT1192+AV1192+AX1192+AZ1192+BB1192+BD1192+BF1192+BH1192+BJ1192+BL1192+BN1192</f>
        <v>0</v>
      </c>
      <c r="BP1192" s="28">
        <f>AJ1192-BO1192</f>
        <v>-673589.8655</v>
      </c>
      <c r="BQ1192" s="2">
        <v>45863</v>
      </c>
    </row>
    <row r="1193" spans="1:73" hidden="true">
      <c r="D1193" s="9" t="s">
        <v>11</v>
      </c>
      <c r="E1193" s="2">
        <v>45864</v>
      </c>
      <c r="F1193" s="38"/>
      <c r="G1193" s="51"/>
      <c r="H1193" s="4">
        <f>F516*50%</f>
        <v>1838</v>
      </c>
      <c r="I1193" s="120"/>
      <c r="J1193" s="4">
        <f>(G1193+H1193)-I1193</f>
        <v>1838</v>
      </c>
      <c r="K1193" s="4">
        <f>J1193+O1192</f>
        <v>462256.515</v>
      </c>
      <c r="L1193" s="3"/>
      <c r="M1193" s="3"/>
      <c r="N1193" s="33">
        <f>I1193+M1193</f>
        <v>0</v>
      </c>
      <c r="O1193" s="28">
        <f>K1193-M1193</f>
        <v>462256.515</v>
      </c>
      <c r="P1193" s="9" t="s">
        <v>11</v>
      </c>
      <c r="Q1193" s="2">
        <v>45864</v>
      </c>
      <c r="R1193" s="38"/>
      <c r="S1193" s="52"/>
      <c r="T1193" s="4">
        <f>R516*45%</f>
        <v>3004.2</v>
      </c>
      <c r="U1193" s="5"/>
      <c r="V1193" s="4">
        <f>(S1193+T1193)-U1193</f>
        <v>3004.2</v>
      </c>
      <c r="W1193" s="4">
        <f>V1193+AA1192</f>
        <v>246001.885</v>
      </c>
      <c r="X1193" s="3"/>
      <c r="Y1193" s="3"/>
      <c r="Z1193" s="25">
        <f>U1193+Y1193</f>
        <v>0</v>
      </c>
      <c r="AA1193" s="76">
        <f>W1193-Y1193</f>
        <v>246001.885</v>
      </c>
      <c r="AB1193" s="9" t="s">
        <v>11</v>
      </c>
      <c r="AC1193" s="19">
        <v>45864</v>
      </c>
      <c r="AD1193" s="41"/>
      <c r="AE1193" s="42"/>
      <c r="AF1193" s="4">
        <f>AD516-H1193-T1193</f>
        <v>5509.8</v>
      </c>
      <c r="AG1193" s="3"/>
      <c r="AH1193" s="8"/>
      <c r="AI1193" s="4">
        <f>(AE1193+AF1193)-AH1193</f>
        <v>5509.8</v>
      </c>
      <c r="AJ1193" s="4">
        <f>AI1193+BP1192</f>
        <v>-668080.0655</v>
      </c>
      <c r="AK1193" s="8"/>
      <c r="AL1193" s="8"/>
      <c r="AM1193" s="47"/>
      <c r="AN1193" s="47"/>
      <c r="AO1193" s="8"/>
      <c r="AP1193" s="8"/>
      <c r="AQ1193" s="47"/>
      <c r="AR1193" s="47"/>
      <c r="AS1193" s="8"/>
      <c r="AT1193" s="8"/>
      <c r="AU1193" s="47"/>
      <c r="AV1193" s="47"/>
      <c r="AW1193" s="8"/>
      <c r="AX1193" s="8"/>
      <c r="AY1193" s="47"/>
      <c r="AZ1193" s="47"/>
      <c r="BA1193" s="8"/>
      <c r="BB1193" s="8"/>
      <c r="BC1193" s="47"/>
      <c r="BD1193" s="47"/>
      <c r="BE1193" s="8"/>
      <c r="BF1193" s="8"/>
      <c r="BG1193" s="47"/>
      <c r="BH1193" s="47"/>
      <c r="BI1193" s="8"/>
      <c r="BJ1193" s="3"/>
      <c r="BK1193" s="47"/>
      <c r="BL1193" s="47"/>
      <c r="BM1193" s="46"/>
      <c r="BN1193" s="46"/>
      <c r="BO1193" s="24">
        <f>AL1193+AN1193+AP1193+AR1193+AT1193+AV1193+AX1193+AZ1193+BB1193+BD1193+BF1193+BH1193+BJ1193+BL1193+BN1193</f>
        <v>0</v>
      </c>
      <c r="BP1193" s="28">
        <f>AJ1193-BO1193</f>
        <v>-668080.0655</v>
      </c>
      <c r="BQ1193" s="2">
        <v>45864</v>
      </c>
    </row>
    <row r="1194" spans="1:73" hidden="true">
      <c r="D1194" s="9" t="s">
        <v>12</v>
      </c>
      <c r="E1194" s="2">
        <v>45865</v>
      </c>
      <c r="F1194" s="38"/>
      <c r="G1194" s="51"/>
      <c r="H1194" s="4">
        <f>F517*50%</f>
        <v>1838.5</v>
      </c>
      <c r="I1194" s="120"/>
      <c r="J1194" s="4">
        <f>(G1194+H1194)-I1194</f>
        <v>1838.5</v>
      </c>
      <c r="K1194" s="4">
        <f>J1194+O1193</f>
        <v>464095.015</v>
      </c>
      <c r="L1194" s="3"/>
      <c r="M1194" s="3"/>
      <c r="N1194" s="33">
        <f>I1194+M1194</f>
        <v>0</v>
      </c>
      <c r="O1194" s="28">
        <f>K1194-M1194</f>
        <v>464095.015</v>
      </c>
      <c r="P1194" s="9" t="s">
        <v>12</v>
      </c>
      <c r="Q1194" s="2">
        <v>45865</v>
      </c>
      <c r="R1194" s="38"/>
      <c r="S1194" s="52"/>
      <c r="T1194" s="4">
        <f>R517*45%</f>
        <v>3004.65</v>
      </c>
      <c r="U1194" s="5"/>
      <c r="V1194" s="4">
        <f>(S1194+T1194)-U1194</f>
        <v>3004.65</v>
      </c>
      <c r="W1194" s="4">
        <f>V1194+AA1193</f>
        <v>249006.535</v>
      </c>
      <c r="X1194" s="3"/>
      <c r="Y1194" s="3"/>
      <c r="Z1194" s="25">
        <f>U1194+Y1194</f>
        <v>0</v>
      </c>
      <c r="AA1194" s="76">
        <f>W1194-Y1194</f>
        <v>249006.535</v>
      </c>
      <c r="AB1194" s="9" t="s">
        <v>12</v>
      </c>
      <c r="AC1194" s="19">
        <v>45865</v>
      </c>
      <c r="AD1194" s="41"/>
      <c r="AE1194" s="42"/>
      <c r="AF1194" s="4">
        <f>AD517-H1194-T1194</f>
        <v>5510.85</v>
      </c>
      <c r="AG1194" s="3"/>
      <c r="AH1194" s="8"/>
      <c r="AI1194" s="4">
        <f>(AE1194+AF1194)-AH1194</f>
        <v>5510.85</v>
      </c>
      <c r="AJ1194" s="4">
        <f>AI1194+BP1193</f>
        <v>-662569.2155</v>
      </c>
      <c r="AK1194" s="8"/>
      <c r="AL1194" s="8"/>
      <c r="AM1194" s="47"/>
      <c r="AN1194" s="47"/>
      <c r="AO1194" s="8"/>
      <c r="AP1194" s="8"/>
      <c r="AQ1194" s="47"/>
      <c r="AR1194" s="47"/>
      <c r="AS1194" s="8"/>
      <c r="AT1194" s="8"/>
      <c r="AU1194" s="47"/>
      <c r="AV1194" s="47"/>
      <c r="AW1194" s="8"/>
      <c r="AX1194" s="8"/>
      <c r="AY1194" s="47"/>
      <c r="AZ1194" s="47"/>
      <c r="BA1194" s="8"/>
      <c r="BB1194" s="8"/>
      <c r="BC1194" s="47"/>
      <c r="BD1194" s="47"/>
      <c r="BE1194" s="8"/>
      <c r="BF1194" s="8"/>
      <c r="BG1194" s="47"/>
      <c r="BH1194" s="47"/>
      <c r="BI1194" s="8"/>
      <c r="BJ1194" s="3"/>
      <c r="BK1194" s="47"/>
      <c r="BL1194" s="47"/>
      <c r="BM1194" s="46"/>
      <c r="BN1194" s="46"/>
      <c r="BO1194" s="24">
        <f>AL1194+AN1194+AP1194+AR1194+AT1194+AV1194+AX1194+AZ1194+BB1194+BD1194+BF1194+BH1194+BJ1194+BL1194+BN1194</f>
        <v>0</v>
      </c>
      <c r="BP1194" s="28">
        <f>AJ1194-BO1194</f>
        <v>-662569.2155</v>
      </c>
      <c r="BQ1194" s="2">
        <v>45865</v>
      </c>
    </row>
    <row r="1195" spans="1:73" hidden="true">
      <c r="D1195" s="9" t="s">
        <v>13</v>
      </c>
      <c r="E1195" s="2">
        <v>45866</v>
      </c>
      <c r="F1195" s="38"/>
      <c r="G1195" s="51"/>
      <c r="H1195" s="4">
        <f>F518*50%</f>
        <v>1839</v>
      </c>
      <c r="I1195" s="120"/>
      <c r="J1195" s="4">
        <f>(G1195+H1195)-I1195</f>
        <v>1839</v>
      </c>
      <c r="K1195" s="4">
        <f>J1195+O1194</f>
        <v>465934.015</v>
      </c>
      <c r="L1195" s="3"/>
      <c r="M1195" s="3"/>
      <c r="N1195" s="33">
        <f>I1195+M1195</f>
        <v>0</v>
      </c>
      <c r="O1195" s="28">
        <f>K1195-M1195</f>
        <v>465934.015</v>
      </c>
      <c r="P1195" s="9" t="s">
        <v>13</v>
      </c>
      <c r="Q1195" s="2">
        <v>45866</v>
      </c>
      <c r="R1195" s="38"/>
      <c r="S1195" s="52"/>
      <c r="T1195" s="4">
        <f>R518*45%</f>
        <v>3005.1</v>
      </c>
      <c r="U1195" s="5"/>
      <c r="V1195" s="4">
        <f>(S1195+T1195)-U1195</f>
        <v>3005.1</v>
      </c>
      <c r="W1195" s="4">
        <f>V1195+AA1194</f>
        <v>252011.635</v>
      </c>
      <c r="X1195" s="3"/>
      <c r="Y1195" s="3"/>
      <c r="Z1195" s="25">
        <f>U1195+Y1195</f>
        <v>0</v>
      </c>
      <c r="AA1195" s="76">
        <f>W1195-Y1195</f>
        <v>252011.635</v>
      </c>
      <c r="AB1195" s="9" t="s">
        <v>13</v>
      </c>
      <c r="AC1195" s="19">
        <v>45866</v>
      </c>
      <c r="AD1195" s="41"/>
      <c r="AE1195" s="42"/>
      <c r="AF1195" s="4">
        <f>AD518-H1195-T1195</f>
        <v>5511.9</v>
      </c>
      <c r="AG1195" s="3"/>
      <c r="AH1195" s="8"/>
      <c r="AI1195" s="4">
        <f>(AE1195+AF1195)-AH1195</f>
        <v>5511.9</v>
      </c>
      <c r="AJ1195" s="4">
        <f>AI1195+BP1194</f>
        <v>-657057.3155</v>
      </c>
      <c r="AK1195" s="8"/>
      <c r="AL1195" s="8"/>
      <c r="AM1195" s="47"/>
      <c r="AN1195" s="47"/>
      <c r="AO1195" s="8"/>
      <c r="AP1195" s="8"/>
      <c r="AQ1195" s="47"/>
      <c r="AR1195" s="47"/>
      <c r="AS1195" s="8"/>
      <c r="AT1195" s="8"/>
      <c r="AU1195" s="47"/>
      <c r="AV1195" s="47"/>
      <c r="AW1195" s="8"/>
      <c r="AX1195" s="8"/>
      <c r="AY1195" s="47"/>
      <c r="AZ1195" s="47"/>
      <c r="BA1195" s="8"/>
      <c r="BB1195" s="8"/>
      <c r="BC1195" s="47"/>
      <c r="BD1195" s="47"/>
      <c r="BE1195" s="8"/>
      <c r="BF1195" s="8"/>
      <c r="BG1195" s="47"/>
      <c r="BH1195" s="47"/>
      <c r="BI1195" s="8"/>
      <c r="BJ1195" s="3"/>
      <c r="BK1195" s="47"/>
      <c r="BL1195" s="47"/>
      <c r="BM1195" s="46"/>
      <c r="BN1195" s="46"/>
      <c r="BO1195" s="24">
        <f>AL1195+AN1195+AP1195+AR1195+AT1195+AV1195+AX1195+AZ1195+BB1195+BD1195+BF1195+BH1195+BJ1195+BL1195+BN1195</f>
        <v>0</v>
      </c>
      <c r="BP1195" s="28">
        <f>AJ1195-BO1195</f>
        <v>-657057.3155</v>
      </c>
      <c r="BQ1195" s="2">
        <v>45866</v>
      </c>
    </row>
    <row r="1196" spans="1:73" hidden="true">
      <c r="D1196" s="9" t="s">
        <v>14</v>
      </c>
      <c r="E1196" s="2">
        <v>45867</v>
      </c>
      <c r="F1196" s="38"/>
      <c r="G1196" s="51"/>
      <c r="H1196" s="4">
        <f>F519*50%</f>
        <v>1839.5</v>
      </c>
      <c r="I1196" s="120"/>
      <c r="J1196" s="4">
        <f>(G1196+H1196)-I1196</f>
        <v>1839.5</v>
      </c>
      <c r="K1196" s="4">
        <f>J1196+O1195</f>
        <v>467773.515</v>
      </c>
      <c r="L1196" s="3"/>
      <c r="M1196" s="3"/>
      <c r="N1196" s="33">
        <f>I1196+M1196</f>
        <v>0</v>
      </c>
      <c r="O1196" s="28">
        <f>K1196-M1196</f>
        <v>467773.515</v>
      </c>
      <c r="P1196" s="9" t="s">
        <v>14</v>
      </c>
      <c r="Q1196" s="2">
        <v>45867</v>
      </c>
      <c r="R1196" s="38"/>
      <c r="S1196" s="52"/>
      <c r="T1196" s="4">
        <f>R519*45%</f>
        <v>3005.55</v>
      </c>
      <c r="U1196" s="5"/>
      <c r="V1196" s="4">
        <f>(S1196+T1196)-U1196</f>
        <v>3005.55</v>
      </c>
      <c r="W1196" s="4">
        <f>V1196+AA1195</f>
        <v>255017.185</v>
      </c>
      <c r="X1196" s="3"/>
      <c r="Y1196" s="3"/>
      <c r="Z1196" s="25">
        <f>U1196+Y1196</f>
        <v>0</v>
      </c>
      <c r="AA1196" s="76">
        <f>W1196-Y1196</f>
        <v>255017.185</v>
      </c>
      <c r="AB1196" s="9" t="s">
        <v>14</v>
      </c>
      <c r="AC1196" s="19">
        <v>45867</v>
      </c>
      <c r="AD1196" s="41"/>
      <c r="AE1196" s="42"/>
      <c r="AF1196" s="4">
        <f>AD519-H1196-T1196</f>
        <v>5512.95</v>
      </c>
      <c r="AG1196" s="3"/>
      <c r="AH1196" s="8"/>
      <c r="AI1196" s="4">
        <f>(AE1196+AF1196)-AH1196</f>
        <v>5512.95</v>
      </c>
      <c r="AJ1196" s="4">
        <f>AI1196+BP1195</f>
        <v>-651544.3655</v>
      </c>
      <c r="AK1196" s="8"/>
      <c r="AL1196" s="8"/>
      <c r="AM1196" s="47"/>
      <c r="AN1196" s="47"/>
      <c r="AO1196" s="8"/>
      <c r="AP1196" s="8"/>
      <c r="AQ1196" s="47"/>
      <c r="AR1196" s="47"/>
      <c r="AS1196" s="8"/>
      <c r="AT1196" s="8"/>
      <c r="AU1196" s="47"/>
      <c r="AV1196" s="47"/>
      <c r="AW1196" s="8"/>
      <c r="AX1196" s="8"/>
      <c r="AY1196" s="47"/>
      <c r="AZ1196" s="47"/>
      <c r="BA1196" s="8"/>
      <c r="BB1196" s="8"/>
      <c r="BC1196" s="47"/>
      <c r="BD1196" s="47"/>
      <c r="BE1196" s="8"/>
      <c r="BF1196" s="8"/>
      <c r="BG1196" s="47"/>
      <c r="BH1196" s="47"/>
      <c r="BI1196" s="8"/>
      <c r="BJ1196" s="3"/>
      <c r="BK1196" s="47"/>
      <c r="BL1196" s="47"/>
      <c r="BM1196" s="46"/>
      <c r="BN1196" s="46"/>
      <c r="BO1196" s="24">
        <f>AL1196+AN1196+AP1196+AR1196+AT1196+AV1196+AX1196+AZ1196+BB1196+BD1196+BF1196+BH1196+BJ1196+BL1196+BN1196</f>
        <v>0</v>
      </c>
      <c r="BP1196" s="28">
        <f>AJ1196-BO1196</f>
        <v>-651544.3655</v>
      </c>
      <c r="BQ1196" s="2">
        <v>45867</v>
      </c>
    </row>
    <row r="1197" spans="1:73" hidden="true">
      <c r="D1197" s="9" t="s">
        <v>15</v>
      </c>
      <c r="E1197" s="2">
        <v>45868</v>
      </c>
      <c r="F1197" s="38"/>
      <c r="G1197" s="51"/>
      <c r="H1197" s="4">
        <f>F520*50%</f>
        <v>1840</v>
      </c>
      <c r="I1197" s="120"/>
      <c r="J1197" s="4">
        <f>(G1197+H1197)-I1197</f>
        <v>1840</v>
      </c>
      <c r="K1197" s="4">
        <f>J1197+O1196</f>
        <v>469613.515</v>
      </c>
      <c r="L1197" s="3"/>
      <c r="M1197" s="3"/>
      <c r="N1197" s="33">
        <f>I1197+M1197</f>
        <v>0</v>
      </c>
      <c r="O1197" s="28">
        <f>K1197-M1197</f>
        <v>469613.515</v>
      </c>
      <c r="P1197" s="9" t="s">
        <v>15</v>
      </c>
      <c r="Q1197" s="2">
        <v>45868</v>
      </c>
      <c r="R1197" s="38"/>
      <c r="S1197" s="52"/>
      <c r="T1197" s="4">
        <f>R520*45%</f>
        <v>3006</v>
      </c>
      <c r="U1197" s="5"/>
      <c r="V1197" s="4">
        <f>(S1197+T1197)-U1197</f>
        <v>3006</v>
      </c>
      <c r="W1197" s="4">
        <f>V1197+AA1196</f>
        <v>258023.185</v>
      </c>
      <c r="X1197" s="3"/>
      <c r="Y1197" s="3"/>
      <c r="Z1197" s="25">
        <f>U1197+Y1197</f>
        <v>0</v>
      </c>
      <c r="AA1197" s="76">
        <f>W1197-Y1197</f>
        <v>258023.185</v>
      </c>
      <c r="AB1197" s="9" t="s">
        <v>15</v>
      </c>
      <c r="AC1197" s="19">
        <v>45868</v>
      </c>
      <c r="AD1197" s="41"/>
      <c r="AE1197" s="42"/>
      <c r="AF1197" s="4">
        <f>AD520-H1197-T1197</f>
        <v>5514</v>
      </c>
      <c r="AG1197" s="3"/>
      <c r="AH1197" s="8"/>
      <c r="AI1197" s="4">
        <f>(AE1197+AF1197)-AH1197</f>
        <v>5514</v>
      </c>
      <c r="AJ1197" s="4">
        <f>AI1197+BP1196</f>
        <v>-646030.3655</v>
      </c>
      <c r="AK1197" s="8"/>
      <c r="AL1197" s="8"/>
      <c r="AM1197" s="47"/>
      <c r="AN1197" s="47"/>
      <c r="AO1197" s="8"/>
      <c r="AP1197" s="8"/>
      <c r="AQ1197" s="47"/>
      <c r="AR1197" s="47"/>
      <c r="AS1197" s="8"/>
      <c r="AT1197" s="8"/>
      <c r="AU1197" s="47"/>
      <c r="AV1197" s="47"/>
      <c r="AW1197" s="8"/>
      <c r="AX1197" s="8"/>
      <c r="AY1197" s="47"/>
      <c r="AZ1197" s="47"/>
      <c r="BA1197" s="8"/>
      <c r="BB1197" s="8"/>
      <c r="BC1197" s="47"/>
      <c r="BD1197" s="47"/>
      <c r="BE1197" s="8"/>
      <c r="BF1197" s="8"/>
      <c r="BG1197" s="47"/>
      <c r="BH1197" s="47"/>
      <c r="BI1197" s="8"/>
      <c r="BJ1197" s="3"/>
      <c r="BK1197" s="47"/>
      <c r="BL1197" s="47"/>
      <c r="BM1197" s="46"/>
      <c r="BN1197" s="46"/>
      <c r="BO1197" s="24">
        <f>AL1197+AN1197+AP1197+AR1197+AT1197+AV1197+AX1197+AZ1197+BB1197+BD1197+BF1197+BH1197+BJ1197+BL1197+BN1197</f>
        <v>0</v>
      </c>
      <c r="BP1197" s="28">
        <f>AJ1197-BO1197</f>
        <v>-646030.3655</v>
      </c>
      <c r="BQ1197" s="2">
        <v>45868</v>
      </c>
    </row>
    <row r="1198" spans="1:73" hidden="true">
      <c r="D1198" s="9" t="s">
        <v>16</v>
      </c>
      <c r="E1198" s="2">
        <v>45869</v>
      </c>
      <c r="F1198" s="38"/>
      <c r="G1198" s="51"/>
      <c r="H1198" s="4">
        <f>F521*50%</f>
        <v>1840.5</v>
      </c>
      <c r="I1198" s="120"/>
      <c r="J1198" s="4">
        <f>(G1198+H1198)-I1198</f>
        <v>1840.5</v>
      </c>
      <c r="K1198" s="4">
        <f>J1198+O1197</f>
        <v>471454.015</v>
      </c>
      <c r="L1198" s="3"/>
      <c r="M1198" s="3"/>
      <c r="N1198" s="33">
        <f>I1198+M1198</f>
        <v>0</v>
      </c>
      <c r="O1198" s="28">
        <f>K1198-M1198</f>
        <v>471454.015</v>
      </c>
      <c r="P1198" s="9" t="s">
        <v>16</v>
      </c>
      <c r="Q1198" s="2">
        <v>45869</v>
      </c>
      <c r="R1198" s="38"/>
      <c r="S1198" s="52"/>
      <c r="T1198" s="4">
        <f>R521*45%</f>
        <v>3006.45</v>
      </c>
      <c r="U1198" s="5"/>
      <c r="V1198" s="4">
        <f>(S1198+T1198)-U1198</f>
        <v>3006.45</v>
      </c>
      <c r="W1198" s="4">
        <f>V1198+AA1197</f>
        <v>261029.635</v>
      </c>
      <c r="X1198" s="3"/>
      <c r="Y1198" s="3"/>
      <c r="Z1198" s="25">
        <f>U1198+Y1198</f>
        <v>0</v>
      </c>
      <c r="AA1198" s="76">
        <f>W1198-Y1198</f>
        <v>261029.635</v>
      </c>
      <c r="AB1198" s="9" t="s">
        <v>16</v>
      </c>
      <c r="AC1198" s="19">
        <v>45869</v>
      </c>
      <c r="AD1198" s="41"/>
      <c r="AE1198" s="42"/>
      <c r="AF1198" s="4">
        <f>AD521-H1198-T1198</f>
        <v>5515.05</v>
      </c>
      <c r="AG1198" s="3"/>
      <c r="AH1198" s="8"/>
      <c r="AI1198" s="4">
        <f>(AE1198+AF1198)-AH1198</f>
        <v>5515.05</v>
      </c>
      <c r="AJ1198" s="4">
        <f>AI1198+BP1197</f>
        <v>-640515.3155</v>
      </c>
      <c r="AK1198" s="8"/>
      <c r="AL1198" s="8"/>
      <c r="AM1198" s="47"/>
      <c r="AN1198" s="47"/>
      <c r="AO1198" s="8"/>
      <c r="AP1198" s="8"/>
      <c r="AQ1198" s="47"/>
      <c r="AR1198" s="47"/>
      <c r="AS1198" s="8"/>
      <c r="AT1198" s="8"/>
      <c r="AU1198" s="47"/>
      <c r="AV1198" s="47"/>
      <c r="AW1198" s="8"/>
      <c r="AX1198" s="8"/>
      <c r="AY1198" s="47"/>
      <c r="AZ1198" s="47"/>
      <c r="BA1198" s="8"/>
      <c r="BB1198" s="8"/>
      <c r="BC1198" s="47"/>
      <c r="BD1198" s="47"/>
      <c r="BE1198" s="8"/>
      <c r="BF1198" s="8"/>
      <c r="BG1198" s="47"/>
      <c r="BH1198" s="47"/>
      <c r="BI1198" s="8"/>
      <c r="BJ1198" s="3"/>
      <c r="BK1198" s="47"/>
      <c r="BL1198" s="47"/>
      <c r="BM1198" s="46"/>
      <c r="BN1198" s="46"/>
      <c r="BO1198" s="24">
        <f>AL1198+AN1198+AP1198+AR1198+AT1198+AV1198+AX1198+AZ1198+BB1198+BD1198+BF1198+BH1198+BJ1198+BL1198+BN1198</f>
        <v>0</v>
      </c>
      <c r="BP1198" s="28">
        <f>AJ1198-BO1198</f>
        <v>-640515.3155</v>
      </c>
      <c r="BQ1198" s="2">
        <v>45869</v>
      </c>
    </row>
    <row r="1199" spans="1:73" hidden="true">
      <c r="D1199" s="9" t="s">
        <v>10</v>
      </c>
      <c r="E1199" s="2">
        <v>45870</v>
      </c>
      <c r="F1199" s="38"/>
      <c r="G1199" s="51"/>
      <c r="H1199" s="4">
        <f>F522*50%</f>
        <v>1841</v>
      </c>
      <c r="I1199" s="120"/>
      <c r="J1199" s="4">
        <f>(G1199+H1199)-I1199</f>
        <v>1841</v>
      </c>
      <c r="K1199" s="4">
        <f>J1199+O1198</f>
        <v>473295.015</v>
      </c>
      <c r="L1199" s="3"/>
      <c r="M1199" s="3"/>
      <c r="N1199" s="33">
        <f>I1199+M1199</f>
        <v>0</v>
      </c>
      <c r="O1199" s="28">
        <f>K1199-M1199</f>
        <v>473295.015</v>
      </c>
      <c r="P1199" s="9" t="s">
        <v>10</v>
      </c>
      <c r="Q1199" s="2">
        <v>45870</v>
      </c>
      <c r="R1199" s="38"/>
      <c r="S1199" s="52"/>
      <c r="T1199" s="4">
        <f>R522*45%</f>
        <v>3006.9</v>
      </c>
      <c r="U1199" s="5"/>
      <c r="V1199" s="4">
        <f>(S1199+T1199)-U1199</f>
        <v>3006.9</v>
      </c>
      <c r="W1199" s="4">
        <f>V1199+AA1198</f>
        <v>264036.535</v>
      </c>
      <c r="X1199" s="3"/>
      <c r="Y1199" s="3"/>
      <c r="Z1199" s="25">
        <f>U1199+Y1199</f>
        <v>0</v>
      </c>
      <c r="AA1199" s="76">
        <f>W1199-Y1199</f>
        <v>264036.535</v>
      </c>
      <c r="AB1199" s="9" t="s">
        <v>10</v>
      </c>
      <c r="AC1199" s="19">
        <v>45870</v>
      </c>
      <c r="AD1199" s="41"/>
      <c r="AE1199" s="42"/>
      <c r="AF1199" s="4">
        <f>AD522-H1199-T1199</f>
        <v>5516.1</v>
      </c>
      <c r="AG1199" s="3"/>
      <c r="AH1199" s="8"/>
      <c r="AI1199" s="4">
        <f>(AE1199+AF1199)-AH1199</f>
        <v>5516.1</v>
      </c>
      <c r="AJ1199" s="4">
        <f>AI1199+BP1198</f>
        <v>-634999.2155</v>
      </c>
      <c r="AK1199" s="8"/>
      <c r="AL1199" s="8"/>
      <c r="AM1199" s="47"/>
      <c r="AN1199" s="47"/>
      <c r="AO1199" s="8"/>
      <c r="AP1199" s="8"/>
      <c r="AQ1199" s="47"/>
      <c r="AR1199" s="47"/>
      <c r="AS1199" s="8"/>
      <c r="AT1199" s="8"/>
      <c r="AU1199" s="47"/>
      <c r="AV1199" s="47"/>
      <c r="AW1199" s="8"/>
      <c r="AX1199" s="8"/>
      <c r="AY1199" s="47"/>
      <c r="AZ1199" s="47"/>
      <c r="BA1199" s="8"/>
      <c r="BB1199" s="8"/>
      <c r="BC1199" s="47"/>
      <c r="BD1199" s="47"/>
      <c r="BE1199" s="8"/>
      <c r="BF1199" s="8"/>
      <c r="BG1199" s="47"/>
      <c r="BH1199" s="47"/>
      <c r="BI1199" s="8"/>
      <c r="BJ1199" s="3"/>
      <c r="BK1199" s="47"/>
      <c r="BL1199" s="47"/>
      <c r="BM1199" s="46"/>
      <c r="BN1199" s="46"/>
      <c r="BO1199" s="24">
        <f>AL1199+AN1199+AP1199+AR1199+AT1199+AV1199+AX1199+AZ1199+BB1199+BD1199+BF1199+BH1199+BJ1199+BL1199+BN1199</f>
        <v>0</v>
      </c>
      <c r="BP1199" s="28">
        <f>AJ1199-BO1199</f>
        <v>-634999.2155</v>
      </c>
      <c r="BQ1199" s="2">
        <v>45870</v>
      </c>
    </row>
    <row r="1200" spans="1:73" hidden="true">
      <c r="D1200" s="9" t="s">
        <v>11</v>
      </c>
      <c r="E1200" s="2">
        <v>45871</v>
      </c>
      <c r="F1200" s="38"/>
      <c r="G1200" s="51"/>
      <c r="H1200" s="4">
        <f>F523*50%</f>
        <v>1841.5</v>
      </c>
      <c r="I1200" s="120"/>
      <c r="J1200" s="4">
        <f>(G1200+H1200)-I1200</f>
        <v>1841.5</v>
      </c>
      <c r="K1200" s="4">
        <f>J1200+O1199</f>
        <v>475136.515</v>
      </c>
      <c r="L1200" s="3"/>
      <c r="M1200" s="3"/>
      <c r="N1200" s="33">
        <f>I1200+M1200</f>
        <v>0</v>
      </c>
      <c r="O1200" s="28">
        <f>K1200-M1200</f>
        <v>475136.515</v>
      </c>
      <c r="P1200" s="9" t="s">
        <v>11</v>
      </c>
      <c r="Q1200" s="2">
        <v>45871</v>
      </c>
      <c r="R1200" s="38"/>
      <c r="S1200" s="52"/>
      <c r="T1200" s="4">
        <f>R523*45%</f>
        <v>3007.35</v>
      </c>
      <c r="U1200" s="5"/>
      <c r="V1200" s="4">
        <f>(S1200+T1200)-U1200</f>
        <v>3007.35</v>
      </c>
      <c r="W1200" s="4">
        <f>V1200+AA1199</f>
        <v>267043.885</v>
      </c>
      <c r="X1200" s="3"/>
      <c r="Y1200" s="3"/>
      <c r="Z1200" s="25">
        <f>U1200+Y1200</f>
        <v>0</v>
      </c>
      <c r="AA1200" s="76">
        <f>W1200-Y1200</f>
        <v>267043.885</v>
      </c>
      <c r="AB1200" s="9" t="s">
        <v>11</v>
      </c>
      <c r="AC1200" s="19">
        <v>45871</v>
      </c>
      <c r="AD1200" s="41"/>
      <c r="AE1200" s="42"/>
      <c r="AF1200" s="4">
        <f>AD523-H1200-T1200</f>
        <v>5517.15</v>
      </c>
      <c r="AG1200" s="3"/>
      <c r="AH1200" s="8"/>
      <c r="AI1200" s="4">
        <f>(AE1200+AF1200)-AH1200</f>
        <v>5517.15</v>
      </c>
      <c r="AJ1200" s="4">
        <f>AI1200+BP1199</f>
        <v>-629482.0655</v>
      </c>
      <c r="AK1200" s="8"/>
      <c r="AL1200" s="8"/>
      <c r="AM1200" s="47"/>
      <c r="AN1200" s="47"/>
      <c r="AO1200" s="8"/>
      <c r="AP1200" s="8"/>
      <c r="AQ1200" s="47"/>
      <c r="AR1200" s="47"/>
      <c r="AS1200" s="8"/>
      <c r="AT1200" s="8"/>
      <c r="AU1200" s="47"/>
      <c r="AV1200" s="47"/>
      <c r="AW1200" s="8"/>
      <c r="AX1200" s="8"/>
      <c r="AY1200" s="47"/>
      <c r="AZ1200" s="47"/>
      <c r="BA1200" s="8"/>
      <c r="BB1200" s="8"/>
      <c r="BC1200" s="47"/>
      <c r="BD1200" s="47"/>
      <c r="BE1200" s="8"/>
      <c r="BF1200" s="8"/>
      <c r="BG1200" s="47"/>
      <c r="BH1200" s="47"/>
      <c r="BI1200" s="8"/>
      <c r="BJ1200" s="3"/>
      <c r="BK1200" s="47"/>
      <c r="BL1200" s="47"/>
      <c r="BM1200" s="46"/>
      <c r="BN1200" s="46"/>
      <c r="BO1200" s="24">
        <f>AL1200+AN1200+AP1200+AR1200+AT1200+AV1200+AX1200+AZ1200+BB1200+BD1200+BF1200+BH1200+BJ1200+BL1200+BN1200</f>
        <v>0</v>
      </c>
      <c r="BP1200" s="28">
        <f>AJ1200-BO1200</f>
        <v>-629482.0655</v>
      </c>
      <c r="BQ1200" s="2">
        <v>45871</v>
      </c>
    </row>
    <row r="1201" spans="1:73" hidden="true">
      <c r="D1201" s="9" t="s">
        <v>12</v>
      </c>
      <c r="E1201" s="2">
        <v>45872</v>
      </c>
      <c r="F1201" s="38"/>
      <c r="G1201" s="51"/>
      <c r="H1201" s="4">
        <f>F524*50%</f>
        <v>1842</v>
      </c>
      <c r="I1201" s="120"/>
      <c r="J1201" s="4">
        <f>(G1201+H1201)-I1201</f>
        <v>1842</v>
      </c>
      <c r="K1201" s="4">
        <f>J1201+O1200</f>
        <v>476978.515</v>
      </c>
      <c r="L1201" s="3"/>
      <c r="M1201" s="3"/>
      <c r="N1201" s="33">
        <f>I1201+M1201</f>
        <v>0</v>
      </c>
      <c r="O1201" s="28">
        <f>K1201-M1201</f>
        <v>476978.515</v>
      </c>
      <c r="P1201" s="9" t="s">
        <v>12</v>
      </c>
      <c r="Q1201" s="2">
        <v>45872</v>
      </c>
      <c r="R1201" s="38"/>
      <c r="S1201" s="52"/>
      <c r="T1201" s="4">
        <f>R524*45%</f>
        <v>3007.8</v>
      </c>
      <c r="U1201" s="5"/>
      <c r="V1201" s="4">
        <f>(S1201+T1201)-U1201</f>
        <v>3007.8</v>
      </c>
      <c r="W1201" s="4">
        <f>V1201+AA1200</f>
        <v>270051.685</v>
      </c>
      <c r="X1201" s="3"/>
      <c r="Y1201" s="3"/>
      <c r="Z1201" s="25">
        <f>U1201+Y1201</f>
        <v>0</v>
      </c>
      <c r="AA1201" s="76">
        <f>W1201-Y1201</f>
        <v>270051.685</v>
      </c>
      <c r="AB1201" s="9" t="s">
        <v>12</v>
      </c>
      <c r="AC1201" s="19">
        <v>45872</v>
      </c>
      <c r="AD1201" s="41"/>
      <c r="AE1201" s="42"/>
      <c r="AF1201" s="4">
        <f>AD524-H1201-T1201</f>
        <v>5518.2</v>
      </c>
      <c r="AG1201" s="3"/>
      <c r="AH1201" s="8"/>
      <c r="AI1201" s="4">
        <f>(AE1201+AF1201)-AH1201</f>
        <v>5518.2</v>
      </c>
      <c r="AJ1201" s="4">
        <f>AI1201+BP1200</f>
        <v>-623963.8655</v>
      </c>
      <c r="AK1201" s="8"/>
      <c r="AL1201" s="8"/>
      <c r="AM1201" s="47"/>
      <c r="AN1201" s="47"/>
      <c r="AO1201" s="8"/>
      <c r="AP1201" s="8"/>
      <c r="AQ1201" s="47"/>
      <c r="AR1201" s="47"/>
      <c r="AS1201" s="8"/>
      <c r="AT1201" s="8"/>
      <c r="AU1201" s="47"/>
      <c r="AV1201" s="47"/>
      <c r="AW1201" s="8"/>
      <c r="AX1201" s="8"/>
      <c r="AY1201" s="47"/>
      <c r="AZ1201" s="47"/>
      <c r="BA1201" s="8"/>
      <c r="BB1201" s="8"/>
      <c r="BC1201" s="47"/>
      <c r="BD1201" s="47"/>
      <c r="BE1201" s="8"/>
      <c r="BF1201" s="8"/>
      <c r="BG1201" s="47"/>
      <c r="BH1201" s="47"/>
      <c r="BI1201" s="8"/>
      <c r="BJ1201" s="3"/>
      <c r="BK1201" s="47"/>
      <c r="BL1201" s="47"/>
      <c r="BM1201" s="46"/>
      <c r="BN1201" s="46"/>
      <c r="BO1201" s="24">
        <f>AL1201+AN1201+AP1201+AR1201+AT1201+AV1201+AX1201+AZ1201+BB1201+BD1201+BF1201+BH1201+BJ1201+BL1201+BN1201</f>
        <v>0</v>
      </c>
      <c r="BP1201" s="28">
        <f>AJ1201-BO1201</f>
        <v>-623963.8655</v>
      </c>
      <c r="BQ1201" s="2">
        <v>45872</v>
      </c>
    </row>
    <row r="1202" spans="1:73" hidden="true">
      <c r="D1202" s="9" t="s">
        <v>13</v>
      </c>
      <c r="E1202" s="2">
        <v>45873</v>
      </c>
      <c r="F1202" s="38"/>
      <c r="G1202" s="51"/>
      <c r="H1202" s="4">
        <f>F525*50%</f>
        <v>1842.5</v>
      </c>
      <c r="I1202" s="120"/>
      <c r="J1202" s="4">
        <f>(G1202+H1202)-I1202</f>
        <v>1842.5</v>
      </c>
      <c r="K1202" s="4">
        <f>J1202+O1201</f>
        <v>478821.015</v>
      </c>
      <c r="L1202" s="3"/>
      <c r="M1202" s="3"/>
      <c r="N1202" s="33">
        <f>I1202+M1202</f>
        <v>0</v>
      </c>
      <c r="O1202" s="28">
        <f>K1202-M1202</f>
        <v>478821.015</v>
      </c>
      <c r="P1202" s="9" t="s">
        <v>13</v>
      </c>
      <c r="Q1202" s="2">
        <v>45873</v>
      </c>
      <c r="R1202" s="38"/>
      <c r="S1202" s="52"/>
      <c r="T1202" s="4">
        <f>R525*45%</f>
        <v>3008.25</v>
      </c>
      <c r="U1202" s="5"/>
      <c r="V1202" s="4">
        <f>(S1202+T1202)-U1202</f>
        <v>3008.25</v>
      </c>
      <c r="W1202" s="4">
        <f>V1202+AA1201</f>
        <v>273059.935</v>
      </c>
      <c r="X1202" s="3"/>
      <c r="Y1202" s="3"/>
      <c r="Z1202" s="25">
        <f>U1202+Y1202</f>
        <v>0</v>
      </c>
      <c r="AA1202" s="76">
        <f>W1202-Y1202</f>
        <v>273059.935</v>
      </c>
      <c r="AB1202" s="9" t="s">
        <v>13</v>
      </c>
      <c r="AC1202" s="19">
        <v>45873</v>
      </c>
      <c r="AD1202" s="41"/>
      <c r="AE1202" s="42"/>
      <c r="AF1202" s="4">
        <f>AD525-H1202-T1202</f>
        <v>5519.25</v>
      </c>
      <c r="AG1202" s="3"/>
      <c r="AH1202" s="8"/>
      <c r="AI1202" s="4">
        <f>(AE1202+AF1202)-AH1202</f>
        <v>5519.25</v>
      </c>
      <c r="AJ1202" s="4">
        <f>AI1202+BP1201</f>
        <v>-618444.6155</v>
      </c>
      <c r="AK1202" s="8"/>
      <c r="AL1202" s="8"/>
      <c r="AM1202" s="47"/>
      <c r="AN1202" s="47"/>
      <c r="AO1202" s="8"/>
      <c r="AP1202" s="8"/>
      <c r="AQ1202" s="47"/>
      <c r="AR1202" s="47"/>
      <c r="AS1202" s="8"/>
      <c r="AT1202" s="8"/>
      <c r="AU1202" s="47"/>
      <c r="AV1202" s="47"/>
      <c r="AW1202" s="8"/>
      <c r="AX1202" s="8"/>
      <c r="AY1202" s="47"/>
      <c r="AZ1202" s="47"/>
      <c r="BA1202" s="8"/>
      <c r="BB1202" s="8"/>
      <c r="BC1202" s="47"/>
      <c r="BD1202" s="47"/>
      <c r="BE1202" s="8"/>
      <c r="BF1202" s="8"/>
      <c r="BG1202" s="47"/>
      <c r="BH1202" s="47"/>
      <c r="BI1202" s="8"/>
      <c r="BJ1202" s="3"/>
      <c r="BK1202" s="47"/>
      <c r="BL1202" s="47"/>
      <c r="BM1202" s="46"/>
      <c r="BN1202" s="46"/>
      <c r="BO1202" s="24">
        <f>AL1202+AN1202+AP1202+AR1202+AT1202+AV1202+AX1202+AZ1202+BB1202+BD1202+BF1202+BH1202+BJ1202+BL1202+BN1202</f>
        <v>0</v>
      </c>
      <c r="BP1202" s="28">
        <f>AJ1202-BO1202</f>
        <v>-618444.6155</v>
      </c>
      <c r="BQ1202" s="2">
        <v>45873</v>
      </c>
    </row>
    <row r="1203" spans="1:73" hidden="true">
      <c r="D1203" s="9" t="s">
        <v>14</v>
      </c>
      <c r="E1203" s="2">
        <v>45874</v>
      </c>
      <c r="F1203" s="38"/>
      <c r="G1203" s="51"/>
      <c r="H1203" s="4">
        <f>F526*50%</f>
        <v>1843</v>
      </c>
      <c r="I1203" s="120"/>
      <c r="J1203" s="4">
        <f>(G1203+H1203)-I1203</f>
        <v>1843</v>
      </c>
      <c r="K1203" s="4">
        <f>J1203+O1202</f>
        <v>480664.015</v>
      </c>
      <c r="L1203" s="3"/>
      <c r="M1203" s="3"/>
      <c r="N1203" s="33">
        <f>I1203+M1203</f>
        <v>0</v>
      </c>
      <c r="O1203" s="28">
        <f>K1203-M1203</f>
        <v>480664.015</v>
      </c>
      <c r="P1203" s="9" t="s">
        <v>14</v>
      </c>
      <c r="Q1203" s="2">
        <v>45874</v>
      </c>
      <c r="R1203" s="38"/>
      <c r="S1203" s="52"/>
      <c r="T1203" s="4">
        <f>R526*45%</f>
        <v>3008.7</v>
      </c>
      <c r="U1203" s="5"/>
      <c r="V1203" s="4">
        <f>(S1203+T1203)-U1203</f>
        <v>3008.7</v>
      </c>
      <c r="W1203" s="4">
        <f>V1203+AA1202</f>
        <v>276068.635</v>
      </c>
      <c r="X1203" s="3"/>
      <c r="Y1203" s="3"/>
      <c r="Z1203" s="25">
        <f>U1203+Y1203</f>
        <v>0</v>
      </c>
      <c r="AA1203" s="76">
        <f>W1203-Y1203</f>
        <v>276068.635</v>
      </c>
      <c r="AB1203" s="9" t="s">
        <v>14</v>
      </c>
      <c r="AC1203" s="19">
        <v>45874</v>
      </c>
      <c r="AD1203" s="41"/>
      <c r="AE1203" s="42"/>
      <c r="AF1203" s="4">
        <f>AD526-H1203-T1203</f>
        <v>5520.3</v>
      </c>
      <c r="AG1203" s="3"/>
      <c r="AH1203" s="8"/>
      <c r="AI1203" s="4">
        <f>(AE1203+AF1203)-AH1203</f>
        <v>5520.3</v>
      </c>
      <c r="AJ1203" s="4">
        <f>AI1203+BP1202</f>
        <v>-612924.3155</v>
      </c>
      <c r="AK1203" s="8"/>
      <c r="AL1203" s="8"/>
      <c r="AM1203" s="47"/>
      <c r="AN1203" s="47"/>
      <c r="AO1203" s="8"/>
      <c r="AP1203" s="8"/>
      <c r="AQ1203" s="47"/>
      <c r="AR1203" s="47"/>
      <c r="AS1203" s="8"/>
      <c r="AT1203" s="8"/>
      <c r="AU1203" s="47"/>
      <c r="AV1203" s="47"/>
      <c r="AW1203" s="8"/>
      <c r="AX1203" s="8"/>
      <c r="AY1203" s="47"/>
      <c r="AZ1203" s="47"/>
      <c r="BA1203" s="8"/>
      <c r="BB1203" s="8"/>
      <c r="BC1203" s="47"/>
      <c r="BD1203" s="47"/>
      <c r="BE1203" s="8"/>
      <c r="BF1203" s="8"/>
      <c r="BG1203" s="47"/>
      <c r="BH1203" s="47"/>
      <c r="BI1203" s="8"/>
      <c r="BJ1203" s="3"/>
      <c r="BK1203" s="47"/>
      <c r="BL1203" s="47"/>
      <c r="BM1203" s="46"/>
      <c r="BN1203" s="46"/>
      <c r="BO1203" s="24">
        <f>AL1203+AN1203+AP1203+AR1203+AT1203+AV1203+AX1203+AZ1203+BB1203+BD1203+BF1203+BH1203+BJ1203+BL1203+BN1203</f>
        <v>0</v>
      </c>
      <c r="BP1203" s="28">
        <f>AJ1203-BO1203</f>
        <v>-612924.3155</v>
      </c>
      <c r="BQ1203" s="2">
        <v>45874</v>
      </c>
    </row>
    <row r="1204" spans="1:73" hidden="true">
      <c r="D1204" s="9" t="s">
        <v>15</v>
      </c>
      <c r="E1204" s="2">
        <v>45875</v>
      </c>
      <c r="F1204" s="38"/>
      <c r="G1204" s="51"/>
      <c r="H1204" s="4">
        <f>F527*50%</f>
        <v>1843.5</v>
      </c>
      <c r="I1204" s="120"/>
      <c r="J1204" s="4">
        <f>(G1204+H1204)-I1204</f>
        <v>1843.5</v>
      </c>
      <c r="K1204" s="4">
        <f>J1204+O1203</f>
        <v>482507.515</v>
      </c>
      <c r="L1204" s="3"/>
      <c r="M1204" s="3"/>
      <c r="N1204" s="33">
        <f>I1204+M1204</f>
        <v>0</v>
      </c>
      <c r="O1204" s="28">
        <f>K1204-M1204</f>
        <v>482507.515</v>
      </c>
      <c r="P1204" s="9" t="s">
        <v>15</v>
      </c>
      <c r="Q1204" s="2">
        <v>45875</v>
      </c>
      <c r="R1204" s="38"/>
      <c r="S1204" s="52"/>
      <c r="T1204" s="4">
        <f>R527*45%</f>
        <v>3009.15</v>
      </c>
      <c r="U1204" s="5"/>
      <c r="V1204" s="4">
        <f>(S1204+T1204)-U1204</f>
        <v>3009.15</v>
      </c>
      <c r="W1204" s="4">
        <f>V1204+AA1203</f>
        <v>279077.785</v>
      </c>
      <c r="X1204" s="3"/>
      <c r="Y1204" s="3"/>
      <c r="Z1204" s="25">
        <f>U1204+Y1204</f>
        <v>0</v>
      </c>
      <c r="AA1204" s="76">
        <f>W1204-Y1204</f>
        <v>279077.785</v>
      </c>
      <c r="AB1204" s="9" t="s">
        <v>15</v>
      </c>
      <c r="AC1204" s="19">
        <v>45875</v>
      </c>
      <c r="AD1204" s="41"/>
      <c r="AE1204" s="42"/>
      <c r="AF1204" s="4">
        <f>AD527-H1204-T1204</f>
        <v>5521.35</v>
      </c>
      <c r="AG1204" s="3"/>
      <c r="AH1204" s="8"/>
      <c r="AI1204" s="4">
        <f>(AE1204+AF1204)-AH1204</f>
        <v>5521.35</v>
      </c>
      <c r="AJ1204" s="4">
        <f>AI1204+BP1203</f>
        <v>-607402.9655</v>
      </c>
      <c r="AK1204" s="8"/>
      <c r="AL1204" s="8"/>
      <c r="AM1204" s="47"/>
      <c r="AN1204" s="47"/>
      <c r="AO1204" s="8"/>
      <c r="AP1204" s="8"/>
      <c r="AQ1204" s="47"/>
      <c r="AR1204" s="47"/>
      <c r="AS1204" s="8"/>
      <c r="AT1204" s="8"/>
      <c r="AU1204" s="47"/>
      <c r="AV1204" s="47"/>
      <c r="AW1204" s="8"/>
      <c r="AX1204" s="8"/>
      <c r="AY1204" s="47"/>
      <c r="AZ1204" s="47"/>
      <c r="BA1204" s="8"/>
      <c r="BB1204" s="8"/>
      <c r="BC1204" s="47"/>
      <c r="BD1204" s="47"/>
      <c r="BE1204" s="8"/>
      <c r="BF1204" s="8"/>
      <c r="BG1204" s="47"/>
      <c r="BH1204" s="47"/>
      <c r="BI1204" s="8"/>
      <c r="BJ1204" s="3"/>
      <c r="BK1204" s="47"/>
      <c r="BL1204" s="47"/>
      <c r="BM1204" s="46"/>
      <c r="BN1204" s="46"/>
      <c r="BO1204" s="24">
        <f>AL1204+AN1204+AP1204+AR1204+AT1204+AV1204+AX1204+AZ1204+BB1204+BD1204+BF1204+BH1204+BJ1204+BL1204+BN1204</f>
        <v>0</v>
      </c>
      <c r="BP1204" s="28">
        <f>AJ1204-BO1204</f>
        <v>-607402.9655</v>
      </c>
      <c r="BQ1204" s="2">
        <v>45875</v>
      </c>
    </row>
    <row r="1205" spans="1:73" hidden="true">
      <c r="D1205" s="9" t="s">
        <v>16</v>
      </c>
      <c r="E1205" s="2">
        <v>45876</v>
      </c>
      <c r="F1205" s="38"/>
      <c r="G1205" s="51"/>
      <c r="H1205" s="4">
        <f>F528*50%</f>
        <v>1844</v>
      </c>
      <c r="I1205" s="120"/>
      <c r="J1205" s="4">
        <f>(G1205+H1205)-I1205</f>
        <v>1844</v>
      </c>
      <c r="K1205" s="4">
        <f>J1205+O1204</f>
        <v>484351.515</v>
      </c>
      <c r="L1205" s="3"/>
      <c r="M1205" s="3"/>
      <c r="N1205" s="33">
        <f>I1205+M1205</f>
        <v>0</v>
      </c>
      <c r="O1205" s="28">
        <f>K1205-M1205</f>
        <v>484351.515</v>
      </c>
      <c r="P1205" s="9" t="s">
        <v>16</v>
      </c>
      <c r="Q1205" s="2">
        <v>45876</v>
      </c>
      <c r="R1205" s="38"/>
      <c r="S1205" s="52"/>
      <c r="T1205" s="4">
        <f>R528*45%</f>
        <v>3009.6</v>
      </c>
      <c r="U1205" s="5"/>
      <c r="V1205" s="4">
        <f>(S1205+T1205)-U1205</f>
        <v>3009.6</v>
      </c>
      <c r="W1205" s="4">
        <f>V1205+AA1204</f>
        <v>282087.385</v>
      </c>
      <c r="X1205" s="3"/>
      <c r="Y1205" s="3"/>
      <c r="Z1205" s="25">
        <f>U1205+Y1205</f>
        <v>0</v>
      </c>
      <c r="AA1205" s="76">
        <f>W1205-Y1205</f>
        <v>282087.385</v>
      </c>
      <c r="AB1205" s="9" t="s">
        <v>16</v>
      </c>
      <c r="AC1205" s="19">
        <v>45876</v>
      </c>
      <c r="AD1205" s="41"/>
      <c r="AE1205" s="42"/>
      <c r="AF1205" s="4">
        <f>AD528-H1205-T1205</f>
        <v>5522.4</v>
      </c>
      <c r="AG1205" s="3"/>
      <c r="AH1205" s="8"/>
      <c r="AI1205" s="4">
        <f>(AE1205+AF1205)-AH1205</f>
        <v>5522.4</v>
      </c>
      <c r="AJ1205" s="4">
        <f>AI1205+BP1204</f>
        <v>-601880.5655</v>
      </c>
      <c r="AK1205" s="8"/>
      <c r="AL1205" s="8"/>
      <c r="AM1205" s="47"/>
      <c r="AN1205" s="47"/>
      <c r="AO1205" s="8"/>
      <c r="AP1205" s="8"/>
      <c r="AQ1205" s="47"/>
      <c r="AR1205" s="47"/>
      <c r="AS1205" s="8"/>
      <c r="AT1205" s="8"/>
      <c r="AU1205" s="47"/>
      <c r="AV1205" s="47"/>
      <c r="AW1205" s="8"/>
      <c r="AX1205" s="8"/>
      <c r="AY1205" s="47"/>
      <c r="AZ1205" s="47"/>
      <c r="BA1205" s="8"/>
      <c r="BB1205" s="8"/>
      <c r="BC1205" s="47"/>
      <c r="BD1205" s="47"/>
      <c r="BE1205" s="8"/>
      <c r="BF1205" s="8"/>
      <c r="BG1205" s="47"/>
      <c r="BH1205" s="47"/>
      <c r="BI1205" s="8"/>
      <c r="BJ1205" s="3"/>
      <c r="BK1205" s="47"/>
      <c r="BL1205" s="47"/>
      <c r="BM1205" s="46"/>
      <c r="BN1205" s="46"/>
      <c r="BO1205" s="24">
        <f>AL1205+AN1205+AP1205+AR1205+AT1205+AV1205+AX1205+AZ1205+BB1205+BD1205+BF1205+BH1205+BJ1205+BL1205+BN1205</f>
        <v>0</v>
      </c>
      <c r="BP1205" s="28">
        <f>AJ1205-BO1205</f>
        <v>-601880.5655</v>
      </c>
      <c r="BQ1205" s="2">
        <v>45876</v>
      </c>
    </row>
    <row r="1206" spans="1:73" hidden="true">
      <c r="D1206" s="9" t="s">
        <v>10</v>
      </c>
      <c r="E1206" s="2">
        <v>45877</v>
      </c>
      <c r="F1206" s="38"/>
      <c r="G1206" s="51"/>
      <c r="H1206" s="4">
        <f>F529*50%</f>
        <v>1844.5</v>
      </c>
      <c r="I1206" s="120"/>
      <c r="J1206" s="4">
        <f>(G1206+H1206)-I1206</f>
        <v>1844.5</v>
      </c>
      <c r="K1206" s="4">
        <f>J1206+O1205</f>
        <v>486196.015</v>
      </c>
      <c r="L1206" s="3"/>
      <c r="M1206" s="3"/>
      <c r="N1206" s="33">
        <f>I1206+M1206</f>
        <v>0</v>
      </c>
      <c r="O1206" s="28">
        <f>K1206-M1206</f>
        <v>486196.015</v>
      </c>
      <c r="P1206" s="9" t="s">
        <v>10</v>
      </c>
      <c r="Q1206" s="2">
        <v>45877</v>
      </c>
      <c r="R1206" s="38"/>
      <c r="S1206" s="52"/>
      <c r="T1206" s="4">
        <f>R529*45%</f>
        <v>3010.05</v>
      </c>
      <c r="U1206" s="5"/>
      <c r="V1206" s="4">
        <f>(S1206+T1206)-U1206</f>
        <v>3010.05</v>
      </c>
      <c r="W1206" s="4">
        <f>V1206+AA1205</f>
        <v>285097.435</v>
      </c>
      <c r="X1206" s="3"/>
      <c r="Y1206" s="3"/>
      <c r="Z1206" s="25">
        <f>U1206+Y1206</f>
        <v>0</v>
      </c>
      <c r="AA1206" s="76">
        <f>W1206-Y1206</f>
        <v>285097.435</v>
      </c>
      <c r="AB1206" s="9" t="s">
        <v>10</v>
      </c>
      <c r="AC1206" s="19">
        <v>45877</v>
      </c>
      <c r="AD1206" s="41"/>
      <c r="AE1206" s="42"/>
      <c r="AF1206" s="4">
        <f>AD529-H1206-T1206</f>
        <v>5523.45</v>
      </c>
      <c r="AG1206" s="3"/>
      <c r="AH1206" s="8"/>
      <c r="AI1206" s="4">
        <f>(AE1206+AF1206)-AH1206</f>
        <v>5523.45</v>
      </c>
      <c r="AJ1206" s="4">
        <f>AI1206+BP1205</f>
        <v>-596357.1155</v>
      </c>
      <c r="AK1206" s="8"/>
      <c r="AL1206" s="8"/>
      <c r="AM1206" s="47"/>
      <c r="AN1206" s="47"/>
      <c r="AO1206" s="8"/>
      <c r="AP1206" s="8"/>
      <c r="AQ1206" s="47"/>
      <c r="AR1206" s="47"/>
      <c r="AS1206" s="8"/>
      <c r="AT1206" s="8"/>
      <c r="AU1206" s="47"/>
      <c r="AV1206" s="47"/>
      <c r="AW1206" s="8"/>
      <c r="AX1206" s="8"/>
      <c r="AY1206" s="47"/>
      <c r="AZ1206" s="47"/>
      <c r="BA1206" s="8"/>
      <c r="BB1206" s="8"/>
      <c r="BC1206" s="47"/>
      <c r="BD1206" s="47"/>
      <c r="BE1206" s="8"/>
      <c r="BF1206" s="8"/>
      <c r="BG1206" s="47"/>
      <c r="BH1206" s="47"/>
      <c r="BI1206" s="8"/>
      <c r="BJ1206" s="3"/>
      <c r="BK1206" s="47"/>
      <c r="BL1206" s="47"/>
      <c r="BM1206" s="46"/>
      <c r="BN1206" s="46"/>
      <c r="BO1206" s="24">
        <f>AL1206+AN1206+AP1206+AR1206+AT1206+AV1206+AX1206+AZ1206+BB1206+BD1206+BF1206+BH1206+BJ1206+BL1206+BN1206</f>
        <v>0</v>
      </c>
      <c r="BP1206" s="28">
        <f>AJ1206-BO1206</f>
        <v>-596357.1155</v>
      </c>
      <c r="BQ1206" s="2">
        <v>45877</v>
      </c>
    </row>
    <row r="1207" spans="1:73" hidden="true">
      <c r="D1207" s="9" t="s">
        <v>11</v>
      </c>
      <c r="E1207" s="2">
        <v>45878</v>
      </c>
      <c r="F1207" s="38"/>
      <c r="G1207" s="51"/>
      <c r="H1207" s="4">
        <f>F530*50%</f>
        <v>1845</v>
      </c>
      <c r="I1207" s="120"/>
      <c r="J1207" s="4">
        <f>(G1207+H1207)-I1207</f>
        <v>1845</v>
      </c>
      <c r="K1207" s="4">
        <f>J1207+O1206</f>
        <v>488041.015</v>
      </c>
      <c r="L1207" s="3"/>
      <c r="M1207" s="3"/>
      <c r="N1207" s="33">
        <f>I1207+M1207</f>
        <v>0</v>
      </c>
      <c r="O1207" s="28">
        <f>K1207-M1207</f>
        <v>488041.015</v>
      </c>
      <c r="P1207" s="9" t="s">
        <v>11</v>
      </c>
      <c r="Q1207" s="2">
        <v>45878</v>
      </c>
      <c r="R1207" s="38"/>
      <c r="S1207" s="52"/>
      <c r="T1207" s="4">
        <f>R530*45%</f>
        <v>3010.5</v>
      </c>
      <c r="U1207" s="5"/>
      <c r="V1207" s="4">
        <f>(S1207+T1207)-U1207</f>
        <v>3010.5</v>
      </c>
      <c r="W1207" s="4">
        <f>V1207+AA1206</f>
        <v>288107.935</v>
      </c>
      <c r="X1207" s="3"/>
      <c r="Y1207" s="3"/>
      <c r="Z1207" s="25">
        <f>U1207+Y1207</f>
        <v>0</v>
      </c>
      <c r="AA1207" s="76">
        <f>W1207-Y1207</f>
        <v>288107.935</v>
      </c>
      <c r="AB1207" s="9" t="s">
        <v>11</v>
      </c>
      <c r="AC1207" s="19">
        <v>45878</v>
      </c>
      <c r="AD1207" s="41"/>
      <c r="AE1207" s="42"/>
      <c r="AF1207" s="4">
        <f>AD530-H1207-T1207</f>
        <v>5524.5</v>
      </c>
      <c r="AG1207" s="3"/>
      <c r="AH1207" s="8"/>
      <c r="AI1207" s="4">
        <f>(AE1207+AF1207)-AH1207</f>
        <v>5524.5</v>
      </c>
      <c r="AJ1207" s="4">
        <f>AI1207+BP1206</f>
        <v>-590832.6155</v>
      </c>
      <c r="AK1207" s="8"/>
      <c r="AL1207" s="8"/>
      <c r="AM1207" s="47"/>
      <c r="AN1207" s="47"/>
      <c r="AO1207" s="8"/>
      <c r="AP1207" s="8"/>
      <c r="AQ1207" s="47"/>
      <c r="AR1207" s="47"/>
      <c r="AS1207" s="8"/>
      <c r="AT1207" s="8"/>
      <c r="AU1207" s="47"/>
      <c r="AV1207" s="47"/>
      <c r="AW1207" s="8"/>
      <c r="AX1207" s="8"/>
      <c r="AY1207" s="47"/>
      <c r="AZ1207" s="47"/>
      <c r="BA1207" s="8"/>
      <c r="BB1207" s="8"/>
      <c r="BC1207" s="47"/>
      <c r="BD1207" s="47"/>
      <c r="BE1207" s="8"/>
      <c r="BF1207" s="8"/>
      <c r="BG1207" s="47"/>
      <c r="BH1207" s="47"/>
      <c r="BI1207" s="8"/>
      <c r="BJ1207" s="3"/>
      <c r="BK1207" s="47"/>
      <c r="BL1207" s="47"/>
      <c r="BM1207" s="46"/>
      <c r="BN1207" s="46"/>
      <c r="BO1207" s="24">
        <f>AL1207+AN1207+AP1207+AR1207+AT1207+AV1207+AX1207+AZ1207+BB1207+BD1207+BF1207+BH1207+BJ1207+BL1207+BN1207</f>
        <v>0</v>
      </c>
      <c r="BP1207" s="28">
        <f>AJ1207-BO1207</f>
        <v>-590832.6155</v>
      </c>
      <c r="BQ1207" s="2">
        <v>45878</v>
      </c>
    </row>
    <row r="1208" spans="1:73" hidden="true">
      <c r="D1208" s="9" t="s">
        <v>12</v>
      </c>
      <c r="E1208" s="2">
        <v>45879</v>
      </c>
      <c r="F1208" s="38"/>
      <c r="G1208" s="51"/>
      <c r="H1208" s="4">
        <f>F531*50%</f>
        <v>1845.5</v>
      </c>
      <c r="I1208" s="120"/>
      <c r="J1208" s="4">
        <f>(G1208+H1208)-I1208</f>
        <v>1845.5</v>
      </c>
      <c r="K1208" s="4">
        <f>J1208+O1207</f>
        <v>489886.515</v>
      </c>
      <c r="L1208" s="3"/>
      <c r="M1208" s="3"/>
      <c r="N1208" s="33">
        <f>I1208+M1208</f>
        <v>0</v>
      </c>
      <c r="O1208" s="28">
        <f>K1208-M1208</f>
        <v>489886.515</v>
      </c>
      <c r="P1208" s="9" t="s">
        <v>12</v>
      </c>
      <c r="Q1208" s="2">
        <v>45879</v>
      </c>
      <c r="R1208" s="38"/>
      <c r="S1208" s="52"/>
      <c r="T1208" s="4">
        <f>R531*45%</f>
        <v>3010.95</v>
      </c>
      <c r="U1208" s="5"/>
      <c r="V1208" s="4">
        <f>(S1208+T1208)-U1208</f>
        <v>3010.95</v>
      </c>
      <c r="W1208" s="4">
        <f>V1208+AA1207</f>
        <v>291118.885</v>
      </c>
      <c r="X1208" s="3"/>
      <c r="Y1208" s="3"/>
      <c r="Z1208" s="25">
        <f>U1208+Y1208</f>
        <v>0</v>
      </c>
      <c r="AA1208" s="76">
        <f>W1208-Y1208</f>
        <v>291118.885</v>
      </c>
      <c r="AB1208" s="9" t="s">
        <v>12</v>
      </c>
      <c r="AC1208" s="19">
        <v>45879</v>
      </c>
      <c r="AD1208" s="41"/>
      <c r="AE1208" s="42"/>
      <c r="AF1208" s="4">
        <f>AD531-H1208-T1208</f>
        <v>5525.55</v>
      </c>
      <c r="AG1208" s="3"/>
      <c r="AH1208" s="8"/>
      <c r="AI1208" s="4">
        <f>(AE1208+AF1208)-AH1208</f>
        <v>5525.55</v>
      </c>
      <c r="AJ1208" s="4">
        <f>AI1208+BP1207</f>
        <v>-585307.0655</v>
      </c>
      <c r="AK1208" s="8"/>
      <c r="AL1208" s="8"/>
      <c r="AM1208" s="47"/>
      <c r="AN1208" s="47"/>
      <c r="AO1208" s="8"/>
      <c r="AP1208" s="8"/>
      <c r="AQ1208" s="47"/>
      <c r="AR1208" s="47"/>
      <c r="AS1208" s="8"/>
      <c r="AT1208" s="8"/>
      <c r="AU1208" s="47"/>
      <c r="AV1208" s="47"/>
      <c r="AW1208" s="8"/>
      <c r="AX1208" s="8"/>
      <c r="AY1208" s="47"/>
      <c r="AZ1208" s="47"/>
      <c r="BA1208" s="8"/>
      <c r="BB1208" s="8"/>
      <c r="BC1208" s="47"/>
      <c r="BD1208" s="47"/>
      <c r="BE1208" s="8"/>
      <c r="BF1208" s="8"/>
      <c r="BG1208" s="47"/>
      <c r="BH1208" s="47"/>
      <c r="BI1208" s="8"/>
      <c r="BJ1208" s="3"/>
      <c r="BK1208" s="47"/>
      <c r="BL1208" s="47"/>
      <c r="BM1208" s="46"/>
      <c r="BN1208" s="46"/>
      <c r="BO1208" s="24">
        <f>AL1208+AN1208+AP1208+AR1208+AT1208+AV1208+AX1208+AZ1208+BB1208+BD1208+BF1208+BH1208+BJ1208+BL1208+BN1208</f>
        <v>0</v>
      </c>
      <c r="BP1208" s="28">
        <f>AJ1208-BO1208</f>
        <v>-585307.0655</v>
      </c>
      <c r="BQ1208" s="2">
        <v>45879</v>
      </c>
    </row>
    <row r="1209" spans="1:73" hidden="true">
      <c r="D1209" s="9" t="s">
        <v>13</v>
      </c>
      <c r="E1209" s="2">
        <v>45880</v>
      </c>
      <c r="F1209" s="38"/>
      <c r="G1209" s="51"/>
      <c r="H1209" s="4">
        <f>F532*50%</f>
        <v>1846</v>
      </c>
      <c r="I1209" s="120"/>
      <c r="J1209" s="4">
        <f>(G1209+H1209)-I1209</f>
        <v>1846</v>
      </c>
      <c r="K1209" s="4">
        <f>J1209+O1208</f>
        <v>491732.515</v>
      </c>
      <c r="L1209" s="3"/>
      <c r="M1209" s="3"/>
      <c r="N1209" s="33">
        <f>I1209+M1209</f>
        <v>0</v>
      </c>
      <c r="O1209" s="28">
        <f>K1209-M1209</f>
        <v>491732.515</v>
      </c>
      <c r="P1209" s="9" t="s">
        <v>13</v>
      </c>
      <c r="Q1209" s="2">
        <v>45880</v>
      </c>
      <c r="R1209" s="38"/>
      <c r="S1209" s="52"/>
      <c r="T1209" s="4">
        <f>R532*45%</f>
        <v>3011.4</v>
      </c>
      <c r="U1209" s="5"/>
      <c r="V1209" s="4">
        <f>(S1209+T1209)-U1209</f>
        <v>3011.4</v>
      </c>
      <c r="W1209" s="4">
        <f>V1209+AA1208</f>
        <v>294130.285</v>
      </c>
      <c r="X1209" s="3"/>
      <c r="Y1209" s="3"/>
      <c r="Z1209" s="25">
        <f>U1209+Y1209</f>
        <v>0</v>
      </c>
      <c r="AA1209" s="76">
        <f>W1209-Y1209</f>
        <v>294130.285</v>
      </c>
      <c r="AB1209" s="9" t="s">
        <v>13</v>
      </c>
      <c r="AC1209" s="19">
        <v>45880</v>
      </c>
      <c r="AD1209" s="41"/>
      <c r="AE1209" s="42"/>
      <c r="AF1209" s="4">
        <f>AD532-H1209-T1209</f>
        <v>5526.6</v>
      </c>
      <c r="AG1209" s="3"/>
      <c r="AH1209" s="8"/>
      <c r="AI1209" s="4">
        <f>(AE1209+AF1209)-AH1209</f>
        <v>5526.6</v>
      </c>
      <c r="AJ1209" s="4">
        <f>AI1209+BP1208</f>
        <v>-579780.4655</v>
      </c>
      <c r="AK1209" s="8"/>
      <c r="AL1209" s="8"/>
      <c r="AM1209" s="47"/>
      <c r="AN1209" s="47"/>
      <c r="AO1209" s="8"/>
      <c r="AP1209" s="8"/>
      <c r="AQ1209" s="47"/>
      <c r="AR1209" s="47"/>
      <c r="AS1209" s="8"/>
      <c r="AT1209" s="8"/>
      <c r="AU1209" s="47"/>
      <c r="AV1209" s="47"/>
      <c r="AW1209" s="8"/>
      <c r="AX1209" s="8"/>
      <c r="AY1209" s="47"/>
      <c r="AZ1209" s="47"/>
      <c r="BA1209" s="8"/>
      <c r="BB1209" s="8"/>
      <c r="BC1209" s="47"/>
      <c r="BD1209" s="47"/>
      <c r="BE1209" s="8"/>
      <c r="BF1209" s="8"/>
      <c r="BG1209" s="47"/>
      <c r="BH1209" s="47"/>
      <c r="BI1209" s="8"/>
      <c r="BJ1209" s="3"/>
      <c r="BK1209" s="47"/>
      <c r="BL1209" s="47"/>
      <c r="BM1209" s="46"/>
      <c r="BN1209" s="46"/>
      <c r="BO1209" s="24">
        <f>AL1209+AN1209+AP1209+AR1209+AT1209+AV1209+AX1209+AZ1209+BB1209+BD1209+BF1209+BH1209+BJ1209+BL1209+BN1209</f>
        <v>0</v>
      </c>
      <c r="BP1209" s="28">
        <f>AJ1209-BO1209</f>
        <v>-579780.4655</v>
      </c>
      <c r="BQ1209" s="2">
        <v>45880</v>
      </c>
    </row>
    <row r="1210" spans="1:73" hidden="true">
      <c r="D1210" s="9" t="s">
        <v>14</v>
      </c>
      <c r="E1210" s="2">
        <v>45881</v>
      </c>
      <c r="F1210" s="38"/>
      <c r="G1210" s="51"/>
      <c r="H1210" s="4">
        <f>F533*50%</f>
        <v>1846.5</v>
      </c>
      <c r="I1210" s="120"/>
      <c r="J1210" s="4">
        <f>(G1210+H1210)-I1210</f>
        <v>1846.5</v>
      </c>
      <c r="K1210" s="4">
        <f>J1210+O1209</f>
        <v>493579.015</v>
      </c>
      <c r="L1210" s="3"/>
      <c r="M1210" s="3"/>
      <c r="N1210" s="33">
        <f>I1210+M1210</f>
        <v>0</v>
      </c>
      <c r="O1210" s="28">
        <f>K1210-M1210</f>
        <v>493579.015</v>
      </c>
      <c r="P1210" s="9" t="s">
        <v>14</v>
      </c>
      <c r="Q1210" s="2">
        <v>45881</v>
      </c>
      <c r="R1210" s="38"/>
      <c r="S1210" s="52"/>
      <c r="T1210" s="4">
        <f>R533*45%</f>
        <v>3011.85</v>
      </c>
      <c r="U1210" s="5"/>
      <c r="V1210" s="4">
        <f>(S1210+T1210)-U1210</f>
        <v>3011.85</v>
      </c>
      <c r="W1210" s="4">
        <f>V1210+AA1209</f>
        <v>297142.135</v>
      </c>
      <c r="X1210" s="3"/>
      <c r="Y1210" s="3"/>
      <c r="Z1210" s="25">
        <f>U1210+Y1210</f>
        <v>0</v>
      </c>
      <c r="AA1210" s="76">
        <f>W1210-Y1210</f>
        <v>297142.135</v>
      </c>
      <c r="AB1210" s="9" t="s">
        <v>14</v>
      </c>
      <c r="AC1210" s="19">
        <v>45881</v>
      </c>
      <c r="AD1210" s="41"/>
      <c r="AE1210" s="42"/>
      <c r="AF1210" s="4">
        <f>AD533-H1210-T1210</f>
        <v>5527.65</v>
      </c>
      <c r="AG1210" s="3"/>
      <c r="AH1210" s="8"/>
      <c r="AI1210" s="4">
        <f>(AE1210+AF1210)-AH1210</f>
        <v>5527.65</v>
      </c>
      <c r="AJ1210" s="4">
        <f>AI1210+BP1209</f>
        <v>-574252.8155</v>
      </c>
      <c r="AK1210" s="8"/>
      <c r="AL1210" s="8"/>
      <c r="AM1210" s="47"/>
      <c r="AN1210" s="47"/>
      <c r="AO1210" s="8"/>
      <c r="AP1210" s="8"/>
      <c r="AQ1210" s="47"/>
      <c r="AR1210" s="47"/>
      <c r="AS1210" s="8"/>
      <c r="AT1210" s="8"/>
      <c r="AU1210" s="47"/>
      <c r="AV1210" s="47"/>
      <c r="AW1210" s="8"/>
      <c r="AX1210" s="8"/>
      <c r="AY1210" s="47"/>
      <c r="AZ1210" s="47"/>
      <c r="BA1210" s="8"/>
      <c r="BB1210" s="8"/>
      <c r="BC1210" s="47"/>
      <c r="BD1210" s="47"/>
      <c r="BE1210" s="8"/>
      <c r="BF1210" s="8"/>
      <c r="BG1210" s="47"/>
      <c r="BH1210" s="47"/>
      <c r="BI1210" s="8"/>
      <c r="BJ1210" s="3"/>
      <c r="BK1210" s="47"/>
      <c r="BL1210" s="47"/>
      <c r="BM1210" s="46"/>
      <c r="BN1210" s="46"/>
      <c r="BO1210" s="24">
        <f>AL1210+AN1210+AP1210+AR1210+AT1210+AV1210+AX1210+AZ1210+BB1210+BD1210+BF1210+BH1210+BJ1210+BL1210+BN1210</f>
        <v>0</v>
      </c>
      <c r="BP1210" s="28">
        <f>AJ1210-BO1210</f>
        <v>-574252.8155</v>
      </c>
      <c r="BQ1210" s="2">
        <v>45881</v>
      </c>
    </row>
    <row r="1211" spans="1:73" hidden="true">
      <c r="D1211" s="9" t="s">
        <v>15</v>
      </c>
      <c r="E1211" s="2">
        <v>45882</v>
      </c>
      <c r="F1211" s="38"/>
      <c r="G1211" s="51"/>
      <c r="H1211" s="4">
        <f>F534*50%</f>
        <v>1847</v>
      </c>
      <c r="I1211" s="120"/>
      <c r="J1211" s="4">
        <f>(G1211+H1211)-I1211</f>
        <v>1847</v>
      </c>
      <c r="K1211" s="4">
        <f>J1211+O1210</f>
        <v>495426.015</v>
      </c>
      <c r="L1211" s="3"/>
      <c r="M1211" s="3"/>
      <c r="N1211" s="33">
        <f>I1211+M1211</f>
        <v>0</v>
      </c>
      <c r="O1211" s="28">
        <f>K1211-M1211</f>
        <v>495426.015</v>
      </c>
      <c r="P1211" s="9" t="s">
        <v>15</v>
      </c>
      <c r="Q1211" s="2">
        <v>45882</v>
      </c>
      <c r="R1211" s="38"/>
      <c r="S1211" s="52"/>
      <c r="T1211" s="4">
        <f>R534*45%</f>
        <v>3012.3</v>
      </c>
      <c r="U1211" s="5"/>
      <c r="V1211" s="4">
        <f>(S1211+T1211)-U1211</f>
        <v>3012.3</v>
      </c>
      <c r="W1211" s="4">
        <f>V1211+AA1210</f>
        <v>300154.435</v>
      </c>
      <c r="X1211" s="3"/>
      <c r="Y1211" s="3"/>
      <c r="Z1211" s="25">
        <f>U1211+Y1211</f>
        <v>0</v>
      </c>
      <c r="AA1211" s="76">
        <f>W1211-Y1211</f>
        <v>300154.435</v>
      </c>
      <c r="AB1211" s="9" t="s">
        <v>15</v>
      </c>
      <c r="AC1211" s="19">
        <v>45882</v>
      </c>
      <c r="AD1211" s="41"/>
      <c r="AE1211" s="42"/>
      <c r="AF1211" s="4">
        <f>AD534-H1211-T1211</f>
        <v>5528.7</v>
      </c>
      <c r="AG1211" s="3"/>
      <c r="AH1211" s="8"/>
      <c r="AI1211" s="4">
        <f>(AE1211+AF1211)-AH1211</f>
        <v>5528.7</v>
      </c>
      <c r="AJ1211" s="4">
        <f>AI1211+BP1210</f>
        <v>-568724.1155</v>
      </c>
      <c r="AK1211" s="8"/>
      <c r="AL1211" s="8"/>
      <c r="AM1211" s="47"/>
      <c r="AN1211" s="47"/>
      <c r="AO1211" s="8"/>
      <c r="AP1211" s="8"/>
      <c r="AQ1211" s="47"/>
      <c r="AR1211" s="47"/>
      <c r="AS1211" s="8"/>
      <c r="AT1211" s="8"/>
      <c r="AU1211" s="47"/>
      <c r="AV1211" s="47"/>
      <c r="AW1211" s="8"/>
      <c r="AX1211" s="8"/>
      <c r="AY1211" s="47"/>
      <c r="AZ1211" s="47"/>
      <c r="BA1211" s="8"/>
      <c r="BB1211" s="8"/>
      <c r="BC1211" s="47"/>
      <c r="BD1211" s="47"/>
      <c r="BE1211" s="8"/>
      <c r="BF1211" s="8"/>
      <c r="BG1211" s="47"/>
      <c r="BH1211" s="47"/>
      <c r="BI1211" s="8"/>
      <c r="BJ1211" s="3"/>
      <c r="BK1211" s="47"/>
      <c r="BL1211" s="47"/>
      <c r="BM1211" s="46"/>
      <c r="BN1211" s="46"/>
      <c r="BO1211" s="24">
        <f>AL1211+AN1211+AP1211+AR1211+AT1211+AV1211+AX1211+AZ1211+BB1211+BD1211+BF1211+BH1211+BJ1211+BL1211+BN1211</f>
        <v>0</v>
      </c>
      <c r="BP1211" s="28">
        <f>AJ1211-BO1211</f>
        <v>-568724.1155</v>
      </c>
      <c r="BQ1211" s="2">
        <v>45882</v>
      </c>
    </row>
    <row r="1212" spans="1:73" hidden="true">
      <c r="D1212" s="9" t="s">
        <v>16</v>
      </c>
      <c r="E1212" s="2">
        <v>45883</v>
      </c>
      <c r="F1212" s="38"/>
      <c r="G1212" s="51"/>
      <c r="H1212" s="4">
        <f>F535*50%</f>
        <v>1847.5</v>
      </c>
      <c r="I1212" s="120"/>
      <c r="J1212" s="4">
        <f>(G1212+H1212)-I1212</f>
        <v>1847.5</v>
      </c>
      <c r="K1212" s="4">
        <f>J1212+O1211</f>
        <v>497273.515</v>
      </c>
      <c r="L1212" s="3"/>
      <c r="M1212" s="3"/>
      <c r="N1212" s="33">
        <f>I1212+M1212</f>
        <v>0</v>
      </c>
      <c r="O1212" s="28">
        <f>K1212-M1212</f>
        <v>497273.515</v>
      </c>
      <c r="P1212" s="9" t="s">
        <v>16</v>
      </c>
      <c r="Q1212" s="2">
        <v>45883</v>
      </c>
      <c r="R1212" s="38"/>
      <c r="S1212" s="52"/>
      <c r="T1212" s="4">
        <f>R535*45%</f>
        <v>3012.75</v>
      </c>
      <c r="U1212" s="5"/>
      <c r="V1212" s="4">
        <f>(S1212+T1212)-U1212</f>
        <v>3012.75</v>
      </c>
      <c r="W1212" s="4">
        <f>V1212+AA1211</f>
        <v>303167.185</v>
      </c>
      <c r="X1212" s="3"/>
      <c r="Y1212" s="3"/>
      <c r="Z1212" s="25">
        <f>U1212+Y1212</f>
        <v>0</v>
      </c>
      <c r="AA1212" s="76">
        <f>W1212-Y1212</f>
        <v>303167.185</v>
      </c>
      <c r="AB1212" s="9" t="s">
        <v>16</v>
      </c>
      <c r="AC1212" s="19">
        <v>45883</v>
      </c>
      <c r="AD1212" s="41"/>
      <c r="AE1212" s="42"/>
      <c r="AF1212" s="4">
        <f>AD535-H1212-T1212</f>
        <v>5529.75</v>
      </c>
      <c r="AG1212" s="3"/>
      <c r="AH1212" s="8"/>
      <c r="AI1212" s="4">
        <f>(AE1212+AF1212)-AH1212</f>
        <v>5529.75</v>
      </c>
      <c r="AJ1212" s="4">
        <f>AI1212+BP1211</f>
        <v>-563194.3655</v>
      </c>
      <c r="AK1212" s="8"/>
      <c r="AL1212" s="8"/>
      <c r="AM1212" s="47"/>
      <c r="AN1212" s="47"/>
      <c r="AO1212" s="8"/>
      <c r="AP1212" s="8"/>
      <c r="AQ1212" s="47"/>
      <c r="AR1212" s="47"/>
      <c r="AS1212" s="8"/>
      <c r="AT1212" s="8"/>
      <c r="AU1212" s="47"/>
      <c r="AV1212" s="47"/>
      <c r="AW1212" s="8"/>
      <c r="AX1212" s="8"/>
      <c r="AY1212" s="47"/>
      <c r="AZ1212" s="47"/>
      <c r="BA1212" s="8"/>
      <c r="BB1212" s="8"/>
      <c r="BC1212" s="47"/>
      <c r="BD1212" s="47"/>
      <c r="BE1212" s="8"/>
      <c r="BF1212" s="8"/>
      <c r="BG1212" s="47"/>
      <c r="BH1212" s="47"/>
      <c r="BI1212" s="8"/>
      <c r="BJ1212" s="3"/>
      <c r="BK1212" s="47"/>
      <c r="BL1212" s="47"/>
      <c r="BM1212" s="46"/>
      <c r="BN1212" s="46"/>
      <c r="BO1212" s="24">
        <f>AL1212+AN1212+AP1212+AR1212+AT1212+AV1212+AX1212+AZ1212+BB1212+BD1212+BF1212+BH1212+BJ1212+BL1212+BN1212</f>
        <v>0</v>
      </c>
      <c r="BP1212" s="28">
        <f>AJ1212-BO1212</f>
        <v>-563194.3655</v>
      </c>
      <c r="BQ1212" s="2">
        <v>45883</v>
      </c>
    </row>
    <row r="1213" spans="1:73" hidden="true">
      <c r="D1213" s="9" t="s">
        <v>10</v>
      </c>
      <c r="E1213" s="2">
        <v>45884</v>
      </c>
      <c r="F1213" s="38"/>
      <c r="G1213" s="51"/>
      <c r="H1213" s="4">
        <f>F536*50%</f>
        <v>1848</v>
      </c>
      <c r="I1213" s="120"/>
      <c r="J1213" s="4">
        <f>(G1213+H1213)-I1213</f>
        <v>1848</v>
      </c>
      <c r="K1213" s="4">
        <f>J1213+O1212</f>
        <v>499121.515</v>
      </c>
      <c r="L1213" s="113" t="s">
        <v>397</v>
      </c>
      <c r="M1213" s="3">
        <v>5190</v>
      </c>
      <c r="N1213" s="33">
        <f>I1213+M1213</f>
        <v>5190</v>
      </c>
      <c r="O1213" s="28">
        <f>K1213-M1213</f>
        <v>493931.515</v>
      </c>
      <c r="P1213" s="9" t="s">
        <v>10</v>
      </c>
      <c r="Q1213" s="2">
        <v>45884</v>
      </c>
      <c r="R1213" s="38"/>
      <c r="S1213" s="52"/>
      <c r="T1213" s="4">
        <f>R536*45%</f>
        <v>3013.2</v>
      </c>
      <c r="U1213" s="5"/>
      <c r="V1213" s="4">
        <f>(S1213+T1213)-U1213</f>
        <v>3013.2</v>
      </c>
      <c r="W1213" s="4">
        <f>V1213+AA1212</f>
        <v>306180.385</v>
      </c>
      <c r="X1213" s="3"/>
      <c r="Y1213" s="3"/>
      <c r="Z1213" s="25">
        <f>U1213+Y1213</f>
        <v>0</v>
      </c>
      <c r="AA1213" s="76">
        <f>W1213-Y1213</f>
        <v>306180.385</v>
      </c>
      <c r="AB1213" s="9" t="s">
        <v>10</v>
      </c>
      <c r="AC1213" s="19">
        <v>45884</v>
      </c>
      <c r="AD1213" s="41"/>
      <c r="AE1213" s="42"/>
      <c r="AF1213" s="4">
        <f>AD536-H1213-T1213</f>
        <v>5530.8</v>
      </c>
      <c r="AG1213" s="3"/>
      <c r="AH1213" s="8"/>
      <c r="AI1213" s="4">
        <f>(AE1213+AF1213)-AH1213</f>
        <v>5530.8</v>
      </c>
      <c r="AJ1213" s="4">
        <f>AI1213+BP1212</f>
        <v>-557663.5655</v>
      </c>
      <c r="AK1213" s="8"/>
      <c r="AL1213" s="8"/>
      <c r="AM1213" s="47"/>
      <c r="AN1213" s="47"/>
      <c r="AO1213" s="8"/>
      <c r="AP1213" s="8"/>
      <c r="AQ1213" s="47"/>
      <c r="AR1213" s="47"/>
      <c r="AS1213" s="8"/>
      <c r="AT1213" s="8"/>
      <c r="AU1213" s="47"/>
      <c r="AV1213" s="47"/>
      <c r="AW1213" s="8"/>
      <c r="AX1213" s="8"/>
      <c r="AY1213" s="47"/>
      <c r="AZ1213" s="47"/>
      <c r="BA1213" s="8"/>
      <c r="BB1213" s="8"/>
      <c r="BC1213" s="47"/>
      <c r="BD1213" s="47"/>
      <c r="BE1213" s="8"/>
      <c r="BF1213" s="8"/>
      <c r="BG1213" s="47"/>
      <c r="BH1213" s="47"/>
      <c r="BI1213" s="8"/>
      <c r="BJ1213" s="3"/>
      <c r="BK1213" s="47"/>
      <c r="BL1213" s="47"/>
      <c r="BM1213" s="46"/>
      <c r="BN1213" s="46"/>
      <c r="BO1213" s="24">
        <f>AL1213+AN1213+AP1213+AR1213+AT1213+AV1213+AX1213+AZ1213+BB1213+BD1213+BF1213+BH1213+BJ1213+BL1213+BN1213</f>
        <v>0</v>
      </c>
      <c r="BP1213" s="28">
        <f>AJ1213-BO1213</f>
        <v>-557663.5655</v>
      </c>
      <c r="BQ1213" s="2">
        <v>45884</v>
      </c>
    </row>
    <row r="1214" spans="1:73" hidden="true">
      <c r="D1214" s="9" t="s">
        <v>11</v>
      </c>
      <c r="E1214" s="2">
        <v>45885</v>
      </c>
      <c r="F1214" s="38"/>
      <c r="G1214" s="51"/>
      <c r="H1214" s="4">
        <f>F537*50%</f>
        <v>1848.5</v>
      </c>
      <c r="I1214" s="120"/>
      <c r="J1214" s="4">
        <f>(G1214+H1214)-I1214</f>
        <v>1848.5</v>
      </c>
      <c r="K1214" s="4">
        <f>J1214+O1213</f>
        <v>495780.015</v>
      </c>
      <c r="L1214" s="3"/>
      <c r="M1214" s="3"/>
      <c r="N1214" s="33">
        <f>I1214+M1214</f>
        <v>0</v>
      </c>
      <c r="O1214" s="28">
        <f>K1214-M1214</f>
        <v>495780.015</v>
      </c>
      <c r="P1214" s="9" t="s">
        <v>11</v>
      </c>
      <c r="Q1214" s="2">
        <v>45885</v>
      </c>
      <c r="R1214" s="38"/>
      <c r="S1214" s="52"/>
      <c r="T1214" s="4">
        <f>R537*45%</f>
        <v>3013.65</v>
      </c>
      <c r="U1214" s="5"/>
      <c r="V1214" s="4">
        <f>(S1214+T1214)-U1214</f>
        <v>3013.65</v>
      </c>
      <c r="W1214" s="4">
        <f>V1214+AA1213</f>
        <v>309194.035</v>
      </c>
      <c r="X1214" s="3"/>
      <c r="Y1214" s="3"/>
      <c r="Z1214" s="25">
        <f>U1214+Y1214</f>
        <v>0</v>
      </c>
      <c r="AA1214" s="76">
        <f>W1214-Y1214</f>
        <v>309194.035</v>
      </c>
      <c r="AB1214" s="9" t="s">
        <v>11</v>
      </c>
      <c r="AC1214" s="19">
        <v>45885</v>
      </c>
      <c r="AD1214" s="41"/>
      <c r="AE1214" s="42"/>
      <c r="AF1214" s="4">
        <f>AD537-H1214-T1214</f>
        <v>5531.85</v>
      </c>
      <c r="AG1214" s="3"/>
      <c r="AH1214" s="8"/>
      <c r="AI1214" s="4">
        <f>(AE1214+AF1214)-AH1214</f>
        <v>5531.85</v>
      </c>
      <c r="AJ1214" s="4">
        <f>AI1214+BP1213</f>
        <v>-552131.7155</v>
      </c>
      <c r="AK1214" s="8"/>
      <c r="AL1214" s="8"/>
      <c r="AM1214" s="47"/>
      <c r="AN1214" s="47"/>
      <c r="AO1214" s="8"/>
      <c r="AP1214" s="8"/>
      <c r="AQ1214" s="47"/>
      <c r="AR1214" s="47"/>
      <c r="AS1214" s="8"/>
      <c r="AT1214" s="8"/>
      <c r="AU1214" s="47"/>
      <c r="AV1214" s="47"/>
      <c r="AW1214" s="8"/>
      <c r="AX1214" s="8"/>
      <c r="AY1214" s="47"/>
      <c r="AZ1214" s="47"/>
      <c r="BA1214" s="8"/>
      <c r="BB1214" s="8"/>
      <c r="BC1214" s="47"/>
      <c r="BD1214" s="47"/>
      <c r="BE1214" s="8"/>
      <c r="BF1214" s="8"/>
      <c r="BG1214" s="47"/>
      <c r="BH1214" s="47"/>
      <c r="BI1214" s="8"/>
      <c r="BJ1214" s="3"/>
      <c r="BK1214" s="47"/>
      <c r="BL1214" s="47"/>
      <c r="BM1214" s="46"/>
      <c r="BN1214" s="46"/>
      <c r="BO1214" s="24">
        <f>AL1214+AN1214+AP1214+AR1214+AT1214+AV1214+AX1214+AZ1214+BB1214+BD1214+BF1214+BH1214+BJ1214+BL1214+BN1214</f>
        <v>0</v>
      </c>
      <c r="BP1214" s="28">
        <f>AJ1214-BO1214</f>
        <v>-552131.7155</v>
      </c>
      <c r="BQ1214" s="2">
        <v>45885</v>
      </c>
    </row>
    <row r="1215" spans="1:73" hidden="true">
      <c r="D1215" s="9" t="s">
        <v>12</v>
      </c>
      <c r="E1215" s="2">
        <v>45886</v>
      </c>
      <c r="F1215" s="38"/>
      <c r="G1215" s="51"/>
      <c r="H1215" s="4">
        <f>F538*50%</f>
        <v>1849</v>
      </c>
      <c r="I1215" s="120"/>
      <c r="J1215" s="4">
        <f>(G1215+H1215)-I1215</f>
        <v>1849</v>
      </c>
      <c r="K1215" s="4">
        <f>J1215+O1214</f>
        <v>497629.015</v>
      </c>
      <c r="L1215" s="3"/>
      <c r="M1215" s="3"/>
      <c r="N1215" s="33">
        <f>I1215+M1215</f>
        <v>0</v>
      </c>
      <c r="O1215" s="28">
        <f>K1215-M1215</f>
        <v>497629.015</v>
      </c>
      <c r="P1215" s="9" t="s">
        <v>12</v>
      </c>
      <c r="Q1215" s="2">
        <v>45886</v>
      </c>
      <c r="R1215" s="38"/>
      <c r="S1215" s="52"/>
      <c r="T1215" s="4">
        <f>R538*45%</f>
        <v>3014.1</v>
      </c>
      <c r="U1215" s="5"/>
      <c r="V1215" s="4">
        <f>(S1215+T1215)-U1215</f>
        <v>3014.1</v>
      </c>
      <c r="W1215" s="4">
        <f>V1215+AA1214</f>
        <v>312208.135</v>
      </c>
      <c r="X1215" s="3"/>
      <c r="Y1215" s="3"/>
      <c r="Z1215" s="25">
        <f>U1215+Y1215</f>
        <v>0</v>
      </c>
      <c r="AA1215" s="76">
        <f>W1215-Y1215</f>
        <v>312208.135</v>
      </c>
      <c r="AB1215" s="9" t="s">
        <v>12</v>
      </c>
      <c r="AC1215" s="19">
        <v>45886</v>
      </c>
      <c r="AD1215" s="41"/>
      <c r="AE1215" s="42"/>
      <c r="AF1215" s="4">
        <f>AD538-H1215-T1215</f>
        <v>5532.9</v>
      </c>
      <c r="AG1215" s="3"/>
      <c r="AH1215" s="8"/>
      <c r="AI1215" s="4">
        <f>(AE1215+AF1215)-AH1215</f>
        <v>5532.9</v>
      </c>
      <c r="AJ1215" s="4">
        <f>AI1215+BP1214</f>
        <v>-546598.8155</v>
      </c>
      <c r="AK1215" s="8"/>
      <c r="AL1215" s="8"/>
      <c r="AM1215" s="47"/>
      <c r="AN1215" s="47"/>
      <c r="AO1215" s="8"/>
      <c r="AP1215" s="8"/>
      <c r="AQ1215" s="47"/>
      <c r="AR1215" s="47"/>
      <c r="AS1215" s="8"/>
      <c r="AT1215" s="8"/>
      <c r="AU1215" s="47"/>
      <c r="AV1215" s="47"/>
      <c r="AW1215" s="8"/>
      <c r="AX1215" s="8"/>
      <c r="AY1215" s="47"/>
      <c r="AZ1215" s="47"/>
      <c r="BA1215" s="8"/>
      <c r="BB1215" s="8"/>
      <c r="BC1215" s="47"/>
      <c r="BD1215" s="47"/>
      <c r="BE1215" s="8"/>
      <c r="BF1215" s="8"/>
      <c r="BG1215" s="47"/>
      <c r="BH1215" s="47"/>
      <c r="BI1215" s="8"/>
      <c r="BJ1215" s="3"/>
      <c r="BK1215" s="47"/>
      <c r="BL1215" s="47"/>
      <c r="BM1215" s="46"/>
      <c r="BN1215" s="46"/>
      <c r="BO1215" s="24">
        <f>AL1215+AN1215+AP1215+AR1215+AT1215+AV1215+AX1215+AZ1215+BB1215+BD1215+BF1215+BH1215+BJ1215+BL1215+BN1215</f>
        <v>0</v>
      </c>
      <c r="BP1215" s="28">
        <f>AJ1215-BO1215</f>
        <v>-546598.8155</v>
      </c>
      <c r="BQ1215" s="2">
        <v>45886</v>
      </c>
    </row>
    <row r="1216" spans="1:73" hidden="true">
      <c r="D1216" s="9" t="s">
        <v>13</v>
      </c>
      <c r="E1216" s="2">
        <v>45887</v>
      </c>
      <c r="F1216" s="38"/>
      <c r="G1216" s="51"/>
      <c r="H1216" s="4">
        <f>F539*50%</f>
        <v>1849.5</v>
      </c>
      <c r="I1216" s="120"/>
      <c r="J1216" s="4">
        <f>(G1216+H1216)-I1216</f>
        <v>1849.5</v>
      </c>
      <c r="K1216" s="4">
        <f>J1216+O1215</f>
        <v>499478.515</v>
      </c>
      <c r="L1216" s="3"/>
      <c r="M1216" s="3"/>
      <c r="N1216" s="33">
        <f>I1216+M1216</f>
        <v>0</v>
      </c>
      <c r="O1216" s="28">
        <f>K1216-M1216</f>
        <v>499478.515</v>
      </c>
      <c r="P1216" s="9" t="s">
        <v>13</v>
      </c>
      <c r="Q1216" s="2">
        <v>45887</v>
      </c>
      <c r="R1216" s="38"/>
      <c r="S1216" s="52"/>
      <c r="T1216" s="4">
        <f>R539*45%</f>
        <v>3014.55</v>
      </c>
      <c r="U1216" s="5"/>
      <c r="V1216" s="4">
        <f>(S1216+T1216)-U1216</f>
        <v>3014.55</v>
      </c>
      <c r="W1216" s="4">
        <f>V1216+AA1215</f>
        <v>315222.685</v>
      </c>
      <c r="X1216" s="3"/>
      <c r="Y1216" s="3"/>
      <c r="Z1216" s="25">
        <f>U1216+Y1216</f>
        <v>0</v>
      </c>
      <c r="AA1216" s="76">
        <f>W1216-Y1216</f>
        <v>315222.685</v>
      </c>
      <c r="AB1216" s="9" t="s">
        <v>13</v>
      </c>
      <c r="AC1216" s="19">
        <v>45887</v>
      </c>
      <c r="AD1216" s="41"/>
      <c r="AE1216" s="42"/>
      <c r="AF1216" s="4">
        <f>AD539-H1216-T1216</f>
        <v>5533.95</v>
      </c>
      <c r="AG1216" s="3"/>
      <c r="AH1216" s="8"/>
      <c r="AI1216" s="4">
        <f>(AE1216+AF1216)-AH1216</f>
        <v>5533.95</v>
      </c>
      <c r="AJ1216" s="4">
        <f>AI1216+BP1215</f>
        <v>-541064.8655</v>
      </c>
      <c r="AK1216" s="8"/>
      <c r="AL1216" s="8"/>
      <c r="AM1216" s="47"/>
      <c r="AN1216" s="47"/>
      <c r="AO1216" s="8"/>
      <c r="AP1216" s="8"/>
      <c r="AQ1216" s="47"/>
      <c r="AR1216" s="47"/>
      <c r="AS1216" s="8"/>
      <c r="AT1216" s="8"/>
      <c r="AU1216" s="47"/>
      <c r="AV1216" s="47"/>
      <c r="AW1216" s="8"/>
      <c r="AX1216" s="8"/>
      <c r="AY1216" s="47"/>
      <c r="AZ1216" s="47"/>
      <c r="BA1216" s="8"/>
      <c r="BB1216" s="8"/>
      <c r="BC1216" s="47"/>
      <c r="BD1216" s="47"/>
      <c r="BE1216" s="8"/>
      <c r="BF1216" s="8"/>
      <c r="BG1216" s="47"/>
      <c r="BH1216" s="47"/>
      <c r="BI1216" s="8"/>
      <c r="BJ1216" s="3"/>
      <c r="BK1216" s="47"/>
      <c r="BL1216" s="47"/>
      <c r="BM1216" s="46"/>
      <c r="BN1216" s="46"/>
      <c r="BO1216" s="24">
        <f>AL1216+AN1216+AP1216+AR1216+AT1216+AV1216+AX1216+AZ1216+BB1216+BD1216+BF1216+BH1216+BJ1216+BL1216+BN1216</f>
        <v>0</v>
      </c>
      <c r="BP1216" s="28">
        <f>AJ1216-BO1216</f>
        <v>-541064.8655</v>
      </c>
      <c r="BQ1216" s="2">
        <v>45887</v>
      </c>
    </row>
    <row r="1217" spans="1:73" hidden="true">
      <c r="D1217" s="9" t="s">
        <v>14</v>
      </c>
      <c r="E1217" s="2">
        <v>45888</v>
      </c>
      <c r="F1217" s="38"/>
      <c r="G1217" s="51"/>
      <c r="H1217" s="4">
        <f>F540*50%</f>
        <v>1850</v>
      </c>
      <c r="I1217" s="120"/>
      <c r="J1217" s="4">
        <f>(G1217+H1217)-I1217</f>
        <v>1850</v>
      </c>
      <c r="K1217" s="4">
        <f>J1217+O1216</f>
        <v>501328.515</v>
      </c>
      <c r="L1217" s="3"/>
      <c r="M1217" s="3"/>
      <c r="N1217" s="33">
        <f>I1217+M1217</f>
        <v>0</v>
      </c>
      <c r="O1217" s="28">
        <f>K1217-M1217</f>
        <v>501328.515</v>
      </c>
      <c r="P1217" s="9" t="s">
        <v>14</v>
      </c>
      <c r="Q1217" s="2">
        <v>45888</v>
      </c>
      <c r="R1217" s="38"/>
      <c r="S1217" s="52"/>
      <c r="T1217" s="4">
        <f>R540*45%</f>
        <v>3015</v>
      </c>
      <c r="U1217" s="5"/>
      <c r="V1217" s="4">
        <f>(S1217+T1217)-U1217</f>
        <v>3015</v>
      </c>
      <c r="W1217" s="4">
        <f>V1217+AA1216</f>
        <v>318237.685</v>
      </c>
      <c r="X1217" s="3"/>
      <c r="Y1217" s="3"/>
      <c r="Z1217" s="25">
        <f>U1217+Y1217</f>
        <v>0</v>
      </c>
      <c r="AA1217" s="76">
        <f>W1217-Y1217</f>
        <v>318237.685</v>
      </c>
      <c r="AB1217" s="9" t="s">
        <v>14</v>
      </c>
      <c r="AC1217" s="19">
        <v>45888</v>
      </c>
      <c r="AD1217" s="41"/>
      <c r="AE1217" s="42"/>
      <c r="AF1217" s="4">
        <f>AD540-H1217-T1217</f>
        <v>5535</v>
      </c>
      <c r="AG1217" s="3"/>
      <c r="AH1217" s="8"/>
      <c r="AI1217" s="4">
        <f>(AE1217+AF1217)-AH1217</f>
        <v>5535</v>
      </c>
      <c r="AJ1217" s="4">
        <f>AI1217+BP1216</f>
        <v>-535529.8655</v>
      </c>
      <c r="AK1217" s="8"/>
      <c r="AL1217" s="8"/>
      <c r="AM1217" s="47"/>
      <c r="AN1217" s="47"/>
      <c r="AO1217" s="8"/>
      <c r="AP1217" s="8"/>
      <c r="AQ1217" s="47"/>
      <c r="AR1217" s="47"/>
      <c r="AS1217" s="8"/>
      <c r="AT1217" s="8"/>
      <c r="AU1217" s="47"/>
      <c r="AV1217" s="47"/>
      <c r="AW1217" s="8"/>
      <c r="AX1217" s="8"/>
      <c r="AY1217" s="47"/>
      <c r="AZ1217" s="47"/>
      <c r="BA1217" s="8"/>
      <c r="BB1217" s="8"/>
      <c r="BC1217" s="47"/>
      <c r="BD1217" s="47"/>
      <c r="BE1217" s="8"/>
      <c r="BF1217" s="8"/>
      <c r="BG1217" s="47"/>
      <c r="BH1217" s="47"/>
      <c r="BI1217" s="8"/>
      <c r="BJ1217" s="3"/>
      <c r="BK1217" s="47"/>
      <c r="BL1217" s="47"/>
      <c r="BM1217" s="46"/>
      <c r="BN1217" s="46"/>
      <c r="BO1217" s="24">
        <f>AL1217+AN1217+AP1217+AR1217+AT1217+AV1217+AX1217+AZ1217+BB1217+BD1217+BF1217+BH1217+BJ1217+BL1217+BN1217</f>
        <v>0</v>
      </c>
      <c r="BP1217" s="28">
        <f>AJ1217-BO1217</f>
        <v>-535529.8655</v>
      </c>
      <c r="BQ1217" s="2">
        <v>45888</v>
      </c>
    </row>
    <row r="1218" spans="1:73" hidden="true">
      <c r="D1218" s="9" t="s">
        <v>15</v>
      </c>
      <c r="E1218" s="2">
        <v>45889</v>
      </c>
      <c r="F1218" s="38"/>
      <c r="G1218" s="51"/>
      <c r="H1218" s="4">
        <f>F541*50%</f>
        <v>1850.5</v>
      </c>
      <c r="I1218" s="120"/>
      <c r="J1218" s="4">
        <f>(G1218+H1218)-I1218</f>
        <v>1850.5</v>
      </c>
      <c r="K1218" s="4">
        <f>J1218+O1217</f>
        <v>503179.015</v>
      </c>
      <c r="L1218" s="3"/>
      <c r="M1218" s="3"/>
      <c r="N1218" s="33">
        <f>I1218+M1218</f>
        <v>0</v>
      </c>
      <c r="O1218" s="28">
        <f>K1218-M1218</f>
        <v>503179.015</v>
      </c>
      <c r="P1218" s="9" t="s">
        <v>15</v>
      </c>
      <c r="Q1218" s="2">
        <v>45889</v>
      </c>
      <c r="R1218" s="38"/>
      <c r="S1218" s="52"/>
      <c r="T1218" s="4">
        <f>R541*45%</f>
        <v>3015.45</v>
      </c>
      <c r="U1218" s="5"/>
      <c r="V1218" s="4">
        <f>(S1218+T1218)-U1218</f>
        <v>3015.45</v>
      </c>
      <c r="W1218" s="4">
        <f>V1218+AA1217</f>
        <v>321253.135</v>
      </c>
      <c r="X1218" s="3"/>
      <c r="Y1218" s="3"/>
      <c r="Z1218" s="25">
        <f>U1218+Y1218</f>
        <v>0</v>
      </c>
      <c r="AA1218" s="76">
        <f>W1218-Y1218</f>
        <v>321253.135</v>
      </c>
      <c r="AB1218" s="9" t="s">
        <v>15</v>
      </c>
      <c r="AC1218" s="19">
        <v>45889</v>
      </c>
      <c r="AD1218" s="41"/>
      <c r="AE1218" s="42"/>
      <c r="AF1218" s="4">
        <f>AD541-H1218-T1218</f>
        <v>5536.05</v>
      </c>
      <c r="AG1218" s="3"/>
      <c r="AH1218" s="8"/>
      <c r="AI1218" s="4">
        <f>(AE1218+AF1218)-AH1218</f>
        <v>5536.05</v>
      </c>
      <c r="AJ1218" s="4">
        <f>AI1218+BP1217</f>
        <v>-529993.8155</v>
      </c>
      <c r="AK1218" s="8"/>
      <c r="AL1218" s="8"/>
      <c r="AM1218" s="47"/>
      <c r="AN1218" s="47"/>
      <c r="AO1218" s="8"/>
      <c r="AP1218" s="8"/>
      <c r="AQ1218" s="47"/>
      <c r="AR1218" s="47"/>
      <c r="AS1218" s="8"/>
      <c r="AT1218" s="8"/>
      <c r="AU1218" s="47"/>
      <c r="AV1218" s="47"/>
      <c r="AW1218" s="8"/>
      <c r="AX1218" s="8"/>
      <c r="AY1218" s="47"/>
      <c r="AZ1218" s="47"/>
      <c r="BA1218" s="8"/>
      <c r="BB1218" s="8"/>
      <c r="BC1218" s="47"/>
      <c r="BD1218" s="47"/>
      <c r="BE1218" s="8"/>
      <c r="BF1218" s="8"/>
      <c r="BG1218" s="47"/>
      <c r="BH1218" s="47"/>
      <c r="BI1218" s="8"/>
      <c r="BJ1218" s="3"/>
      <c r="BK1218" s="47"/>
      <c r="BL1218" s="47"/>
      <c r="BM1218" s="46"/>
      <c r="BN1218" s="46"/>
      <c r="BO1218" s="24">
        <f>AL1218+AN1218+AP1218+AR1218+AT1218+AV1218+AX1218+AZ1218+BB1218+BD1218+BF1218+BH1218+BJ1218+BL1218+BN1218</f>
        <v>0</v>
      </c>
      <c r="BP1218" s="28">
        <f>AJ1218-BO1218</f>
        <v>-529993.8155</v>
      </c>
      <c r="BQ1218" s="2">
        <v>45889</v>
      </c>
    </row>
    <row r="1219" spans="1:73" hidden="true">
      <c r="D1219" s="9" t="s">
        <v>16</v>
      </c>
      <c r="E1219" s="2">
        <v>45890</v>
      </c>
      <c r="F1219" s="38"/>
      <c r="G1219" s="51"/>
      <c r="H1219" s="4">
        <f>F542*50%</f>
        <v>1851</v>
      </c>
      <c r="I1219" s="120"/>
      <c r="J1219" s="4">
        <f>(G1219+H1219)-I1219</f>
        <v>1851</v>
      </c>
      <c r="K1219" s="4">
        <f>J1219+O1218</f>
        <v>505030.015</v>
      </c>
      <c r="L1219" s="3"/>
      <c r="M1219" s="3"/>
      <c r="N1219" s="33">
        <f>I1219+M1219</f>
        <v>0</v>
      </c>
      <c r="O1219" s="28">
        <f>K1219-M1219</f>
        <v>505030.015</v>
      </c>
      <c r="P1219" s="9" t="s">
        <v>16</v>
      </c>
      <c r="Q1219" s="2">
        <v>45890</v>
      </c>
      <c r="R1219" s="38"/>
      <c r="S1219" s="52"/>
      <c r="T1219" s="4">
        <f>R542*45%</f>
        <v>3015.9</v>
      </c>
      <c r="U1219" s="5"/>
      <c r="V1219" s="4">
        <f>(S1219+T1219)-U1219</f>
        <v>3015.9</v>
      </c>
      <c r="W1219" s="4">
        <f>V1219+AA1218</f>
        <v>324269.035</v>
      </c>
      <c r="X1219" s="3"/>
      <c r="Y1219" s="3"/>
      <c r="Z1219" s="25">
        <f>U1219+Y1219</f>
        <v>0</v>
      </c>
      <c r="AA1219" s="76">
        <f>W1219-Y1219</f>
        <v>324269.035</v>
      </c>
      <c r="AB1219" s="9" t="s">
        <v>16</v>
      </c>
      <c r="AC1219" s="19">
        <v>45890</v>
      </c>
      <c r="AD1219" s="41"/>
      <c r="AE1219" s="42"/>
      <c r="AF1219" s="4">
        <f>AD542-H1219-T1219</f>
        <v>5537.1</v>
      </c>
      <c r="AG1219" s="3"/>
      <c r="AH1219" s="8"/>
      <c r="AI1219" s="4">
        <f>(AE1219+AF1219)-AH1219</f>
        <v>5537.1</v>
      </c>
      <c r="AJ1219" s="4">
        <f>AI1219+BP1218</f>
        <v>-524456.7155</v>
      </c>
      <c r="AK1219" s="8"/>
      <c r="AL1219" s="8"/>
      <c r="AM1219" s="47"/>
      <c r="AN1219" s="47"/>
      <c r="AO1219" s="8"/>
      <c r="AP1219" s="8"/>
      <c r="AQ1219" s="47"/>
      <c r="AR1219" s="47"/>
      <c r="AS1219" s="8"/>
      <c r="AT1219" s="8"/>
      <c r="AU1219" s="47"/>
      <c r="AV1219" s="47"/>
      <c r="AW1219" s="8"/>
      <c r="AX1219" s="8"/>
      <c r="AY1219" s="47"/>
      <c r="AZ1219" s="47"/>
      <c r="BA1219" s="8"/>
      <c r="BB1219" s="8"/>
      <c r="BC1219" s="47"/>
      <c r="BD1219" s="47"/>
      <c r="BE1219" s="8"/>
      <c r="BF1219" s="8"/>
      <c r="BG1219" s="47"/>
      <c r="BH1219" s="47"/>
      <c r="BI1219" s="8"/>
      <c r="BJ1219" s="3"/>
      <c r="BK1219" s="47"/>
      <c r="BL1219" s="47"/>
      <c r="BM1219" s="46"/>
      <c r="BN1219" s="46"/>
      <c r="BO1219" s="24">
        <f>AL1219+AN1219+AP1219+AR1219+AT1219+AV1219+AX1219+AZ1219+BB1219+BD1219+BF1219+BH1219+BJ1219+BL1219+BN1219</f>
        <v>0</v>
      </c>
      <c r="BP1219" s="28">
        <f>AJ1219-BO1219</f>
        <v>-524456.7155</v>
      </c>
      <c r="BQ1219" s="2">
        <v>45890</v>
      </c>
    </row>
    <row r="1220" spans="1:73" hidden="true">
      <c r="D1220" s="9" t="s">
        <v>10</v>
      </c>
      <c r="E1220" s="2">
        <v>45891</v>
      </c>
      <c r="F1220" s="38"/>
      <c r="G1220" s="51"/>
      <c r="H1220" s="4">
        <f>F543*50%</f>
        <v>1851.5</v>
      </c>
      <c r="I1220" s="120"/>
      <c r="J1220" s="4">
        <f>(G1220+H1220)-I1220</f>
        <v>1851.5</v>
      </c>
      <c r="K1220" s="4">
        <f>J1220+O1219</f>
        <v>506881.515</v>
      </c>
      <c r="L1220" s="3"/>
      <c r="M1220" s="3"/>
      <c r="N1220" s="33">
        <f>I1220+M1220</f>
        <v>0</v>
      </c>
      <c r="O1220" s="28">
        <f>K1220-M1220</f>
        <v>506881.515</v>
      </c>
      <c r="P1220" s="9" t="s">
        <v>10</v>
      </c>
      <c r="Q1220" s="2">
        <v>45891</v>
      </c>
      <c r="R1220" s="38"/>
      <c r="S1220" s="52"/>
      <c r="T1220" s="4">
        <f>R543*45%</f>
        <v>3016.35</v>
      </c>
      <c r="U1220" s="5"/>
      <c r="V1220" s="4">
        <f>(S1220+T1220)-U1220</f>
        <v>3016.35</v>
      </c>
      <c r="W1220" s="4">
        <f>V1220+AA1219</f>
        <v>327285.385</v>
      </c>
      <c r="X1220" s="3"/>
      <c r="Y1220" s="3"/>
      <c r="Z1220" s="25">
        <f>U1220+Y1220</f>
        <v>0</v>
      </c>
      <c r="AA1220" s="76">
        <f>W1220-Y1220</f>
        <v>327285.385</v>
      </c>
      <c r="AB1220" s="9" t="s">
        <v>10</v>
      </c>
      <c r="AC1220" s="19">
        <v>45891</v>
      </c>
      <c r="AD1220" s="41"/>
      <c r="AE1220" s="42"/>
      <c r="AF1220" s="4">
        <f>AD543-H1220-T1220</f>
        <v>5538.15</v>
      </c>
      <c r="AG1220" s="3"/>
      <c r="AH1220" s="8"/>
      <c r="AI1220" s="4">
        <f>(AE1220+AF1220)-AH1220</f>
        <v>5538.15</v>
      </c>
      <c r="AJ1220" s="4">
        <f>AI1220+BP1219</f>
        <v>-518918.5655</v>
      </c>
      <c r="AK1220" s="8"/>
      <c r="AL1220" s="8"/>
      <c r="AM1220" s="47"/>
      <c r="AN1220" s="47"/>
      <c r="AO1220" s="8"/>
      <c r="AP1220" s="8"/>
      <c r="AQ1220" s="47"/>
      <c r="AR1220" s="47"/>
      <c r="AS1220" s="8"/>
      <c r="AT1220" s="8"/>
      <c r="AU1220" s="47"/>
      <c r="AV1220" s="47"/>
      <c r="AW1220" s="8"/>
      <c r="AX1220" s="8"/>
      <c r="AY1220" s="47"/>
      <c r="AZ1220" s="47"/>
      <c r="BA1220" s="8"/>
      <c r="BB1220" s="8"/>
      <c r="BC1220" s="47"/>
      <c r="BD1220" s="47"/>
      <c r="BE1220" s="8"/>
      <c r="BF1220" s="8"/>
      <c r="BG1220" s="47"/>
      <c r="BH1220" s="47"/>
      <c r="BI1220" s="8"/>
      <c r="BJ1220" s="3"/>
      <c r="BK1220" s="47"/>
      <c r="BL1220" s="47"/>
      <c r="BM1220" s="46"/>
      <c r="BN1220" s="46"/>
      <c r="BO1220" s="24">
        <f>AL1220+AN1220+AP1220+AR1220+AT1220+AV1220+AX1220+AZ1220+BB1220+BD1220+BF1220+BH1220+BJ1220+BL1220+BN1220</f>
        <v>0</v>
      </c>
      <c r="BP1220" s="28">
        <f>AJ1220-BO1220</f>
        <v>-518918.5655</v>
      </c>
      <c r="BQ1220" s="2">
        <v>45891</v>
      </c>
    </row>
    <row r="1221" spans="1:73" hidden="true">
      <c r="D1221" s="9" t="s">
        <v>11</v>
      </c>
      <c r="E1221" s="2">
        <v>45892</v>
      </c>
      <c r="F1221" s="38"/>
      <c r="G1221" s="51"/>
      <c r="H1221" s="4">
        <f>F544*50%</f>
        <v>1852</v>
      </c>
      <c r="I1221" s="120"/>
      <c r="J1221" s="4">
        <f>(G1221+H1221)-I1221</f>
        <v>1852</v>
      </c>
      <c r="K1221" s="4">
        <f>J1221+O1220</f>
        <v>508733.515</v>
      </c>
      <c r="L1221" s="3"/>
      <c r="M1221" s="3"/>
      <c r="N1221" s="33">
        <f>I1221+M1221</f>
        <v>0</v>
      </c>
      <c r="O1221" s="28">
        <f>K1221-M1221</f>
        <v>508733.515</v>
      </c>
      <c r="P1221" s="9" t="s">
        <v>11</v>
      </c>
      <c r="Q1221" s="2">
        <v>45892</v>
      </c>
      <c r="R1221" s="38"/>
      <c r="S1221" s="52"/>
      <c r="T1221" s="4">
        <f>R544*45%</f>
        <v>3016.8</v>
      </c>
      <c r="U1221" s="5"/>
      <c r="V1221" s="4">
        <f>(S1221+T1221)-U1221</f>
        <v>3016.8</v>
      </c>
      <c r="W1221" s="4">
        <f>V1221+AA1220</f>
        <v>330302.185</v>
      </c>
      <c r="X1221" s="3"/>
      <c r="Y1221" s="3"/>
      <c r="Z1221" s="25">
        <f>U1221+Y1221</f>
        <v>0</v>
      </c>
      <c r="AA1221" s="76">
        <f>W1221-Y1221</f>
        <v>330302.185</v>
      </c>
      <c r="AB1221" s="9" t="s">
        <v>11</v>
      </c>
      <c r="AC1221" s="19">
        <v>45892</v>
      </c>
      <c r="AD1221" s="41"/>
      <c r="AE1221" s="42"/>
      <c r="AF1221" s="4">
        <f>AD544-H1221-T1221</f>
        <v>5539.2</v>
      </c>
      <c r="AG1221" s="3"/>
      <c r="AH1221" s="8"/>
      <c r="AI1221" s="4">
        <f>(AE1221+AF1221)-AH1221</f>
        <v>5539.2</v>
      </c>
      <c r="AJ1221" s="4">
        <f>AI1221+BP1220</f>
        <v>-513379.3655</v>
      </c>
      <c r="AK1221" s="8"/>
      <c r="AL1221" s="8"/>
      <c r="AM1221" s="47"/>
      <c r="AN1221" s="47"/>
      <c r="AO1221" s="8"/>
      <c r="AP1221" s="8"/>
      <c r="AQ1221" s="47"/>
      <c r="AR1221" s="47"/>
      <c r="AS1221" s="8"/>
      <c r="AT1221" s="8"/>
      <c r="AU1221" s="47"/>
      <c r="AV1221" s="47"/>
      <c r="AW1221" s="8"/>
      <c r="AX1221" s="8"/>
      <c r="AY1221" s="47"/>
      <c r="AZ1221" s="47"/>
      <c r="BA1221" s="8"/>
      <c r="BB1221" s="8"/>
      <c r="BC1221" s="47"/>
      <c r="BD1221" s="47"/>
      <c r="BE1221" s="8"/>
      <c r="BF1221" s="8"/>
      <c r="BG1221" s="47"/>
      <c r="BH1221" s="47"/>
      <c r="BI1221" s="8"/>
      <c r="BJ1221" s="3"/>
      <c r="BK1221" s="47"/>
      <c r="BL1221" s="47"/>
      <c r="BM1221" s="46"/>
      <c r="BN1221" s="46"/>
      <c r="BO1221" s="24">
        <f>AL1221+AN1221+AP1221+AR1221+AT1221+AV1221+AX1221+AZ1221+BB1221+BD1221+BF1221+BH1221+BJ1221+BL1221+BN1221</f>
        <v>0</v>
      </c>
      <c r="BP1221" s="28">
        <f>AJ1221-BO1221</f>
        <v>-513379.3655</v>
      </c>
      <c r="BQ1221" s="2">
        <v>45892</v>
      </c>
    </row>
    <row r="1222" spans="1:73" hidden="true">
      <c r="D1222" s="9" t="s">
        <v>12</v>
      </c>
      <c r="E1222" s="2">
        <v>45893</v>
      </c>
      <c r="F1222" s="38"/>
      <c r="G1222" s="51"/>
      <c r="H1222" s="4">
        <f>F545*50%</f>
        <v>1852.5</v>
      </c>
      <c r="I1222" s="120"/>
      <c r="J1222" s="4">
        <f>(G1222+H1222)-I1222</f>
        <v>1852.5</v>
      </c>
      <c r="K1222" s="4">
        <f>J1222+O1221</f>
        <v>510586.015</v>
      </c>
      <c r="L1222" s="3"/>
      <c r="M1222" s="3"/>
      <c r="N1222" s="33">
        <f>I1222+M1222</f>
        <v>0</v>
      </c>
      <c r="O1222" s="28">
        <f>K1222-M1222</f>
        <v>510586.015</v>
      </c>
      <c r="P1222" s="9" t="s">
        <v>12</v>
      </c>
      <c r="Q1222" s="2">
        <v>45893</v>
      </c>
      <c r="R1222" s="38"/>
      <c r="S1222" s="52"/>
      <c r="T1222" s="4">
        <f>R545*45%</f>
        <v>3017.25</v>
      </c>
      <c r="U1222" s="5"/>
      <c r="V1222" s="4">
        <f>(S1222+T1222)-U1222</f>
        <v>3017.25</v>
      </c>
      <c r="W1222" s="4">
        <f>V1222+AA1221</f>
        <v>333319.435</v>
      </c>
      <c r="X1222" s="3"/>
      <c r="Y1222" s="3"/>
      <c r="Z1222" s="25">
        <f>U1222+Y1222</f>
        <v>0</v>
      </c>
      <c r="AA1222" s="76">
        <f>W1222-Y1222</f>
        <v>333319.435</v>
      </c>
      <c r="AB1222" s="9" t="s">
        <v>12</v>
      </c>
      <c r="AC1222" s="19">
        <v>45893</v>
      </c>
      <c r="AD1222" s="41"/>
      <c r="AE1222" s="42"/>
      <c r="AF1222" s="4">
        <f>AD545-H1222-T1222</f>
        <v>5540.25</v>
      </c>
      <c r="AG1222" s="3"/>
      <c r="AH1222" s="8"/>
      <c r="AI1222" s="4">
        <f>(AE1222+AF1222)-AH1222</f>
        <v>5540.25</v>
      </c>
      <c r="AJ1222" s="4">
        <f>AI1222+BP1221</f>
        <v>-507839.1155</v>
      </c>
      <c r="AK1222" s="8"/>
      <c r="AL1222" s="8"/>
      <c r="AM1222" s="47"/>
      <c r="AN1222" s="47"/>
      <c r="AO1222" s="8"/>
      <c r="AP1222" s="8"/>
      <c r="AQ1222" s="47"/>
      <c r="AR1222" s="47"/>
      <c r="AS1222" s="8"/>
      <c r="AT1222" s="8"/>
      <c r="AU1222" s="47"/>
      <c r="AV1222" s="47"/>
      <c r="AW1222" s="8"/>
      <c r="AX1222" s="8"/>
      <c r="AY1222" s="47"/>
      <c r="AZ1222" s="47"/>
      <c r="BA1222" s="8"/>
      <c r="BB1222" s="8"/>
      <c r="BC1222" s="47"/>
      <c r="BD1222" s="47"/>
      <c r="BE1222" s="8"/>
      <c r="BF1222" s="8"/>
      <c r="BG1222" s="47"/>
      <c r="BH1222" s="47"/>
      <c r="BI1222" s="8"/>
      <c r="BJ1222" s="3"/>
      <c r="BK1222" s="47"/>
      <c r="BL1222" s="47"/>
      <c r="BM1222" s="46"/>
      <c r="BN1222" s="46"/>
      <c r="BO1222" s="24">
        <f>AL1222+AN1222+AP1222+AR1222+AT1222+AV1222+AX1222+AZ1222+BB1222+BD1222+BF1222+BH1222+BJ1222+BL1222+BN1222</f>
        <v>0</v>
      </c>
      <c r="BP1222" s="28">
        <f>AJ1222-BO1222</f>
        <v>-507839.1155</v>
      </c>
      <c r="BQ1222" s="2">
        <v>45893</v>
      </c>
    </row>
    <row r="1223" spans="1:73" hidden="true">
      <c r="D1223" s="9" t="s">
        <v>13</v>
      </c>
      <c r="E1223" s="2">
        <v>45894</v>
      </c>
      <c r="F1223" s="38"/>
      <c r="G1223" s="51"/>
      <c r="H1223" s="4">
        <f>F546*50%</f>
        <v>1853</v>
      </c>
      <c r="I1223" s="120"/>
      <c r="J1223" s="4">
        <f>(G1223+H1223)-I1223</f>
        <v>1853</v>
      </c>
      <c r="K1223" s="4">
        <f>J1223+O1222</f>
        <v>512439.015</v>
      </c>
      <c r="L1223" s="3"/>
      <c r="M1223" s="3"/>
      <c r="N1223" s="33">
        <f>I1223+M1223</f>
        <v>0</v>
      </c>
      <c r="O1223" s="28">
        <f>K1223-M1223</f>
        <v>512439.015</v>
      </c>
      <c r="P1223" s="9" t="s">
        <v>13</v>
      </c>
      <c r="Q1223" s="2">
        <v>45894</v>
      </c>
      <c r="R1223" s="38"/>
      <c r="S1223" s="52"/>
      <c r="T1223" s="4">
        <f>R546*45%</f>
        <v>3017.7</v>
      </c>
      <c r="U1223" s="5"/>
      <c r="V1223" s="4">
        <f>(S1223+T1223)-U1223</f>
        <v>3017.7</v>
      </c>
      <c r="W1223" s="4">
        <f>V1223+AA1222</f>
        <v>336337.135</v>
      </c>
      <c r="X1223" s="3"/>
      <c r="Y1223" s="3"/>
      <c r="Z1223" s="25">
        <f>U1223+Y1223</f>
        <v>0</v>
      </c>
      <c r="AA1223" s="76">
        <f>W1223-Y1223</f>
        <v>336337.135</v>
      </c>
      <c r="AB1223" s="9" t="s">
        <v>13</v>
      </c>
      <c r="AC1223" s="19">
        <v>45894</v>
      </c>
      <c r="AD1223" s="41"/>
      <c r="AE1223" s="42"/>
      <c r="AF1223" s="4">
        <f>AD546-H1223-T1223</f>
        <v>5541.3</v>
      </c>
      <c r="AG1223" s="3"/>
      <c r="AH1223" s="8"/>
      <c r="AI1223" s="4">
        <f>(AE1223+AF1223)-AH1223</f>
        <v>5541.3</v>
      </c>
      <c r="AJ1223" s="4">
        <f>AI1223+BP1222</f>
        <v>-502297.8155</v>
      </c>
      <c r="AK1223" s="8"/>
      <c r="AL1223" s="8"/>
      <c r="AM1223" s="47"/>
      <c r="AN1223" s="47"/>
      <c r="AO1223" s="8"/>
      <c r="AP1223" s="8"/>
      <c r="AQ1223" s="47"/>
      <c r="AR1223" s="47"/>
      <c r="AS1223" s="8"/>
      <c r="AT1223" s="8"/>
      <c r="AU1223" s="47"/>
      <c r="AV1223" s="47"/>
      <c r="AW1223" s="8"/>
      <c r="AX1223" s="8"/>
      <c r="AY1223" s="47"/>
      <c r="AZ1223" s="47"/>
      <c r="BA1223" s="8"/>
      <c r="BB1223" s="8"/>
      <c r="BC1223" s="47"/>
      <c r="BD1223" s="47"/>
      <c r="BE1223" s="8"/>
      <c r="BF1223" s="8"/>
      <c r="BG1223" s="47"/>
      <c r="BH1223" s="47"/>
      <c r="BI1223" s="8"/>
      <c r="BJ1223" s="3"/>
      <c r="BK1223" s="47"/>
      <c r="BL1223" s="47"/>
      <c r="BM1223" s="46"/>
      <c r="BN1223" s="46"/>
      <c r="BO1223" s="24">
        <f>AL1223+AN1223+AP1223+AR1223+AT1223+AV1223+AX1223+AZ1223+BB1223+BD1223+BF1223+BH1223+BJ1223+BL1223+BN1223</f>
        <v>0</v>
      </c>
      <c r="BP1223" s="28">
        <f>AJ1223-BO1223</f>
        <v>-502297.8155</v>
      </c>
      <c r="BQ1223" s="2">
        <v>45894</v>
      </c>
    </row>
    <row r="1224" spans="1:73" hidden="true">
      <c r="D1224" s="9" t="s">
        <v>14</v>
      </c>
      <c r="E1224" s="2">
        <v>45895</v>
      </c>
      <c r="F1224" s="38"/>
      <c r="G1224" s="51"/>
      <c r="H1224" s="4">
        <f>F547*50%</f>
        <v>1853.5</v>
      </c>
      <c r="I1224" s="120"/>
      <c r="J1224" s="4">
        <f>(G1224+H1224)-I1224</f>
        <v>1853.5</v>
      </c>
      <c r="K1224" s="4">
        <f>J1224+O1223</f>
        <v>514292.515</v>
      </c>
      <c r="L1224" s="3"/>
      <c r="M1224" s="3"/>
      <c r="N1224" s="33">
        <f>I1224+M1224</f>
        <v>0</v>
      </c>
      <c r="O1224" s="28">
        <f>K1224-M1224</f>
        <v>514292.515</v>
      </c>
      <c r="P1224" s="9" t="s">
        <v>14</v>
      </c>
      <c r="Q1224" s="2">
        <v>45895</v>
      </c>
      <c r="R1224" s="38"/>
      <c r="S1224" s="52"/>
      <c r="T1224" s="4">
        <f>R547*45%</f>
        <v>3018.15</v>
      </c>
      <c r="U1224" s="5"/>
      <c r="V1224" s="4">
        <f>(S1224+T1224)-U1224</f>
        <v>3018.15</v>
      </c>
      <c r="W1224" s="4">
        <f>V1224+AA1223</f>
        <v>339355.285</v>
      </c>
      <c r="X1224" s="3"/>
      <c r="Y1224" s="3"/>
      <c r="Z1224" s="25">
        <f>U1224+Y1224</f>
        <v>0</v>
      </c>
      <c r="AA1224" s="76">
        <f>W1224-Y1224</f>
        <v>339355.285</v>
      </c>
      <c r="AB1224" s="9" t="s">
        <v>14</v>
      </c>
      <c r="AC1224" s="19">
        <v>45895</v>
      </c>
      <c r="AD1224" s="41"/>
      <c r="AE1224" s="42"/>
      <c r="AF1224" s="4">
        <f>AD547-H1224-T1224</f>
        <v>5542.35</v>
      </c>
      <c r="AG1224" s="3"/>
      <c r="AH1224" s="8"/>
      <c r="AI1224" s="4">
        <f>(AE1224+AF1224)-AH1224</f>
        <v>5542.35</v>
      </c>
      <c r="AJ1224" s="4">
        <f>AI1224+BP1223</f>
        <v>-496755.4655</v>
      </c>
      <c r="AK1224" s="8"/>
      <c r="AL1224" s="8"/>
      <c r="AM1224" s="47"/>
      <c r="AN1224" s="47"/>
      <c r="AO1224" s="8"/>
      <c r="AP1224" s="8"/>
      <c r="AQ1224" s="47"/>
      <c r="AR1224" s="47"/>
      <c r="AS1224" s="8"/>
      <c r="AT1224" s="8"/>
      <c r="AU1224" s="47"/>
      <c r="AV1224" s="47"/>
      <c r="AW1224" s="8"/>
      <c r="AX1224" s="8"/>
      <c r="AY1224" s="47"/>
      <c r="AZ1224" s="47"/>
      <c r="BA1224" s="8"/>
      <c r="BB1224" s="8"/>
      <c r="BC1224" s="47"/>
      <c r="BD1224" s="47"/>
      <c r="BE1224" s="8"/>
      <c r="BF1224" s="8"/>
      <c r="BG1224" s="47"/>
      <c r="BH1224" s="47"/>
      <c r="BI1224" s="8"/>
      <c r="BJ1224" s="3"/>
      <c r="BK1224" s="47"/>
      <c r="BL1224" s="47"/>
      <c r="BM1224" s="46"/>
      <c r="BN1224" s="46"/>
      <c r="BO1224" s="24">
        <f>AL1224+AN1224+AP1224+AR1224+AT1224+AV1224+AX1224+AZ1224+BB1224+BD1224+BF1224+BH1224+BJ1224+BL1224+BN1224</f>
        <v>0</v>
      </c>
      <c r="BP1224" s="28">
        <f>AJ1224-BO1224</f>
        <v>-496755.4655</v>
      </c>
      <c r="BQ1224" s="2">
        <v>45895</v>
      </c>
    </row>
    <row r="1225" spans="1:73" hidden="true">
      <c r="D1225" s="9" t="s">
        <v>15</v>
      </c>
      <c r="E1225" s="2">
        <v>45896</v>
      </c>
      <c r="F1225" s="38"/>
      <c r="G1225" s="51"/>
      <c r="H1225" s="4">
        <f>F548*50%</f>
        <v>1854</v>
      </c>
      <c r="I1225" s="120"/>
      <c r="J1225" s="4">
        <f>(G1225+H1225)-I1225</f>
        <v>1854</v>
      </c>
      <c r="K1225" s="4">
        <f>J1225+O1224</f>
        <v>516146.515</v>
      </c>
      <c r="L1225" s="3"/>
      <c r="M1225" s="3"/>
      <c r="N1225" s="33">
        <f>I1225+M1225</f>
        <v>0</v>
      </c>
      <c r="O1225" s="28">
        <f>K1225-M1225</f>
        <v>516146.515</v>
      </c>
      <c r="P1225" s="9" t="s">
        <v>15</v>
      </c>
      <c r="Q1225" s="2">
        <v>45896</v>
      </c>
      <c r="R1225" s="38"/>
      <c r="S1225" s="52"/>
      <c r="T1225" s="4">
        <f>R548*45%</f>
        <v>3018.6</v>
      </c>
      <c r="U1225" s="5"/>
      <c r="V1225" s="4">
        <f>(S1225+T1225)-U1225</f>
        <v>3018.6</v>
      </c>
      <c r="W1225" s="4">
        <f>V1225+AA1224</f>
        <v>342373.885</v>
      </c>
      <c r="X1225" s="3"/>
      <c r="Y1225" s="3"/>
      <c r="Z1225" s="25">
        <f>U1225+Y1225</f>
        <v>0</v>
      </c>
      <c r="AA1225" s="76">
        <f>W1225-Y1225</f>
        <v>342373.885</v>
      </c>
      <c r="AB1225" s="9" t="s">
        <v>15</v>
      </c>
      <c r="AC1225" s="19">
        <v>45896</v>
      </c>
      <c r="AD1225" s="41"/>
      <c r="AE1225" s="42"/>
      <c r="AF1225" s="4">
        <f>AD548-H1225-T1225</f>
        <v>5543.4</v>
      </c>
      <c r="AG1225" s="3"/>
      <c r="AH1225" s="8"/>
      <c r="AI1225" s="4">
        <f>(AE1225+AF1225)-AH1225</f>
        <v>5543.4</v>
      </c>
      <c r="AJ1225" s="4">
        <f>AI1225+BP1224</f>
        <v>-491212.0655</v>
      </c>
      <c r="AK1225" s="8"/>
      <c r="AL1225" s="8"/>
      <c r="AM1225" s="47"/>
      <c r="AN1225" s="47"/>
      <c r="AO1225" s="8"/>
      <c r="AP1225" s="8"/>
      <c r="AQ1225" s="47"/>
      <c r="AR1225" s="47"/>
      <c r="AS1225" s="8"/>
      <c r="AT1225" s="8"/>
      <c r="AU1225" s="47"/>
      <c r="AV1225" s="47"/>
      <c r="AW1225" s="8"/>
      <c r="AX1225" s="8"/>
      <c r="AY1225" s="47"/>
      <c r="AZ1225" s="47"/>
      <c r="BA1225" s="8"/>
      <c r="BB1225" s="8"/>
      <c r="BC1225" s="47"/>
      <c r="BD1225" s="47"/>
      <c r="BE1225" s="8"/>
      <c r="BF1225" s="8"/>
      <c r="BG1225" s="47"/>
      <c r="BH1225" s="47"/>
      <c r="BI1225" s="8"/>
      <c r="BJ1225" s="3"/>
      <c r="BK1225" s="47"/>
      <c r="BL1225" s="47"/>
      <c r="BM1225" s="46"/>
      <c r="BN1225" s="46"/>
      <c r="BO1225" s="24">
        <f>AL1225+AN1225+AP1225+AR1225+AT1225+AV1225+AX1225+AZ1225+BB1225+BD1225+BF1225+BH1225+BJ1225+BL1225+BN1225</f>
        <v>0</v>
      </c>
      <c r="BP1225" s="28">
        <f>AJ1225-BO1225</f>
        <v>-491212.0655</v>
      </c>
      <c r="BQ1225" s="2">
        <v>45896</v>
      </c>
    </row>
    <row r="1226" spans="1:73" hidden="true">
      <c r="D1226" s="9" t="s">
        <v>16</v>
      </c>
      <c r="E1226" s="2">
        <v>45897</v>
      </c>
      <c r="F1226" s="38"/>
      <c r="G1226" s="51"/>
      <c r="H1226" s="4">
        <f>F549*50%</f>
        <v>1854.5</v>
      </c>
      <c r="I1226" s="120"/>
      <c r="J1226" s="4">
        <f>(G1226+H1226)-I1226</f>
        <v>1854.5</v>
      </c>
      <c r="K1226" s="4">
        <f>J1226+O1225</f>
        <v>518001.015</v>
      </c>
      <c r="L1226" s="3"/>
      <c r="M1226" s="3"/>
      <c r="N1226" s="33">
        <f>I1226+M1226</f>
        <v>0</v>
      </c>
      <c r="O1226" s="28">
        <f>K1226-M1226</f>
        <v>518001.015</v>
      </c>
      <c r="P1226" s="9" t="s">
        <v>16</v>
      </c>
      <c r="Q1226" s="2">
        <v>45897</v>
      </c>
      <c r="R1226" s="38"/>
      <c r="S1226" s="52"/>
      <c r="T1226" s="4">
        <f>R549*45%</f>
        <v>3019.05</v>
      </c>
      <c r="U1226" s="5"/>
      <c r="V1226" s="4">
        <f>(S1226+T1226)-U1226</f>
        <v>3019.05</v>
      </c>
      <c r="W1226" s="4">
        <f>V1226+AA1225</f>
        <v>345392.935</v>
      </c>
      <c r="X1226" s="3"/>
      <c r="Y1226" s="3"/>
      <c r="Z1226" s="25">
        <f>U1226+Y1226</f>
        <v>0</v>
      </c>
      <c r="AA1226" s="76">
        <f>W1226-Y1226</f>
        <v>345392.935</v>
      </c>
      <c r="AB1226" s="9" t="s">
        <v>16</v>
      </c>
      <c r="AC1226" s="19">
        <v>45897</v>
      </c>
      <c r="AD1226" s="41"/>
      <c r="AE1226" s="42"/>
      <c r="AF1226" s="4">
        <f>AD549-H1226-T1226</f>
        <v>5544.45</v>
      </c>
      <c r="AG1226" s="3"/>
      <c r="AH1226" s="8"/>
      <c r="AI1226" s="4">
        <f>(AE1226+AF1226)-AH1226</f>
        <v>5544.45</v>
      </c>
      <c r="AJ1226" s="4">
        <f>AI1226+BP1225</f>
        <v>-485667.6155</v>
      </c>
      <c r="AK1226" s="8"/>
      <c r="AL1226" s="8"/>
      <c r="AM1226" s="47"/>
      <c r="AN1226" s="47"/>
      <c r="AO1226" s="8"/>
      <c r="AP1226" s="8"/>
      <c r="AQ1226" s="47"/>
      <c r="AR1226" s="47"/>
      <c r="AS1226" s="8"/>
      <c r="AT1226" s="8"/>
      <c r="AU1226" s="47"/>
      <c r="AV1226" s="47"/>
      <c r="AW1226" s="8"/>
      <c r="AX1226" s="8"/>
      <c r="AY1226" s="47"/>
      <c r="AZ1226" s="47"/>
      <c r="BA1226" s="8"/>
      <c r="BB1226" s="8"/>
      <c r="BC1226" s="47"/>
      <c r="BD1226" s="47"/>
      <c r="BE1226" s="8"/>
      <c r="BF1226" s="8"/>
      <c r="BG1226" s="47"/>
      <c r="BH1226" s="47"/>
      <c r="BI1226" s="8"/>
      <c r="BJ1226" s="3"/>
      <c r="BK1226" s="47"/>
      <c r="BL1226" s="47"/>
      <c r="BM1226" s="46"/>
      <c r="BN1226" s="46"/>
      <c r="BO1226" s="24">
        <f>AL1226+AN1226+AP1226+AR1226+AT1226+AV1226+AX1226+AZ1226+BB1226+BD1226+BF1226+BH1226+BJ1226+BL1226+BN1226</f>
        <v>0</v>
      </c>
      <c r="BP1226" s="28">
        <f>AJ1226-BO1226</f>
        <v>-485667.6155</v>
      </c>
      <c r="BQ1226" s="2">
        <v>45897</v>
      </c>
    </row>
    <row r="1227" spans="1:73" hidden="true">
      <c r="D1227" s="9" t="s">
        <v>10</v>
      </c>
      <c r="E1227" s="2">
        <v>45898</v>
      </c>
      <c r="F1227" s="38"/>
      <c r="G1227" s="51"/>
      <c r="H1227" s="4">
        <f>F550*50%</f>
        <v>1855</v>
      </c>
      <c r="I1227" s="120"/>
      <c r="J1227" s="4">
        <f>(G1227+H1227)-I1227</f>
        <v>1855</v>
      </c>
      <c r="K1227" s="4">
        <f>J1227+O1226</f>
        <v>519856.015</v>
      </c>
      <c r="L1227" s="3"/>
      <c r="M1227" s="3"/>
      <c r="N1227" s="33">
        <f>I1227+M1227</f>
        <v>0</v>
      </c>
      <c r="O1227" s="28">
        <f>K1227-M1227</f>
        <v>519856.015</v>
      </c>
      <c r="P1227" s="9" t="s">
        <v>10</v>
      </c>
      <c r="Q1227" s="2">
        <v>45898</v>
      </c>
      <c r="R1227" s="38"/>
      <c r="S1227" s="52"/>
      <c r="T1227" s="4">
        <f>R550*45%</f>
        <v>3019.5</v>
      </c>
      <c r="U1227" s="5"/>
      <c r="V1227" s="4">
        <f>(S1227+T1227)-U1227</f>
        <v>3019.5</v>
      </c>
      <c r="W1227" s="4">
        <f>V1227+AA1226</f>
        <v>348412.435</v>
      </c>
      <c r="X1227" s="3"/>
      <c r="Y1227" s="3"/>
      <c r="Z1227" s="25">
        <f>U1227+Y1227</f>
        <v>0</v>
      </c>
      <c r="AA1227" s="76">
        <f>W1227-Y1227</f>
        <v>348412.435</v>
      </c>
      <c r="AB1227" s="9" t="s">
        <v>10</v>
      </c>
      <c r="AC1227" s="19">
        <v>45898</v>
      </c>
      <c r="AD1227" s="41"/>
      <c r="AE1227" s="42"/>
      <c r="AF1227" s="4">
        <f>AD550-H1227-T1227</f>
        <v>5545.5</v>
      </c>
      <c r="AG1227" s="3"/>
      <c r="AH1227" s="8"/>
      <c r="AI1227" s="4">
        <f>(AE1227+AF1227)-AH1227</f>
        <v>5545.5</v>
      </c>
      <c r="AJ1227" s="4">
        <f>AI1227+BP1226</f>
        <v>-480122.1155</v>
      </c>
      <c r="AK1227" s="8"/>
      <c r="AL1227" s="8"/>
      <c r="AM1227" s="47"/>
      <c r="AN1227" s="47"/>
      <c r="AO1227" s="8"/>
      <c r="AP1227" s="8"/>
      <c r="AQ1227" s="47"/>
      <c r="AR1227" s="47"/>
      <c r="AS1227" s="8"/>
      <c r="AT1227" s="8"/>
      <c r="AU1227" s="47"/>
      <c r="AV1227" s="47"/>
      <c r="AW1227" s="8"/>
      <c r="AX1227" s="8"/>
      <c r="AY1227" s="47"/>
      <c r="AZ1227" s="47"/>
      <c r="BA1227" s="8"/>
      <c r="BB1227" s="8"/>
      <c r="BC1227" s="47"/>
      <c r="BD1227" s="47"/>
      <c r="BE1227" s="8"/>
      <c r="BF1227" s="8"/>
      <c r="BG1227" s="47"/>
      <c r="BH1227" s="47"/>
      <c r="BI1227" s="8"/>
      <c r="BJ1227" s="3"/>
      <c r="BK1227" s="47"/>
      <c r="BL1227" s="47"/>
      <c r="BM1227" s="46"/>
      <c r="BN1227" s="46"/>
      <c r="BO1227" s="24">
        <f>AL1227+AN1227+AP1227+AR1227+AT1227+AV1227+AX1227+AZ1227+BB1227+BD1227+BF1227+BH1227+BJ1227+BL1227+BN1227</f>
        <v>0</v>
      </c>
      <c r="BP1227" s="28">
        <f>AJ1227-BO1227</f>
        <v>-480122.1155</v>
      </c>
      <c r="BQ1227" s="2">
        <v>45898</v>
      </c>
    </row>
    <row r="1228" spans="1:73" hidden="true">
      <c r="D1228" s="9" t="s">
        <v>11</v>
      </c>
      <c r="E1228" s="2">
        <v>45899</v>
      </c>
      <c r="F1228" s="38"/>
      <c r="G1228" s="51"/>
      <c r="H1228" s="4">
        <f>F551*50%</f>
        <v>1855.5</v>
      </c>
      <c r="I1228" s="120"/>
      <c r="J1228" s="4">
        <f>(G1228+H1228)-I1228</f>
        <v>1855.5</v>
      </c>
      <c r="K1228" s="4">
        <f>J1228+O1227</f>
        <v>521711.515</v>
      </c>
      <c r="L1228" s="3"/>
      <c r="M1228" s="3"/>
      <c r="N1228" s="33">
        <f>I1228+M1228</f>
        <v>0</v>
      </c>
      <c r="O1228" s="28">
        <f>K1228-M1228</f>
        <v>521711.515</v>
      </c>
      <c r="P1228" s="9" t="s">
        <v>11</v>
      </c>
      <c r="Q1228" s="2">
        <v>45899</v>
      </c>
      <c r="R1228" s="38"/>
      <c r="S1228" s="52"/>
      <c r="T1228" s="4">
        <f>R551*45%</f>
        <v>3019.95</v>
      </c>
      <c r="U1228" s="5"/>
      <c r="V1228" s="4">
        <f>(S1228+T1228)-U1228</f>
        <v>3019.95</v>
      </c>
      <c r="W1228" s="4">
        <f>V1228+AA1227</f>
        <v>351432.385</v>
      </c>
      <c r="X1228" s="3"/>
      <c r="Y1228" s="3"/>
      <c r="Z1228" s="25">
        <f>U1228+Y1228</f>
        <v>0</v>
      </c>
      <c r="AA1228" s="76">
        <f>W1228-Y1228</f>
        <v>351432.385</v>
      </c>
      <c r="AB1228" s="9" t="s">
        <v>11</v>
      </c>
      <c r="AC1228" s="19">
        <v>45899</v>
      </c>
      <c r="AD1228" s="41"/>
      <c r="AE1228" s="42"/>
      <c r="AF1228" s="4">
        <f>AD551-H1228-T1228</f>
        <v>5546.55</v>
      </c>
      <c r="AG1228" s="3"/>
      <c r="AH1228" s="8"/>
      <c r="AI1228" s="4">
        <f>(AE1228+AF1228)-AH1228</f>
        <v>5546.55</v>
      </c>
      <c r="AJ1228" s="4">
        <f>AI1228+BP1227</f>
        <v>-474575.5655</v>
      </c>
      <c r="AK1228" s="8"/>
      <c r="AL1228" s="8"/>
      <c r="AM1228" s="47"/>
      <c r="AN1228" s="47"/>
      <c r="AO1228" s="8"/>
      <c r="AP1228" s="8"/>
      <c r="AQ1228" s="47"/>
      <c r="AR1228" s="47"/>
      <c r="AS1228" s="8"/>
      <c r="AT1228" s="8"/>
      <c r="AU1228" s="47"/>
      <c r="AV1228" s="47"/>
      <c r="AW1228" s="8"/>
      <c r="AX1228" s="8"/>
      <c r="AY1228" s="47"/>
      <c r="AZ1228" s="47"/>
      <c r="BA1228" s="8"/>
      <c r="BB1228" s="8"/>
      <c r="BC1228" s="47"/>
      <c r="BD1228" s="47"/>
      <c r="BE1228" s="8"/>
      <c r="BF1228" s="8"/>
      <c r="BG1228" s="47"/>
      <c r="BH1228" s="47"/>
      <c r="BI1228" s="8"/>
      <c r="BJ1228" s="3"/>
      <c r="BK1228" s="47"/>
      <c r="BL1228" s="47"/>
      <c r="BM1228" s="46"/>
      <c r="BN1228" s="46"/>
      <c r="BO1228" s="24">
        <f>AL1228+AN1228+AP1228+AR1228+AT1228+AV1228+AX1228+AZ1228+BB1228+BD1228+BF1228+BH1228+BJ1228+BL1228+BN1228</f>
        <v>0</v>
      </c>
      <c r="BP1228" s="28">
        <f>AJ1228-BO1228</f>
        <v>-474575.5655</v>
      </c>
      <c r="BQ1228" s="2">
        <v>45899</v>
      </c>
    </row>
    <row r="1229" spans="1:73" hidden="true">
      <c r="D1229" s="9" t="s">
        <v>12</v>
      </c>
      <c r="E1229" s="2">
        <v>45900</v>
      </c>
      <c r="F1229" s="38"/>
      <c r="G1229" s="51"/>
      <c r="H1229" s="4">
        <f>F552*50%</f>
        <v>1856</v>
      </c>
      <c r="I1229" s="120"/>
      <c r="J1229" s="4">
        <f>(G1229+H1229)-I1229</f>
        <v>1856</v>
      </c>
      <c r="K1229" s="4">
        <f>J1229+O1228</f>
        <v>523567.515</v>
      </c>
      <c r="L1229" s="3"/>
      <c r="M1229" s="3"/>
      <c r="N1229" s="33">
        <f>I1229+M1229</f>
        <v>0</v>
      </c>
      <c r="O1229" s="28">
        <f>K1229-M1229</f>
        <v>523567.515</v>
      </c>
      <c r="P1229" s="9" t="s">
        <v>12</v>
      </c>
      <c r="Q1229" s="2">
        <v>45900</v>
      </c>
      <c r="R1229" s="38"/>
      <c r="S1229" s="52"/>
      <c r="T1229" s="4">
        <f>R552*45%</f>
        <v>3020.4</v>
      </c>
      <c r="U1229" s="5"/>
      <c r="V1229" s="4">
        <f>(S1229+T1229)-U1229</f>
        <v>3020.4</v>
      </c>
      <c r="W1229" s="4">
        <f>V1229+AA1228</f>
        <v>354452.785</v>
      </c>
      <c r="X1229" s="3"/>
      <c r="Y1229" s="3"/>
      <c r="Z1229" s="25">
        <f>U1229+Y1229</f>
        <v>0</v>
      </c>
      <c r="AA1229" s="76">
        <f>W1229-Y1229</f>
        <v>354452.785</v>
      </c>
      <c r="AB1229" s="9" t="s">
        <v>12</v>
      </c>
      <c r="AC1229" s="19">
        <v>45900</v>
      </c>
      <c r="AD1229" s="41"/>
      <c r="AE1229" s="42"/>
      <c r="AF1229" s="4">
        <f>AD552-H1229-T1229</f>
        <v>5547.6</v>
      </c>
      <c r="AG1229" s="3"/>
      <c r="AH1229" s="8"/>
      <c r="AI1229" s="4">
        <f>(AE1229+AF1229)-AH1229</f>
        <v>5547.6</v>
      </c>
      <c r="AJ1229" s="4">
        <f>AI1229+BP1228</f>
        <v>-469027.9655</v>
      </c>
      <c r="AK1229" s="8"/>
      <c r="AL1229" s="8"/>
      <c r="AM1229" s="47"/>
      <c r="AN1229" s="47"/>
      <c r="AO1229" s="8"/>
      <c r="AP1229" s="8"/>
      <c r="AQ1229" s="47"/>
      <c r="AR1229" s="47"/>
      <c r="AS1229" s="8"/>
      <c r="AT1229" s="8"/>
      <c r="AU1229" s="47"/>
      <c r="AV1229" s="47"/>
      <c r="AW1229" s="8"/>
      <c r="AX1229" s="8"/>
      <c r="AY1229" s="47"/>
      <c r="AZ1229" s="47"/>
      <c r="BA1229" s="8"/>
      <c r="BB1229" s="8"/>
      <c r="BC1229" s="47"/>
      <c r="BD1229" s="47"/>
      <c r="BE1229" s="8"/>
      <c r="BF1229" s="8"/>
      <c r="BG1229" s="47"/>
      <c r="BH1229" s="47"/>
      <c r="BI1229" s="8"/>
      <c r="BJ1229" s="3"/>
      <c r="BK1229" s="47"/>
      <c r="BL1229" s="47"/>
      <c r="BM1229" s="46"/>
      <c r="BN1229" s="46"/>
      <c r="BO1229" s="24">
        <f>AL1229+AN1229+AP1229+AR1229+AT1229+AV1229+AX1229+AZ1229+BB1229+BD1229+BF1229+BH1229+BJ1229+BL1229+BN1229</f>
        <v>0</v>
      </c>
      <c r="BP1229" s="28">
        <f>AJ1229-BO1229</f>
        <v>-469027.9655</v>
      </c>
      <c r="BQ1229" s="2">
        <v>45900</v>
      </c>
    </row>
    <row r="1230" spans="1:73">
      <c r="D1230" s="9" t="s">
        <v>13</v>
      </c>
      <c r="E1230" s="2">
        <v>45901</v>
      </c>
      <c r="F1230" s="38"/>
      <c r="G1230" s="51"/>
      <c r="H1230" s="4">
        <f>F553*50%</f>
        <v>1856.5</v>
      </c>
      <c r="I1230" s="120"/>
      <c r="J1230" s="4">
        <f>(G1230+H1230)-I1230</f>
        <v>1856.5</v>
      </c>
      <c r="K1230" s="4">
        <f>J1230+O1229</f>
        <v>525424.015</v>
      </c>
      <c r="L1230" s="3"/>
      <c r="M1230" s="3"/>
      <c r="N1230" s="33">
        <f>I1230+M1230</f>
        <v>0</v>
      </c>
      <c r="O1230" s="28">
        <f>K1230-M1230</f>
        <v>525424.015</v>
      </c>
      <c r="P1230" s="9" t="s">
        <v>13</v>
      </c>
      <c r="Q1230" s="2">
        <v>45901</v>
      </c>
      <c r="R1230" s="38"/>
      <c r="S1230" s="52"/>
      <c r="T1230" s="4">
        <f>R553*45%</f>
        <v>3020.85</v>
      </c>
      <c r="U1230" s="5"/>
      <c r="V1230" s="4">
        <f>(S1230+T1230)-U1230</f>
        <v>3020.85</v>
      </c>
      <c r="W1230" s="4">
        <f>V1230+AA1229</f>
        <v>357473.635</v>
      </c>
      <c r="X1230" s="3"/>
      <c r="Y1230" s="3"/>
      <c r="Z1230" s="25">
        <f>U1230+Y1230</f>
        <v>0</v>
      </c>
      <c r="AA1230" s="76">
        <f>W1230-Y1230</f>
        <v>357473.635</v>
      </c>
      <c r="AB1230" s="9" t="s">
        <v>13</v>
      </c>
      <c r="AC1230" s="19">
        <v>45901</v>
      </c>
      <c r="AD1230" s="41"/>
      <c r="AE1230" s="42"/>
      <c r="AF1230" s="4">
        <f>AD553-H1230-T1230</f>
        <v>5548.65</v>
      </c>
      <c r="AG1230" s="3"/>
      <c r="AH1230" s="8"/>
      <c r="AI1230" s="4">
        <f>(AE1230+AF1230)-AH1230</f>
        <v>5548.65</v>
      </c>
      <c r="AJ1230" s="4">
        <f>AI1230+BP1229</f>
        <v>-463479.3155</v>
      </c>
      <c r="AK1230" s="8"/>
      <c r="AL1230" s="8"/>
      <c r="AM1230" s="47"/>
      <c r="AN1230" s="47"/>
      <c r="AO1230" s="8"/>
      <c r="AP1230" s="8"/>
      <c r="AQ1230" s="47"/>
      <c r="AR1230" s="47"/>
      <c r="AS1230" s="8"/>
      <c r="AT1230" s="8"/>
      <c r="AU1230" s="47"/>
      <c r="AV1230" s="47"/>
      <c r="AW1230" s="8"/>
      <c r="AX1230" s="8"/>
      <c r="AY1230" s="47"/>
      <c r="AZ1230" s="47"/>
      <c r="BA1230" s="8"/>
      <c r="BB1230" s="8"/>
      <c r="BC1230" s="47"/>
      <c r="BD1230" s="47"/>
      <c r="BE1230" s="8"/>
      <c r="BF1230" s="8"/>
      <c r="BG1230" s="47"/>
      <c r="BH1230" s="47"/>
      <c r="BI1230" s="8"/>
      <c r="BJ1230" s="3"/>
      <c r="BK1230" s="47"/>
      <c r="BL1230" s="47"/>
      <c r="BM1230" s="46"/>
      <c r="BN1230" s="46"/>
      <c r="BO1230" s="24">
        <f>AL1230+AN1230+AP1230+AR1230+AT1230+AV1230+AX1230+AZ1230+BB1230+BD1230+BF1230+BH1230+BJ1230+BL1230+BN1230</f>
        <v>0</v>
      </c>
      <c r="BP1230" s="28">
        <f>AJ1230-BO1230</f>
        <v>-463479.3155</v>
      </c>
      <c r="BQ1230" s="2">
        <v>45901</v>
      </c>
    </row>
    <row r="1231" spans="1:73">
      <c r="D1231" s="9" t="s">
        <v>14</v>
      </c>
      <c r="E1231" s="2">
        <v>45902</v>
      </c>
      <c r="F1231" s="38"/>
      <c r="G1231" s="51"/>
      <c r="H1231" s="4">
        <f>F554*50%</f>
        <v>1857</v>
      </c>
      <c r="I1231" s="120"/>
      <c r="J1231" s="4">
        <f>(G1231+H1231)-I1231</f>
        <v>1857</v>
      </c>
      <c r="K1231" s="4">
        <f>J1231+O1230</f>
        <v>527281.015</v>
      </c>
      <c r="L1231" s="3"/>
      <c r="M1231" s="3"/>
      <c r="N1231" s="33">
        <f>I1231+M1231</f>
        <v>0</v>
      </c>
      <c r="O1231" s="28">
        <f>K1231-M1231</f>
        <v>527281.015</v>
      </c>
      <c r="P1231" s="9" t="s">
        <v>14</v>
      </c>
      <c r="Q1231" s="2">
        <v>45902</v>
      </c>
      <c r="R1231" s="38"/>
      <c r="S1231" s="52"/>
      <c r="T1231" s="4">
        <f>R554*45%</f>
        <v>3021.3</v>
      </c>
      <c r="U1231" s="5"/>
      <c r="V1231" s="4">
        <f>(S1231+T1231)-U1231</f>
        <v>3021.3</v>
      </c>
      <c r="W1231" s="4">
        <f>V1231+AA1230</f>
        <v>360494.935</v>
      </c>
      <c r="X1231" s="3"/>
      <c r="Y1231" s="3"/>
      <c r="Z1231" s="25">
        <f>U1231+Y1231</f>
        <v>0</v>
      </c>
      <c r="AA1231" s="76">
        <f>W1231-Y1231</f>
        <v>360494.935</v>
      </c>
      <c r="AB1231" s="9" t="s">
        <v>14</v>
      </c>
      <c r="AC1231" s="19">
        <v>45902</v>
      </c>
      <c r="AD1231" s="41"/>
      <c r="AE1231" s="42"/>
      <c r="AF1231" s="4">
        <f>AD554-H1231-T1231</f>
        <v>5549.7</v>
      </c>
      <c r="AG1231" s="3"/>
      <c r="AH1231" s="8"/>
      <c r="AI1231" s="4">
        <f>(AE1231+AF1231)-AH1231</f>
        <v>5549.7</v>
      </c>
      <c r="AJ1231" s="4">
        <f>AI1231+BP1230</f>
        <v>-457929.6155</v>
      </c>
      <c r="AK1231" s="8"/>
      <c r="AL1231" s="8"/>
      <c r="AM1231" s="47"/>
      <c r="AN1231" s="47"/>
      <c r="AO1231" s="8"/>
      <c r="AP1231" s="8"/>
      <c r="AQ1231" s="47"/>
      <c r="AR1231" s="47"/>
      <c r="AS1231" s="8"/>
      <c r="AT1231" s="8"/>
      <c r="AU1231" s="47"/>
      <c r="AV1231" s="47"/>
      <c r="AW1231" s="8"/>
      <c r="AX1231" s="8"/>
      <c r="AY1231" s="47"/>
      <c r="AZ1231" s="47"/>
      <c r="BA1231" s="8"/>
      <c r="BB1231" s="8"/>
      <c r="BC1231" s="47"/>
      <c r="BD1231" s="47"/>
      <c r="BE1231" s="8"/>
      <c r="BF1231" s="8"/>
      <c r="BG1231" s="47"/>
      <c r="BH1231" s="47"/>
      <c r="BI1231" s="8"/>
      <c r="BJ1231" s="3"/>
      <c r="BK1231" s="47"/>
      <c r="BL1231" s="47"/>
      <c r="BM1231" s="46"/>
      <c r="BN1231" s="46"/>
      <c r="BO1231" s="24">
        <f>AL1231+AN1231+AP1231+AR1231+AT1231+AV1231+AX1231+AZ1231+BB1231+BD1231+BF1231+BH1231+BJ1231+BL1231+BN1231</f>
        <v>0</v>
      </c>
      <c r="BP1231" s="28">
        <f>AJ1231-BO1231</f>
        <v>-457929.6155</v>
      </c>
      <c r="BQ1231" s="2">
        <v>45902</v>
      </c>
    </row>
    <row r="1232" spans="1:73">
      <c r="D1232" s="9" t="s">
        <v>15</v>
      </c>
      <c r="E1232" s="2">
        <v>45903</v>
      </c>
      <c r="F1232" s="38"/>
      <c r="G1232" s="51"/>
      <c r="H1232" s="4">
        <f>F555*50%</f>
        <v>1857.5</v>
      </c>
      <c r="I1232" s="120"/>
      <c r="J1232" s="4">
        <f>(G1232+H1232)-I1232</f>
        <v>1857.5</v>
      </c>
      <c r="K1232" s="4">
        <f>J1232+O1231</f>
        <v>529138.515</v>
      </c>
      <c r="L1232" s="3"/>
      <c r="M1232" s="3"/>
      <c r="N1232" s="33">
        <f>I1232+M1232</f>
        <v>0</v>
      </c>
      <c r="O1232" s="28">
        <f>K1232-M1232</f>
        <v>529138.515</v>
      </c>
      <c r="P1232" s="9" t="s">
        <v>15</v>
      </c>
      <c r="Q1232" s="2">
        <v>45903</v>
      </c>
      <c r="R1232" s="38"/>
      <c r="S1232" s="52"/>
      <c r="T1232" s="4">
        <f>R555*45%</f>
        <v>3021.75</v>
      </c>
      <c r="U1232" s="5"/>
      <c r="V1232" s="4">
        <f>(S1232+T1232)-U1232</f>
        <v>3021.75</v>
      </c>
      <c r="W1232" s="4">
        <f>V1232+AA1231</f>
        <v>363516.685</v>
      </c>
      <c r="X1232" s="3"/>
      <c r="Y1232" s="3"/>
      <c r="Z1232" s="25">
        <f>U1232+Y1232</f>
        <v>0</v>
      </c>
      <c r="AA1232" s="76">
        <f>W1232-Y1232</f>
        <v>363516.685</v>
      </c>
      <c r="AB1232" s="9" t="s">
        <v>15</v>
      </c>
      <c r="AC1232" s="19">
        <v>45903</v>
      </c>
      <c r="AD1232" s="41"/>
      <c r="AE1232" s="42"/>
      <c r="AF1232" s="4">
        <f>AD555-H1232-T1232</f>
        <v>5550.75</v>
      </c>
      <c r="AG1232" s="3"/>
      <c r="AH1232" s="8"/>
      <c r="AI1232" s="4">
        <f>(AE1232+AF1232)-AH1232</f>
        <v>5550.75</v>
      </c>
      <c r="AJ1232" s="4">
        <f>AI1232+BP1231</f>
        <v>-452378.8655</v>
      </c>
      <c r="AK1232" s="8"/>
      <c r="AL1232" s="8"/>
      <c r="AM1232" s="47"/>
      <c r="AN1232" s="47"/>
      <c r="AO1232" s="8"/>
      <c r="AP1232" s="8"/>
      <c r="AQ1232" s="47"/>
      <c r="AR1232" s="47"/>
      <c r="AS1232" s="8"/>
      <c r="AT1232" s="8"/>
      <c r="AU1232" s="47"/>
      <c r="AV1232" s="47"/>
      <c r="AW1232" s="8"/>
      <c r="AX1232" s="8"/>
      <c r="AY1232" s="47"/>
      <c r="AZ1232" s="47"/>
      <c r="BA1232" s="8"/>
      <c r="BB1232" s="8"/>
      <c r="BC1232" s="47"/>
      <c r="BD1232" s="47"/>
      <c r="BE1232" s="8"/>
      <c r="BF1232" s="8"/>
      <c r="BG1232" s="47"/>
      <c r="BH1232" s="47"/>
      <c r="BI1232" s="8"/>
      <c r="BJ1232" s="3"/>
      <c r="BK1232" s="47"/>
      <c r="BL1232" s="47"/>
      <c r="BM1232" s="46"/>
      <c r="BN1232" s="46"/>
      <c r="BO1232" s="24">
        <f>AL1232+AN1232+AP1232+AR1232+AT1232+AV1232+AX1232+AZ1232+BB1232+BD1232+BF1232+BH1232+BJ1232+BL1232+BN1232</f>
        <v>0</v>
      </c>
      <c r="BP1232" s="28">
        <f>AJ1232-BO1232</f>
        <v>-452378.8655</v>
      </c>
      <c r="BQ1232" s="2">
        <v>45903</v>
      </c>
    </row>
    <row r="1233" spans="1:73">
      <c r="D1233" s="9" t="s">
        <v>16</v>
      </c>
      <c r="E1233" s="2">
        <v>45904</v>
      </c>
      <c r="F1233" s="38"/>
      <c r="G1233" s="51"/>
      <c r="H1233" s="4">
        <f>F556*50%</f>
        <v>1858</v>
      </c>
      <c r="I1233" s="120"/>
      <c r="J1233" s="4">
        <f>(G1233+H1233)-I1233</f>
        <v>1858</v>
      </c>
      <c r="K1233" s="4">
        <f>J1233+O1232</f>
        <v>530996.515</v>
      </c>
      <c r="L1233" s="3"/>
      <c r="M1233" s="3"/>
      <c r="N1233" s="33">
        <f>I1233+M1233</f>
        <v>0</v>
      </c>
      <c r="O1233" s="28">
        <f>K1233-M1233</f>
        <v>530996.515</v>
      </c>
      <c r="P1233" s="9" t="s">
        <v>16</v>
      </c>
      <c r="Q1233" s="2">
        <v>45904</v>
      </c>
      <c r="R1233" s="38"/>
      <c r="S1233" s="52"/>
      <c r="T1233" s="4">
        <f>R556*45%</f>
        <v>3022.2</v>
      </c>
      <c r="U1233" s="5"/>
      <c r="V1233" s="4">
        <f>(S1233+T1233)-U1233</f>
        <v>3022.2</v>
      </c>
      <c r="W1233" s="4">
        <f>V1233+AA1232</f>
        <v>366538.885</v>
      </c>
      <c r="X1233" s="3"/>
      <c r="Y1233" s="3"/>
      <c r="Z1233" s="25">
        <f>U1233+Y1233</f>
        <v>0</v>
      </c>
      <c r="AA1233" s="76">
        <f>W1233-Y1233</f>
        <v>366538.885</v>
      </c>
      <c r="AB1233" s="9" t="s">
        <v>16</v>
      </c>
      <c r="AC1233" s="19">
        <v>45904</v>
      </c>
      <c r="AD1233" s="41"/>
      <c r="AE1233" s="42"/>
      <c r="AF1233" s="4">
        <f>AD556-H1233-T1233</f>
        <v>5551.8</v>
      </c>
      <c r="AG1233" s="3"/>
      <c r="AH1233" s="8"/>
      <c r="AI1233" s="4">
        <f>(AE1233+AF1233)-AH1233</f>
        <v>5551.8</v>
      </c>
      <c r="AJ1233" s="4">
        <f>AI1233+BP1232</f>
        <v>-446827.0655</v>
      </c>
      <c r="AK1233" s="8"/>
      <c r="AL1233" s="8"/>
      <c r="AM1233" s="47"/>
      <c r="AN1233" s="47"/>
      <c r="AO1233" s="8"/>
      <c r="AP1233" s="8"/>
      <c r="AQ1233" s="47"/>
      <c r="AR1233" s="47"/>
      <c r="AS1233" s="8"/>
      <c r="AT1233" s="8"/>
      <c r="AU1233" s="47"/>
      <c r="AV1233" s="47"/>
      <c r="AW1233" s="8"/>
      <c r="AX1233" s="8"/>
      <c r="AY1233" s="47"/>
      <c r="AZ1233" s="47"/>
      <c r="BA1233" s="8"/>
      <c r="BB1233" s="8"/>
      <c r="BC1233" s="47"/>
      <c r="BD1233" s="47"/>
      <c r="BE1233" s="8"/>
      <c r="BF1233" s="8"/>
      <c r="BG1233" s="47"/>
      <c r="BH1233" s="47"/>
      <c r="BI1233" s="8"/>
      <c r="BJ1233" s="3"/>
      <c r="BK1233" s="47"/>
      <c r="BL1233" s="47"/>
      <c r="BM1233" s="46"/>
      <c r="BN1233" s="46"/>
      <c r="BO1233" s="24">
        <f>AL1233+AN1233+AP1233+AR1233+AT1233+AV1233+AX1233+AZ1233+BB1233+BD1233+BF1233+BH1233+BJ1233+BL1233+BN1233</f>
        <v>0</v>
      </c>
      <c r="BP1233" s="28">
        <f>AJ1233-BO1233</f>
        <v>-446827.0655</v>
      </c>
      <c r="BQ1233" s="2">
        <v>45904</v>
      </c>
    </row>
    <row r="1234" spans="1:73">
      <c r="D1234" s="9" t="s">
        <v>10</v>
      </c>
      <c r="E1234" s="2">
        <v>45905</v>
      </c>
      <c r="F1234" s="38"/>
      <c r="G1234" s="51"/>
      <c r="H1234" s="4">
        <f>F557*50%</f>
        <v>1858.5</v>
      </c>
      <c r="I1234" s="120"/>
      <c r="J1234" s="4">
        <f>(G1234+H1234)-I1234</f>
        <v>1858.5</v>
      </c>
      <c r="K1234" s="4">
        <f>J1234+O1233</f>
        <v>532855.015</v>
      </c>
      <c r="L1234" s="3"/>
      <c r="M1234" s="3"/>
      <c r="N1234" s="33">
        <f>I1234+M1234</f>
        <v>0</v>
      </c>
      <c r="O1234" s="28">
        <f>K1234-M1234</f>
        <v>532855.015</v>
      </c>
      <c r="P1234" s="9" t="s">
        <v>10</v>
      </c>
      <c r="Q1234" s="2">
        <v>45905</v>
      </c>
      <c r="R1234" s="38"/>
      <c r="S1234" s="52"/>
      <c r="T1234" s="4">
        <f>R557*45%</f>
        <v>3022.65</v>
      </c>
      <c r="U1234" s="5"/>
      <c r="V1234" s="4">
        <f>(S1234+T1234)-U1234</f>
        <v>3022.65</v>
      </c>
      <c r="W1234" s="4">
        <f>V1234+AA1233</f>
        <v>369561.535</v>
      </c>
      <c r="X1234" s="3"/>
      <c r="Y1234" s="3"/>
      <c r="Z1234" s="25">
        <f>U1234+Y1234</f>
        <v>0</v>
      </c>
      <c r="AA1234" s="76">
        <f>W1234-Y1234</f>
        <v>369561.535</v>
      </c>
      <c r="AB1234" s="9" t="s">
        <v>10</v>
      </c>
      <c r="AC1234" s="19">
        <v>45905</v>
      </c>
      <c r="AD1234" s="41"/>
      <c r="AE1234" s="42"/>
      <c r="AF1234" s="4">
        <f>AD557-H1234-T1234</f>
        <v>5552.85</v>
      </c>
      <c r="AG1234" s="3"/>
      <c r="AH1234" s="8"/>
      <c r="AI1234" s="4">
        <f>(AE1234+AF1234)-AH1234</f>
        <v>5552.85</v>
      </c>
      <c r="AJ1234" s="4">
        <f>AI1234+BP1233</f>
        <v>-441274.2155</v>
      </c>
      <c r="AK1234" s="8"/>
      <c r="AL1234" s="8"/>
      <c r="AM1234" s="47"/>
      <c r="AN1234" s="47"/>
      <c r="AO1234" s="8"/>
      <c r="AP1234" s="8"/>
      <c r="AQ1234" s="47"/>
      <c r="AR1234" s="47"/>
      <c r="AS1234" s="8"/>
      <c r="AT1234" s="8"/>
      <c r="AU1234" s="47"/>
      <c r="AV1234" s="47"/>
      <c r="AW1234" s="8"/>
      <c r="AX1234" s="8"/>
      <c r="AY1234" s="47"/>
      <c r="AZ1234" s="47"/>
      <c r="BA1234" s="8"/>
      <c r="BB1234" s="8"/>
      <c r="BC1234" s="47"/>
      <c r="BD1234" s="47"/>
      <c r="BE1234" s="8"/>
      <c r="BF1234" s="8"/>
      <c r="BG1234" s="47"/>
      <c r="BH1234" s="47"/>
      <c r="BI1234" s="8"/>
      <c r="BJ1234" s="3"/>
      <c r="BK1234" s="47"/>
      <c r="BL1234" s="47"/>
      <c r="BM1234" s="46"/>
      <c r="BN1234" s="46"/>
      <c r="BO1234" s="24">
        <f>AL1234+AN1234+AP1234+AR1234+AT1234+AV1234+AX1234+AZ1234+BB1234+BD1234+BF1234+BH1234+BJ1234+BL1234+BN1234</f>
        <v>0</v>
      </c>
      <c r="BP1234" s="28">
        <f>AJ1234-BO1234</f>
        <v>-441274.2155</v>
      </c>
      <c r="BQ1234" s="2">
        <v>45905</v>
      </c>
    </row>
    <row r="1235" spans="1:73">
      <c r="D1235" s="9" t="s">
        <v>11</v>
      </c>
      <c r="E1235" s="2">
        <v>45906</v>
      </c>
      <c r="F1235" s="38"/>
      <c r="G1235" s="51"/>
      <c r="H1235" s="4">
        <f>F558*50%</f>
        <v>1859</v>
      </c>
      <c r="I1235" s="120"/>
      <c r="J1235" s="4">
        <f>(G1235+H1235)-I1235</f>
        <v>1859</v>
      </c>
      <c r="K1235" s="4">
        <f>J1235+O1234</f>
        <v>534714.015</v>
      </c>
      <c r="L1235" s="3"/>
      <c r="M1235" s="3"/>
      <c r="N1235" s="33">
        <f>I1235+M1235</f>
        <v>0</v>
      </c>
      <c r="O1235" s="28">
        <f>K1235-M1235</f>
        <v>534714.015</v>
      </c>
      <c r="P1235" s="9" t="s">
        <v>11</v>
      </c>
      <c r="Q1235" s="2">
        <v>45906</v>
      </c>
      <c r="R1235" s="38"/>
      <c r="S1235" s="52"/>
      <c r="T1235" s="4">
        <f>R558*45%</f>
        <v>3023.1</v>
      </c>
      <c r="U1235" s="5"/>
      <c r="V1235" s="4">
        <f>(S1235+T1235)-U1235</f>
        <v>3023.1</v>
      </c>
      <c r="W1235" s="4">
        <f>V1235+AA1234</f>
        <v>372584.635</v>
      </c>
      <c r="X1235" s="3"/>
      <c r="Y1235" s="3"/>
      <c r="Z1235" s="25">
        <f>U1235+Y1235</f>
        <v>0</v>
      </c>
      <c r="AA1235" s="76">
        <f>W1235-Y1235</f>
        <v>372584.635</v>
      </c>
      <c r="AB1235" s="9" t="s">
        <v>11</v>
      </c>
      <c r="AC1235" s="19">
        <v>45906</v>
      </c>
      <c r="AD1235" s="41"/>
      <c r="AE1235" s="42"/>
      <c r="AF1235" s="4">
        <f>AD558-H1235-T1235</f>
        <v>5553.9</v>
      </c>
      <c r="AG1235" s="3"/>
      <c r="AH1235" s="8"/>
      <c r="AI1235" s="4">
        <f>(AE1235+AF1235)-AH1235</f>
        <v>5553.9</v>
      </c>
      <c r="AJ1235" s="4">
        <f>AI1235+BP1234</f>
        <v>-435720.3155</v>
      </c>
      <c r="AK1235" s="8"/>
      <c r="AL1235" s="8"/>
      <c r="AM1235" s="47"/>
      <c r="AN1235" s="47"/>
      <c r="AO1235" s="8"/>
      <c r="AP1235" s="8"/>
      <c r="AQ1235" s="47"/>
      <c r="AR1235" s="47"/>
      <c r="AS1235" s="8"/>
      <c r="AT1235" s="8"/>
      <c r="AU1235" s="47"/>
      <c r="AV1235" s="47"/>
      <c r="AW1235" s="8"/>
      <c r="AX1235" s="8"/>
      <c r="AY1235" s="47"/>
      <c r="AZ1235" s="47"/>
      <c r="BA1235" s="8"/>
      <c r="BB1235" s="8"/>
      <c r="BC1235" s="47"/>
      <c r="BD1235" s="47"/>
      <c r="BE1235" s="8"/>
      <c r="BF1235" s="8"/>
      <c r="BG1235" s="47"/>
      <c r="BH1235" s="47"/>
      <c r="BI1235" s="8"/>
      <c r="BJ1235" s="3"/>
      <c r="BK1235" s="47"/>
      <c r="BL1235" s="47"/>
      <c r="BM1235" s="46"/>
      <c r="BN1235" s="46"/>
      <c r="BO1235" s="24">
        <f>AL1235+AN1235+AP1235+AR1235+AT1235+AV1235+AX1235+AZ1235+BB1235+BD1235+BF1235+BH1235+BJ1235+BL1235+BN1235</f>
        <v>0</v>
      </c>
      <c r="BP1235" s="28">
        <f>AJ1235-BO1235</f>
        <v>-435720.3155</v>
      </c>
      <c r="BQ1235" s="2">
        <v>45906</v>
      </c>
    </row>
    <row r="1236" spans="1:73">
      <c r="D1236" s="9" t="s">
        <v>12</v>
      </c>
      <c r="E1236" s="2">
        <v>45907</v>
      </c>
      <c r="F1236" s="38"/>
      <c r="G1236" s="51"/>
      <c r="H1236" s="4">
        <f>F559*50%</f>
        <v>1859.5</v>
      </c>
      <c r="I1236" s="120"/>
      <c r="J1236" s="4">
        <f>(G1236+H1236)-I1236</f>
        <v>1859.5</v>
      </c>
      <c r="K1236" s="4">
        <f>J1236+O1235</f>
        <v>536573.515</v>
      </c>
      <c r="L1236" s="3"/>
      <c r="M1236" s="3"/>
      <c r="N1236" s="33">
        <f>I1236+M1236</f>
        <v>0</v>
      </c>
      <c r="O1236" s="28">
        <f>K1236-M1236</f>
        <v>536573.515</v>
      </c>
      <c r="P1236" s="9" t="s">
        <v>12</v>
      </c>
      <c r="Q1236" s="2">
        <v>45907</v>
      </c>
      <c r="R1236" s="38"/>
      <c r="S1236" s="52"/>
      <c r="T1236" s="4">
        <f>R559*45%</f>
        <v>3023.55</v>
      </c>
      <c r="U1236" s="5"/>
      <c r="V1236" s="4">
        <f>(S1236+T1236)-U1236</f>
        <v>3023.55</v>
      </c>
      <c r="W1236" s="4">
        <f>V1236+AA1235</f>
        <v>375608.185</v>
      </c>
      <c r="X1236" s="3"/>
      <c r="Y1236" s="3"/>
      <c r="Z1236" s="25">
        <f>U1236+Y1236</f>
        <v>0</v>
      </c>
      <c r="AA1236" s="76">
        <f>W1236-Y1236</f>
        <v>375608.185</v>
      </c>
      <c r="AB1236" s="9" t="s">
        <v>12</v>
      </c>
      <c r="AC1236" s="19">
        <v>45907</v>
      </c>
      <c r="AD1236" s="41"/>
      <c r="AE1236" s="42"/>
      <c r="AF1236" s="4">
        <f>AD559-H1236-T1236</f>
        <v>5554.95</v>
      </c>
      <c r="AG1236" s="3"/>
      <c r="AH1236" s="8"/>
      <c r="AI1236" s="4">
        <f>(AE1236+AF1236)-AH1236</f>
        <v>5554.95</v>
      </c>
      <c r="AJ1236" s="4">
        <f>AI1236+BP1235</f>
        <v>-430165.3655</v>
      </c>
      <c r="AK1236" s="8"/>
      <c r="AL1236" s="8"/>
      <c r="AM1236" s="47"/>
      <c r="AN1236" s="47"/>
      <c r="AO1236" s="8"/>
      <c r="AP1236" s="8"/>
      <c r="AQ1236" s="47"/>
      <c r="AR1236" s="47"/>
      <c r="AS1236" s="8"/>
      <c r="AT1236" s="8"/>
      <c r="AU1236" s="47"/>
      <c r="AV1236" s="47"/>
      <c r="AW1236" s="8"/>
      <c r="AX1236" s="8"/>
      <c r="AY1236" s="47"/>
      <c r="AZ1236" s="47"/>
      <c r="BA1236" s="8"/>
      <c r="BB1236" s="8"/>
      <c r="BC1236" s="47"/>
      <c r="BD1236" s="47"/>
      <c r="BE1236" s="8"/>
      <c r="BF1236" s="8"/>
      <c r="BG1236" s="47"/>
      <c r="BH1236" s="47"/>
      <c r="BI1236" s="8"/>
      <c r="BJ1236" s="3"/>
      <c r="BK1236" s="47"/>
      <c r="BL1236" s="47"/>
      <c r="BM1236" s="46"/>
      <c r="BN1236" s="46"/>
      <c r="BO1236" s="24">
        <f>AL1236+AN1236+AP1236+AR1236+AT1236+AV1236+AX1236+AZ1236+BB1236+BD1236+BF1236+BH1236+BJ1236+BL1236+BN1236</f>
        <v>0</v>
      </c>
      <c r="BP1236" s="28">
        <f>AJ1236-BO1236</f>
        <v>-430165.3655</v>
      </c>
      <c r="BQ1236" s="2">
        <v>45907</v>
      </c>
    </row>
    <row r="1237" spans="1:73">
      <c r="D1237" s="9" t="s">
        <v>13</v>
      </c>
      <c r="E1237" s="2">
        <v>45908</v>
      </c>
      <c r="F1237" s="38"/>
      <c r="G1237" s="51"/>
      <c r="H1237" s="4">
        <f>F560*50%</f>
        <v>1860</v>
      </c>
      <c r="I1237" s="120"/>
      <c r="J1237" s="4">
        <f>(G1237+H1237)-I1237</f>
        <v>1860</v>
      </c>
      <c r="K1237" s="4">
        <f>J1237+O1236</f>
        <v>538433.515</v>
      </c>
      <c r="L1237" s="3"/>
      <c r="M1237" s="3"/>
      <c r="N1237" s="33">
        <f>I1237+M1237</f>
        <v>0</v>
      </c>
      <c r="O1237" s="28">
        <f>K1237-M1237</f>
        <v>538433.515</v>
      </c>
      <c r="P1237" s="9" t="s">
        <v>13</v>
      </c>
      <c r="Q1237" s="2">
        <v>45908</v>
      </c>
      <c r="R1237" s="38"/>
      <c r="S1237" s="52"/>
      <c r="T1237" s="4">
        <f>R560*45%</f>
        <v>3024</v>
      </c>
      <c r="U1237" s="5"/>
      <c r="V1237" s="4">
        <f>(S1237+T1237)-U1237</f>
        <v>3024</v>
      </c>
      <c r="W1237" s="4">
        <f>V1237+AA1236</f>
        <v>378632.185</v>
      </c>
      <c r="X1237" s="3"/>
      <c r="Y1237" s="3"/>
      <c r="Z1237" s="25">
        <f>U1237+Y1237</f>
        <v>0</v>
      </c>
      <c r="AA1237" s="76">
        <f>W1237-Y1237</f>
        <v>378632.185</v>
      </c>
      <c r="AB1237" s="9" t="s">
        <v>13</v>
      </c>
      <c r="AC1237" s="19">
        <v>45908</v>
      </c>
      <c r="AD1237" s="41"/>
      <c r="AE1237" s="42"/>
      <c r="AF1237" s="4">
        <f>AD560-H1237-T1237</f>
        <v>5556</v>
      </c>
      <c r="AG1237" s="3"/>
      <c r="AH1237" s="8"/>
      <c r="AI1237" s="4">
        <f>(AE1237+AF1237)-AH1237</f>
        <v>5556</v>
      </c>
      <c r="AJ1237" s="4">
        <f>AI1237+BP1236</f>
        <v>-424609.3655</v>
      </c>
      <c r="AK1237" s="8"/>
      <c r="AL1237" s="8"/>
      <c r="AM1237" s="47"/>
      <c r="AN1237" s="47"/>
      <c r="AO1237" s="8"/>
      <c r="AP1237" s="8"/>
      <c r="AQ1237" s="47"/>
      <c r="AR1237" s="47"/>
      <c r="AS1237" s="8"/>
      <c r="AT1237" s="8"/>
      <c r="AU1237" s="47"/>
      <c r="AV1237" s="47"/>
      <c r="AW1237" s="8"/>
      <c r="AX1237" s="8"/>
      <c r="AY1237" s="47"/>
      <c r="AZ1237" s="47"/>
      <c r="BA1237" s="8"/>
      <c r="BB1237" s="8"/>
      <c r="BC1237" s="47"/>
      <c r="BD1237" s="47"/>
      <c r="BE1237" s="8"/>
      <c r="BF1237" s="8"/>
      <c r="BG1237" s="47"/>
      <c r="BH1237" s="47"/>
      <c r="BI1237" s="8"/>
      <c r="BJ1237" s="3"/>
      <c r="BK1237" s="47"/>
      <c r="BL1237" s="47"/>
      <c r="BM1237" s="46"/>
      <c r="BN1237" s="46"/>
      <c r="BO1237" s="24">
        <f>AL1237+AN1237+AP1237+AR1237+AT1237+AV1237+AX1237+AZ1237+BB1237+BD1237+BF1237+BH1237+BJ1237+BL1237+BN1237</f>
        <v>0</v>
      </c>
      <c r="BP1237" s="28">
        <f>AJ1237-BO1237</f>
        <v>-424609.3655</v>
      </c>
      <c r="BQ1237" s="2">
        <v>45908</v>
      </c>
    </row>
    <row r="1238" spans="1:73">
      <c r="D1238" s="9" t="s">
        <v>14</v>
      </c>
      <c r="E1238" s="2">
        <v>45909</v>
      </c>
      <c r="F1238" s="38"/>
      <c r="G1238" s="51"/>
      <c r="H1238" s="4">
        <f>F561*50%</f>
        <v>1860.5</v>
      </c>
      <c r="I1238" s="120"/>
      <c r="J1238" s="4">
        <f>(G1238+H1238)-I1238</f>
        <v>1860.5</v>
      </c>
      <c r="K1238" s="4">
        <f>J1238+O1237</f>
        <v>540294.015</v>
      </c>
      <c r="L1238" s="3"/>
      <c r="M1238" s="3"/>
      <c r="N1238" s="33">
        <f>I1238+M1238</f>
        <v>0</v>
      </c>
      <c r="O1238" s="28">
        <f>K1238-M1238</f>
        <v>540294.015</v>
      </c>
      <c r="P1238" s="9" t="s">
        <v>14</v>
      </c>
      <c r="Q1238" s="2">
        <v>45909</v>
      </c>
      <c r="R1238" s="38"/>
      <c r="S1238" s="52"/>
      <c r="T1238" s="4">
        <f>R561*45%</f>
        <v>3024.45</v>
      </c>
      <c r="U1238" s="5"/>
      <c r="V1238" s="4">
        <f>(S1238+T1238)-U1238</f>
        <v>3024.45</v>
      </c>
      <c r="W1238" s="4">
        <f>V1238+AA1237</f>
        <v>381656.635</v>
      </c>
      <c r="X1238" s="3"/>
      <c r="Y1238" s="3"/>
      <c r="Z1238" s="25">
        <f>U1238+Y1238</f>
        <v>0</v>
      </c>
      <c r="AA1238" s="76">
        <f>W1238-Y1238</f>
        <v>381656.635</v>
      </c>
      <c r="AB1238" s="9" t="s">
        <v>14</v>
      </c>
      <c r="AC1238" s="19">
        <v>45909</v>
      </c>
      <c r="AD1238" s="41"/>
      <c r="AE1238" s="42"/>
      <c r="AF1238" s="4">
        <f>AD561-H1238-T1238</f>
        <v>5557.05</v>
      </c>
      <c r="AG1238" s="3"/>
      <c r="AH1238" s="8"/>
      <c r="AI1238" s="4">
        <f>(AE1238+AF1238)-AH1238</f>
        <v>5557.05</v>
      </c>
      <c r="AJ1238" s="4">
        <f>AI1238+BP1237</f>
        <v>-419052.3155</v>
      </c>
      <c r="AK1238" s="8"/>
      <c r="AL1238" s="8"/>
      <c r="AM1238" s="47"/>
      <c r="AN1238" s="47"/>
      <c r="AO1238" s="8"/>
      <c r="AP1238" s="8"/>
      <c r="AQ1238" s="47"/>
      <c r="AR1238" s="47"/>
      <c r="AS1238" s="8"/>
      <c r="AT1238" s="8"/>
      <c r="AU1238" s="47"/>
      <c r="AV1238" s="47"/>
      <c r="AW1238" s="8"/>
      <c r="AX1238" s="8"/>
      <c r="AY1238" s="47"/>
      <c r="AZ1238" s="47"/>
      <c r="BA1238" s="8"/>
      <c r="BB1238" s="8"/>
      <c r="BC1238" s="47"/>
      <c r="BD1238" s="47"/>
      <c r="BE1238" s="8"/>
      <c r="BF1238" s="8"/>
      <c r="BG1238" s="47"/>
      <c r="BH1238" s="47"/>
      <c r="BI1238" s="8"/>
      <c r="BJ1238" s="3"/>
      <c r="BK1238" s="47"/>
      <c r="BL1238" s="47"/>
      <c r="BM1238" s="46"/>
      <c r="BN1238" s="46"/>
      <c r="BO1238" s="24">
        <f>AL1238+AN1238+AP1238+AR1238+AT1238+AV1238+AX1238+AZ1238+BB1238+BD1238+BF1238+BH1238+BJ1238+BL1238+BN1238</f>
        <v>0</v>
      </c>
      <c r="BP1238" s="28">
        <f>AJ1238-BO1238</f>
        <v>-419052.3155</v>
      </c>
      <c r="BQ1238" s="2">
        <v>45909</v>
      </c>
    </row>
    <row r="1239" spans="1:73">
      <c r="D1239" s="9" t="s">
        <v>15</v>
      </c>
      <c r="E1239" s="2">
        <v>45910</v>
      </c>
      <c r="F1239" s="38"/>
      <c r="G1239" s="51"/>
      <c r="H1239" s="4">
        <f>F562*50%</f>
        <v>1861</v>
      </c>
      <c r="I1239" s="120"/>
      <c r="J1239" s="4">
        <f>(G1239+H1239)-I1239</f>
        <v>1861</v>
      </c>
      <c r="K1239" s="4">
        <f>J1239+O1238</f>
        <v>542155.015</v>
      </c>
      <c r="L1239" s="3"/>
      <c r="M1239" s="3"/>
      <c r="N1239" s="33">
        <f>I1239+M1239</f>
        <v>0</v>
      </c>
      <c r="O1239" s="28">
        <f>K1239-M1239</f>
        <v>542155.015</v>
      </c>
      <c r="P1239" s="9" t="s">
        <v>15</v>
      </c>
      <c r="Q1239" s="2">
        <v>45910</v>
      </c>
      <c r="R1239" s="38"/>
      <c r="S1239" s="52"/>
      <c r="T1239" s="4">
        <f>R562*45%</f>
        <v>3024.9</v>
      </c>
      <c r="U1239" s="5"/>
      <c r="V1239" s="4">
        <f>(S1239+T1239)-U1239</f>
        <v>3024.9</v>
      </c>
      <c r="W1239" s="4">
        <f>V1239+AA1238</f>
        <v>384681.535</v>
      </c>
      <c r="X1239" s="3"/>
      <c r="Y1239" s="3"/>
      <c r="Z1239" s="25">
        <f>U1239+Y1239</f>
        <v>0</v>
      </c>
      <c r="AA1239" s="76">
        <f>W1239-Y1239</f>
        <v>384681.535</v>
      </c>
      <c r="AB1239" s="9" t="s">
        <v>15</v>
      </c>
      <c r="AC1239" s="19">
        <v>45910</v>
      </c>
      <c r="AD1239" s="41"/>
      <c r="AE1239" s="42"/>
      <c r="AF1239" s="4">
        <f>AD562-H1239-T1239</f>
        <v>5558.1</v>
      </c>
      <c r="AG1239" s="3"/>
      <c r="AH1239" s="8"/>
      <c r="AI1239" s="4">
        <f>(AE1239+AF1239)-AH1239</f>
        <v>5558.1</v>
      </c>
      <c r="AJ1239" s="4">
        <f>AI1239+BP1238</f>
        <v>-413494.2155</v>
      </c>
      <c r="AK1239" s="8"/>
      <c r="AL1239" s="8"/>
      <c r="AM1239" s="47"/>
      <c r="AN1239" s="47"/>
      <c r="AO1239" s="8"/>
      <c r="AP1239" s="8"/>
      <c r="AQ1239" s="47"/>
      <c r="AR1239" s="47"/>
      <c r="AS1239" s="8"/>
      <c r="AT1239" s="8"/>
      <c r="AU1239" s="47"/>
      <c r="AV1239" s="47"/>
      <c r="AW1239" s="8"/>
      <c r="AX1239" s="8"/>
      <c r="AY1239" s="47"/>
      <c r="AZ1239" s="47"/>
      <c r="BA1239" s="8"/>
      <c r="BB1239" s="8"/>
      <c r="BC1239" s="47"/>
      <c r="BD1239" s="47"/>
      <c r="BE1239" s="8"/>
      <c r="BF1239" s="8"/>
      <c r="BG1239" s="47"/>
      <c r="BH1239" s="47"/>
      <c r="BI1239" s="8"/>
      <c r="BJ1239" s="3"/>
      <c r="BK1239" s="47"/>
      <c r="BL1239" s="47"/>
      <c r="BM1239" s="46"/>
      <c r="BN1239" s="46"/>
      <c r="BO1239" s="24">
        <f>AL1239+AN1239+AP1239+AR1239+AT1239+AV1239+AX1239+AZ1239+BB1239+BD1239+BF1239+BH1239+BJ1239+BL1239+BN1239</f>
        <v>0</v>
      </c>
      <c r="BP1239" s="28">
        <f>AJ1239-BO1239</f>
        <v>-413494.2155</v>
      </c>
      <c r="BQ1239" s="2">
        <v>45910</v>
      </c>
    </row>
    <row r="1240" spans="1:73">
      <c r="D1240" s="9" t="s">
        <v>16</v>
      </c>
      <c r="E1240" s="2">
        <v>45911</v>
      </c>
      <c r="F1240" s="38"/>
      <c r="G1240" s="51"/>
      <c r="H1240" s="4">
        <f>F563*50%</f>
        <v>1861.5</v>
      </c>
      <c r="I1240" s="120"/>
      <c r="J1240" s="4">
        <f>(G1240+H1240)-I1240</f>
        <v>1861.5</v>
      </c>
      <c r="K1240" s="4">
        <f>J1240+O1239</f>
        <v>544016.515</v>
      </c>
      <c r="L1240" s="3"/>
      <c r="M1240" s="3"/>
      <c r="N1240" s="33">
        <f>I1240+M1240</f>
        <v>0</v>
      </c>
      <c r="O1240" s="28">
        <f>K1240-M1240</f>
        <v>544016.515</v>
      </c>
      <c r="P1240" s="9" t="s">
        <v>16</v>
      </c>
      <c r="Q1240" s="2">
        <v>45911</v>
      </c>
      <c r="R1240" s="38"/>
      <c r="S1240" s="52"/>
      <c r="T1240" s="4">
        <f>R563*45%</f>
        <v>3025.35</v>
      </c>
      <c r="U1240" s="5"/>
      <c r="V1240" s="4">
        <f>(S1240+T1240)-U1240</f>
        <v>3025.35</v>
      </c>
      <c r="W1240" s="4">
        <f>V1240+AA1239</f>
        <v>387706.885</v>
      </c>
      <c r="X1240" s="3"/>
      <c r="Y1240" s="3"/>
      <c r="Z1240" s="25">
        <f>U1240+Y1240</f>
        <v>0</v>
      </c>
      <c r="AA1240" s="76">
        <f>W1240-Y1240</f>
        <v>387706.885</v>
      </c>
      <c r="AB1240" s="9" t="s">
        <v>16</v>
      </c>
      <c r="AC1240" s="19">
        <v>45911</v>
      </c>
      <c r="AD1240" s="41"/>
      <c r="AE1240" s="42"/>
      <c r="AF1240" s="4">
        <f>AD563-H1240-T1240</f>
        <v>5559.15</v>
      </c>
      <c r="AG1240" s="3"/>
      <c r="AH1240" s="8"/>
      <c r="AI1240" s="4">
        <f>(AE1240+AF1240)-AH1240</f>
        <v>5559.15</v>
      </c>
      <c r="AJ1240" s="4">
        <f>AI1240+BP1239</f>
        <v>-407935.0655</v>
      </c>
      <c r="AK1240" s="8"/>
      <c r="AL1240" s="8"/>
      <c r="AM1240" s="47"/>
      <c r="AN1240" s="47"/>
      <c r="AO1240" s="8"/>
      <c r="AP1240" s="8"/>
      <c r="AQ1240" s="47"/>
      <c r="AR1240" s="47"/>
      <c r="AS1240" s="8"/>
      <c r="AT1240" s="8"/>
      <c r="AU1240" s="47"/>
      <c r="AV1240" s="47"/>
      <c r="AW1240" s="8"/>
      <c r="AX1240" s="8"/>
      <c r="AY1240" s="47"/>
      <c r="AZ1240" s="47"/>
      <c r="BA1240" s="8"/>
      <c r="BB1240" s="8"/>
      <c r="BC1240" s="47"/>
      <c r="BD1240" s="47"/>
      <c r="BE1240" s="8"/>
      <c r="BF1240" s="8"/>
      <c r="BG1240" s="47"/>
      <c r="BH1240" s="47"/>
      <c r="BI1240" s="8"/>
      <c r="BJ1240" s="3"/>
      <c r="BK1240" s="47"/>
      <c r="BL1240" s="47"/>
      <c r="BM1240" s="46"/>
      <c r="BN1240" s="46"/>
      <c r="BO1240" s="24">
        <f>AL1240+AN1240+AP1240+AR1240+AT1240+AV1240+AX1240+AZ1240+BB1240+BD1240+BF1240+BH1240+BJ1240+BL1240+BN1240</f>
        <v>0</v>
      </c>
      <c r="BP1240" s="28">
        <f>AJ1240-BO1240</f>
        <v>-407935.0655</v>
      </c>
      <c r="BQ1240" s="2">
        <v>45911</v>
      </c>
    </row>
    <row r="1241" spans="1:73">
      <c r="D1241" s="9" t="s">
        <v>10</v>
      </c>
      <c r="E1241" s="2">
        <v>45912</v>
      </c>
      <c r="F1241" s="38"/>
      <c r="G1241" s="51"/>
      <c r="H1241" s="4">
        <f>F564*50%</f>
        <v>1862</v>
      </c>
      <c r="I1241" s="120"/>
      <c r="J1241" s="4">
        <f>(G1241+H1241)-I1241</f>
        <v>1862</v>
      </c>
      <c r="K1241" s="4">
        <f>J1241+O1240</f>
        <v>545878.515</v>
      </c>
      <c r="L1241" s="3"/>
      <c r="M1241" s="3"/>
      <c r="N1241" s="33">
        <f>I1241+M1241</f>
        <v>0</v>
      </c>
      <c r="O1241" s="28">
        <f>K1241-M1241</f>
        <v>545878.515</v>
      </c>
      <c r="P1241" s="9" t="s">
        <v>10</v>
      </c>
      <c r="Q1241" s="2">
        <v>45912</v>
      </c>
      <c r="R1241" s="38"/>
      <c r="S1241" s="52"/>
      <c r="T1241" s="4">
        <f>R564*45%</f>
        <v>3025.8</v>
      </c>
      <c r="U1241" s="5"/>
      <c r="V1241" s="4">
        <f>(S1241+T1241)-U1241</f>
        <v>3025.8</v>
      </c>
      <c r="W1241" s="4">
        <f>V1241+AA1240</f>
        <v>390732.685</v>
      </c>
      <c r="X1241" s="3"/>
      <c r="Y1241" s="3"/>
      <c r="Z1241" s="25">
        <f>U1241+Y1241</f>
        <v>0</v>
      </c>
      <c r="AA1241" s="76">
        <f>W1241-Y1241</f>
        <v>390732.685</v>
      </c>
      <c r="AB1241" s="9" t="s">
        <v>10</v>
      </c>
      <c r="AC1241" s="19">
        <v>45912</v>
      </c>
      <c r="AD1241" s="41"/>
      <c r="AE1241" s="42"/>
      <c r="AF1241" s="4">
        <f>AD564-H1241-T1241</f>
        <v>5560.2</v>
      </c>
      <c r="AG1241" s="3"/>
      <c r="AH1241" s="8"/>
      <c r="AI1241" s="4">
        <f>(AE1241+AF1241)-AH1241</f>
        <v>5560.2</v>
      </c>
      <c r="AJ1241" s="4">
        <f>AI1241+BP1240</f>
        <v>-402374.8655</v>
      </c>
      <c r="AK1241" s="8"/>
      <c r="AL1241" s="8"/>
      <c r="AM1241" s="47"/>
      <c r="AN1241" s="47"/>
      <c r="AO1241" s="8"/>
      <c r="AP1241" s="8"/>
      <c r="AQ1241" s="47"/>
      <c r="AR1241" s="47"/>
      <c r="AS1241" s="8"/>
      <c r="AT1241" s="8"/>
      <c r="AU1241" s="47"/>
      <c r="AV1241" s="47"/>
      <c r="AW1241" s="8"/>
      <c r="AX1241" s="8"/>
      <c r="AY1241" s="47"/>
      <c r="AZ1241" s="47"/>
      <c r="BA1241" s="8"/>
      <c r="BB1241" s="8"/>
      <c r="BC1241" s="47"/>
      <c r="BD1241" s="47"/>
      <c r="BE1241" s="8"/>
      <c r="BF1241" s="8"/>
      <c r="BG1241" s="47"/>
      <c r="BH1241" s="47"/>
      <c r="BI1241" s="8"/>
      <c r="BJ1241" s="3"/>
      <c r="BK1241" s="47"/>
      <c r="BL1241" s="47"/>
      <c r="BM1241" s="46"/>
      <c r="BN1241" s="46"/>
      <c r="BO1241" s="24">
        <f>AL1241+AN1241+AP1241+AR1241+AT1241+AV1241+AX1241+AZ1241+BB1241+BD1241+BF1241+BH1241+BJ1241+BL1241+BN1241</f>
        <v>0</v>
      </c>
      <c r="BP1241" s="28">
        <f>AJ1241-BO1241</f>
        <v>-402374.8655</v>
      </c>
      <c r="BQ1241" s="2">
        <v>45912</v>
      </c>
    </row>
    <row r="1242" spans="1:73">
      <c r="D1242" s="9" t="s">
        <v>11</v>
      </c>
      <c r="E1242" s="2">
        <v>45913</v>
      </c>
      <c r="F1242" s="38"/>
      <c r="G1242" s="51"/>
      <c r="H1242" s="4">
        <f>F565*50%</f>
        <v>1862.5</v>
      </c>
      <c r="I1242" s="120"/>
      <c r="J1242" s="4">
        <f>(G1242+H1242)-I1242</f>
        <v>1862.5</v>
      </c>
      <c r="K1242" s="4">
        <f>J1242+O1241</f>
        <v>547741.015</v>
      </c>
      <c r="L1242" s="3"/>
      <c r="M1242" s="3"/>
      <c r="N1242" s="33">
        <f>I1242+M1242</f>
        <v>0</v>
      </c>
      <c r="O1242" s="28">
        <f>K1242-M1242</f>
        <v>547741.015</v>
      </c>
      <c r="P1242" s="9" t="s">
        <v>11</v>
      </c>
      <c r="Q1242" s="2">
        <v>45913</v>
      </c>
      <c r="R1242" s="38"/>
      <c r="S1242" s="52"/>
      <c r="T1242" s="4">
        <f>R565*45%</f>
        <v>3026.25</v>
      </c>
      <c r="U1242" s="5"/>
      <c r="V1242" s="4">
        <f>(S1242+T1242)-U1242</f>
        <v>3026.25</v>
      </c>
      <c r="W1242" s="4">
        <f>V1242+AA1241</f>
        <v>393758.935</v>
      </c>
      <c r="X1242" s="3"/>
      <c r="Y1242" s="3"/>
      <c r="Z1242" s="25">
        <f>U1242+Y1242</f>
        <v>0</v>
      </c>
      <c r="AA1242" s="76">
        <f>W1242-Y1242</f>
        <v>393758.935</v>
      </c>
      <c r="AB1242" s="9" t="s">
        <v>11</v>
      </c>
      <c r="AC1242" s="19">
        <v>45913</v>
      </c>
      <c r="AD1242" s="41"/>
      <c r="AE1242" s="42"/>
      <c r="AF1242" s="4">
        <f>AD565-H1242-T1242</f>
        <v>5561.25</v>
      </c>
      <c r="AG1242" s="3"/>
      <c r="AH1242" s="8"/>
      <c r="AI1242" s="4">
        <f>(AE1242+AF1242)-AH1242</f>
        <v>5561.25</v>
      </c>
      <c r="AJ1242" s="4">
        <f>AI1242+BP1241</f>
        <v>-396813.6155</v>
      </c>
      <c r="AK1242" s="8"/>
      <c r="AL1242" s="8"/>
      <c r="AM1242" s="47"/>
      <c r="AN1242" s="47"/>
      <c r="AO1242" s="8"/>
      <c r="AP1242" s="8"/>
      <c r="AQ1242" s="47"/>
      <c r="AR1242" s="47"/>
      <c r="AS1242" s="8"/>
      <c r="AT1242" s="8"/>
      <c r="AU1242" s="47"/>
      <c r="AV1242" s="47"/>
      <c r="AW1242" s="8"/>
      <c r="AX1242" s="8"/>
      <c r="AY1242" s="47"/>
      <c r="AZ1242" s="47"/>
      <c r="BA1242" s="8"/>
      <c r="BB1242" s="8"/>
      <c r="BC1242" s="47"/>
      <c r="BD1242" s="47"/>
      <c r="BE1242" s="8"/>
      <c r="BF1242" s="8"/>
      <c r="BG1242" s="47"/>
      <c r="BH1242" s="47"/>
      <c r="BI1242" s="8"/>
      <c r="BJ1242" s="3"/>
      <c r="BK1242" s="47"/>
      <c r="BL1242" s="47"/>
      <c r="BM1242" s="46"/>
      <c r="BN1242" s="46"/>
      <c r="BO1242" s="24">
        <f>AL1242+AN1242+AP1242+AR1242+AT1242+AV1242+AX1242+AZ1242+BB1242+BD1242+BF1242+BH1242+BJ1242+BL1242+BN1242</f>
        <v>0</v>
      </c>
      <c r="BP1242" s="28">
        <f>AJ1242-BO1242</f>
        <v>-396813.6155</v>
      </c>
      <c r="BQ1242" s="2">
        <v>45913</v>
      </c>
    </row>
    <row r="1243" spans="1:73">
      <c r="D1243" s="9" t="s">
        <v>12</v>
      </c>
      <c r="E1243" s="2">
        <v>45914</v>
      </c>
      <c r="F1243" s="38"/>
      <c r="G1243" s="126"/>
      <c r="H1243" s="4">
        <f>F566*50%</f>
        <v>1863</v>
      </c>
      <c r="I1243" s="120"/>
      <c r="J1243" s="4">
        <f>(G1243+H1243)-I1243</f>
        <v>1863</v>
      </c>
      <c r="K1243" s="4">
        <f>J1243+O1242</f>
        <v>549604.015</v>
      </c>
      <c r="L1243" s="3"/>
      <c r="M1243" s="3"/>
      <c r="N1243" s="33">
        <f>I1243+M1243</f>
        <v>0</v>
      </c>
      <c r="O1243" s="28">
        <f>K1243-M1243</f>
        <v>549604.015</v>
      </c>
      <c r="P1243" s="9" t="s">
        <v>12</v>
      </c>
      <c r="Q1243" s="2">
        <v>45914</v>
      </c>
      <c r="R1243" s="38"/>
      <c r="S1243" s="52"/>
      <c r="T1243" s="4">
        <f>R566*45%</f>
        <v>3026.7</v>
      </c>
      <c r="U1243" s="5">
        <f>50+100</f>
        <v>150</v>
      </c>
      <c r="V1243" s="4">
        <f>(S1243+T1243)-U1243</f>
        <v>2876.7</v>
      </c>
      <c r="W1243" s="4">
        <f>V1243+AA1242</f>
        <v>396635.635</v>
      </c>
      <c r="X1243" s="3"/>
      <c r="Y1243" s="3"/>
      <c r="Z1243" s="25">
        <f>U1243+Y1243</f>
        <v>150</v>
      </c>
      <c r="AA1243" s="76">
        <f>W1243-Y1243</f>
        <v>396635.635</v>
      </c>
      <c r="AB1243" s="9" t="s">
        <v>12</v>
      </c>
      <c r="AC1243" s="19">
        <v>45914</v>
      </c>
      <c r="AD1243" s="41"/>
      <c r="AE1243" s="42"/>
      <c r="AF1243" s="4">
        <f>AD566-H1243-T1243</f>
        <v>5562.3</v>
      </c>
      <c r="AG1243" s="3"/>
      <c r="AH1243" s="8"/>
      <c r="AI1243" s="4">
        <f>(AE1243+AF1243)-AH1243</f>
        <v>5562.3</v>
      </c>
      <c r="AJ1243" s="4">
        <f>AI1243+BP1242</f>
        <v>-391251.3155</v>
      </c>
      <c r="AK1243" s="8"/>
      <c r="AL1243" s="8"/>
      <c r="AM1243" s="47"/>
      <c r="AN1243" s="47"/>
      <c r="AO1243" s="8"/>
      <c r="AP1243" s="8"/>
      <c r="AQ1243" s="47"/>
      <c r="AR1243" s="47"/>
      <c r="AS1243" s="8"/>
      <c r="AT1243" s="8"/>
      <c r="AU1243" s="47"/>
      <c r="AV1243" s="47"/>
      <c r="AW1243" s="8"/>
      <c r="AX1243" s="8"/>
      <c r="AY1243" s="47"/>
      <c r="AZ1243" s="47"/>
      <c r="BA1243" s="8"/>
      <c r="BB1243" s="8"/>
      <c r="BC1243" s="47"/>
      <c r="BD1243" s="47"/>
      <c r="BE1243" s="8"/>
      <c r="BF1243" s="8"/>
      <c r="BG1243" s="47"/>
      <c r="BH1243" s="47"/>
      <c r="BI1243" s="8"/>
      <c r="BJ1243" s="3"/>
      <c r="BK1243" s="47"/>
      <c r="BL1243" s="47"/>
      <c r="BM1243" s="46"/>
      <c r="BN1243" s="46"/>
      <c r="BO1243" s="24">
        <f>AL1243+AN1243+AP1243+AR1243+AT1243+AV1243+AX1243+AZ1243+BB1243+BD1243+BF1243+BH1243+BJ1243+BL1243+BN1243</f>
        <v>0</v>
      </c>
      <c r="BP1243" s="28">
        <f>AJ1243-BO1243</f>
        <v>-391251.3155</v>
      </c>
      <c r="BQ1243" s="2">
        <v>45914</v>
      </c>
    </row>
    <row r="1244" spans="1:73">
      <c r="D1244" s="9" t="s">
        <v>13</v>
      </c>
      <c r="E1244" s="2">
        <v>45915</v>
      </c>
      <c r="F1244" s="38"/>
      <c r="G1244" s="126"/>
      <c r="H1244" s="4">
        <f>F567*50%</f>
        <v>1863.5</v>
      </c>
      <c r="I1244" s="120"/>
      <c r="J1244" s="4">
        <f>(G1244+H1244)-I1244</f>
        <v>1863.5</v>
      </c>
      <c r="K1244" s="4">
        <f>J1244+O1243</f>
        <v>551467.515</v>
      </c>
      <c r="L1244" s="113" t="s">
        <v>397</v>
      </c>
      <c r="M1244" s="3">
        <v>5190</v>
      </c>
      <c r="N1244" s="33">
        <f>I1244+M1244</f>
        <v>5190</v>
      </c>
      <c r="O1244" s="28">
        <f>K1244-M1244</f>
        <v>546277.515</v>
      </c>
      <c r="P1244" s="9" t="s">
        <v>13</v>
      </c>
      <c r="Q1244" s="2">
        <v>45915</v>
      </c>
      <c r="R1244" s="38"/>
      <c r="S1244" s="52"/>
      <c r="T1244" s="4">
        <f>R567*45%</f>
        <v>3027.15</v>
      </c>
      <c r="U1244" s="5"/>
      <c r="V1244" s="4">
        <f>(S1244+T1244)-U1244</f>
        <v>3027.15</v>
      </c>
      <c r="W1244" s="4">
        <f>V1244+AA1243</f>
        <v>399662.785</v>
      </c>
      <c r="X1244" s="3"/>
      <c r="Y1244" s="3"/>
      <c r="Z1244" s="25">
        <f>U1244+Y1244</f>
        <v>0</v>
      </c>
      <c r="AA1244" s="76">
        <f>W1244-Y1244</f>
        <v>399662.785</v>
      </c>
      <c r="AB1244" s="9" t="s">
        <v>13</v>
      </c>
      <c r="AC1244" s="19">
        <v>45915</v>
      </c>
      <c r="AD1244" s="41"/>
      <c r="AE1244" s="42"/>
      <c r="AF1244" s="4">
        <f>AD567-H1244-T1244</f>
        <v>5563.35</v>
      </c>
      <c r="AG1244" s="3"/>
      <c r="AH1244" s="8"/>
      <c r="AI1244" s="4">
        <f>(AE1244+AF1244)-AH1244</f>
        <v>5563.35</v>
      </c>
      <c r="AJ1244" s="4">
        <f>AI1244+BP1243</f>
        <v>-385687.9655</v>
      </c>
      <c r="AK1244" s="8"/>
      <c r="AL1244" s="8"/>
      <c r="AM1244" s="47" t="s">
        <v>544</v>
      </c>
      <c r="AN1244" s="47">
        <f>200</f>
        <v>200</v>
      </c>
      <c r="AO1244" s="8"/>
      <c r="AP1244" s="8"/>
      <c r="AQ1244" s="47"/>
      <c r="AR1244" s="47"/>
      <c r="AS1244" s="8"/>
      <c r="AT1244" s="8"/>
      <c r="AU1244" s="47"/>
      <c r="AV1244" s="47"/>
      <c r="AW1244" s="8"/>
      <c r="AX1244" s="8"/>
      <c r="AY1244" s="47" t="s">
        <v>443</v>
      </c>
      <c r="AZ1244" s="47">
        <f>500</f>
        <v>500</v>
      </c>
      <c r="BA1244" s="8"/>
      <c r="BB1244" s="8"/>
      <c r="BC1244" s="47"/>
      <c r="BD1244" s="47"/>
      <c r="BE1244" s="8"/>
      <c r="BF1244" s="8"/>
      <c r="BG1244" s="47"/>
      <c r="BH1244" s="47"/>
      <c r="BI1244" s="8"/>
      <c r="BJ1244" s="3"/>
      <c r="BK1244" s="47"/>
      <c r="BL1244" s="47"/>
      <c r="BM1244" s="46"/>
      <c r="BN1244" s="46"/>
      <c r="BO1244" s="24">
        <f>AL1244+AN1244+AP1244+AR1244+AT1244+AV1244+AX1244+AZ1244+BB1244+BD1244+BF1244+BH1244+BJ1244+BL1244+BN1244</f>
        <v>700</v>
      </c>
      <c r="BP1244" s="28">
        <f>AJ1244-BO1244</f>
        <v>-386387.9655</v>
      </c>
      <c r="BQ1244" s="2">
        <v>45915</v>
      </c>
    </row>
    <row r="1245" spans="1:73">
      <c r="D1245" s="9" t="s">
        <v>14</v>
      </c>
      <c r="E1245" s="2">
        <v>45916</v>
      </c>
      <c r="F1245" s="38"/>
      <c r="G1245" s="126"/>
      <c r="H1245" s="4">
        <f>F568*50%</f>
        <v>1864</v>
      </c>
      <c r="I1245" s="120"/>
      <c r="J1245" s="4">
        <f>(G1245+H1245)-I1245</f>
        <v>1864</v>
      </c>
      <c r="K1245" s="4">
        <f>J1245+O1244</f>
        <v>548141.515</v>
      </c>
      <c r="L1245" s="3"/>
      <c r="M1245" s="3"/>
      <c r="N1245" s="33">
        <f>I1245+M1245</f>
        <v>0</v>
      </c>
      <c r="O1245" s="28">
        <f>K1245-M1245</f>
        <v>548141.515</v>
      </c>
      <c r="P1245" s="9" t="s">
        <v>14</v>
      </c>
      <c r="Q1245" s="2">
        <v>45916</v>
      </c>
      <c r="R1245" s="38" t="s">
        <v>545</v>
      </c>
      <c r="S1245" s="52">
        <f>2000</f>
        <v>2000</v>
      </c>
      <c r="T1245" s="4">
        <f>R568*45%</f>
        <v>3027.6</v>
      </c>
      <c r="U1245" s="5">
        <f>200</f>
        <v>200</v>
      </c>
      <c r="V1245" s="4">
        <f>(S1245+T1245)-U1245</f>
        <v>4827.6</v>
      </c>
      <c r="W1245" s="4">
        <f>V1245+AA1244</f>
        <v>404490.385</v>
      </c>
      <c r="X1245" s="3"/>
      <c r="Y1245" s="3"/>
      <c r="Z1245" s="25">
        <f>U1245+Y1245</f>
        <v>200</v>
      </c>
      <c r="AA1245" s="76">
        <f>W1245-Y1245</f>
        <v>404490.385</v>
      </c>
      <c r="AB1245" s="9" t="s">
        <v>14</v>
      </c>
      <c r="AC1245" s="19">
        <v>45916</v>
      </c>
      <c r="AD1245" s="41"/>
      <c r="AE1245" s="42"/>
      <c r="AF1245" s="4">
        <f>AD568-H1245-T1245</f>
        <v>5564.4</v>
      </c>
      <c r="AG1245" s="3"/>
      <c r="AH1245" s="8"/>
      <c r="AI1245" s="4">
        <f>(AE1245+AF1245)-AH1245</f>
        <v>5564.4</v>
      </c>
      <c r="AJ1245" s="4">
        <f>AI1245+BP1244</f>
        <v>-380823.5655</v>
      </c>
      <c r="AK1245" s="8"/>
      <c r="AL1245" s="8"/>
      <c r="AM1245" s="47" t="s">
        <v>546</v>
      </c>
      <c r="AN1245" s="47">
        <f>2000</f>
        <v>2000</v>
      </c>
      <c r="AO1245" s="8"/>
      <c r="AP1245" s="8"/>
      <c r="AQ1245" s="47"/>
      <c r="AR1245" s="47"/>
      <c r="AS1245" s="8"/>
      <c r="AT1245" s="8"/>
      <c r="AU1245" s="47"/>
      <c r="AV1245" s="47"/>
      <c r="AW1245" s="8"/>
      <c r="AX1245" s="8"/>
      <c r="AY1245" s="47"/>
      <c r="AZ1245" s="47"/>
      <c r="BA1245" s="8"/>
      <c r="BB1245" s="8"/>
      <c r="BC1245" s="47" t="s">
        <v>547</v>
      </c>
      <c r="BD1245" s="47">
        <f>500+100</f>
        <v>600</v>
      </c>
      <c r="BE1245" s="8"/>
      <c r="BF1245" s="8"/>
      <c r="BG1245" s="47"/>
      <c r="BH1245" s="47"/>
      <c r="BI1245" s="8"/>
      <c r="BJ1245" s="3"/>
      <c r="BK1245" s="47"/>
      <c r="BL1245" s="47"/>
      <c r="BM1245" s="46"/>
      <c r="BN1245" s="46"/>
      <c r="BO1245" s="24">
        <f>AL1245+AN1245+AP1245+AR1245+AT1245+AV1245+AX1245+AZ1245+BB1245+BD1245+BF1245+BH1245+BJ1245+BL1245+BN1245</f>
        <v>2600</v>
      </c>
      <c r="BP1245" s="28">
        <f>AJ1245-BO1245</f>
        <v>-383423.5655</v>
      </c>
      <c r="BQ1245" s="2">
        <v>45916</v>
      </c>
    </row>
    <row r="1246" spans="1:73">
      <c r="D1246" s="9" t="s">
        <v>15</v>
      </c>
      <c r="E1246" s="2">
        <v>45917</v>
      </c>
      <c r="F1246" s="38"/>
      <c r="G1246" s="126"/>
      <c r="H1246" s="4">
        <f>F569*50%</f>
        <v>1864.5</v>
      </c>
      <c r="I1246" s="120"/>
      <c r="J1246" s="4">
        <f>(G1246+H1246)-I1246</f>
        <v>1864.5</v>
      </c>
      <c r="K1246" s="4">
        <f>J1246+O1245</f>
        <v>550006.015</v>
      </c>
      <c r="L1246" s="3"/>
      <c r="M1246" s="3"/>
      <c r="N1246" s="33">
        <f>I1246+M1246</f>
        <v>0</v>
      </c>
      <c r="O1246" s="28">
        <f>K1246-M1246</f>
        <v>550006.015</v>
      </c>
      <c r="P1246" s="9" t="s">
        <v>15</v>
      </c>
      <c r="Q1246" s="2">
        <v>45917</v>
      </c>
      <c r="R1246" s="38"/>
      <c r="S1246" s="52"/>
      <c r="T1246" s="4">
        <f>R569*45%</f>
        <v>3028.05</v>
      </c>
      <c r="U1246" s="5"/>
      <c r="V1246" s="4">
        <f>(S1246+T1246)-U1246</f>
        <v>3028.05</v>
      </c>
      <c r="W1246" s="4">
        <f>V1246+AA1245</f>
        <v>407518.435</v>
      </c>
      <c r="X1246" s="3"/>
      <c r="Y1246" s="3"/>
      <c r="Z1246" s="25">
        <f>U1246+Y1246</f>
        <v>0</v>
      </c>
      <c r="AA1246" s="76">
        <f>W1246-Y1246</f>
        <v>407518.435</v>
      </c>
      <c r="AB1246" s="9" t="s">
        <v>15</v>
      </c>
      <c r="AC1246" s="19">
        <v>45917</v>
      </c>
      <c r="AD1246" s="41"/>
      <c r="AE1246" s="42"/>
      <c r="AF1246" s="4">
        <f>AD569-H1246-T1246</f>
        <v>5565.45</v>
      </c>
      <c r="AG1246" s="3"/>
      <c r="AH1246" s="8"/>
      <c r="AI1246" s="4">
        <f>(AE1246+AF1246)-AH1246</f>
        <v>5565.45</v>
      </c>
      <c r="AJ1246" s="4">
        <f>AI1246+BP1245</f>
        <v>-377858.1155</v>
      </c>
      <c r="AK1246" s="8"/>
      <c r="AL1246" s="8"/>
      <c r="AM1246" s="47"/>
      <c r="AN1246" s="47"/>
      <c r="AO1246" s="8"/>
      <c r="AP1246" s="8"/>
      <c r="AQ1246" s="47"/>
      <c r="AR1246" s="47"/>
      <c r="AS1246" s="8"/>
      <c r="AT1246" s="8"/>
      <c r="AU1246" s="47"/>
      <c r="AV1246" s="47"/>
      <c r="AW1246" s="8"/>
      <c r="AX1246" s="8"/>
      <c r="AY1246" s="47"/>
      <c r="AZ1246" s="47"/>
      <c r="BA1246" s="8"/>
      <c r="BB1246" s="8"/>
      <c r="BC1246" s="47"/>
      <c r="BD1246" s="47"/>
      <c r="BE1246" s="8"/>
      <c r="BF1246" s="8"/>
      <c r="BG1246" s="47"/>
      <c r="BH1246" s="47"/>
      <c r="BI1246" s="8"/>
      <c r="BJ1246" s="3"/>
      <c r="BK1246" s="47"/>
      <c r="BL1246" s="47"/>
      <c r="BM1246" s="46"/>
      <c r="BN1246" s="46"/>
      <c r="BO1246" s="24">
        <f>AL1246+AN1246+AP1246+AR1246+AT1246+AV1246+AX1246+AZ1246+BB1246+BD1246+BF1246+BH1246+BJ1246+BL1246+BN1246</f>
        <v>0</v>
      </c>
      <c r="BP1246" s="28">
        <f>AJ1246-BO1246</f>
        <v>-377858.1155</v>
      </c>
      <c r="BQ1246" s="2">
        <v>45917</v>
      </c>
    </row>
    <row r="1247" spans="1:73">
      <c r="D1247" s="9" t="s">
        <v>16</v>
      </c>
      <c r="E1247" s="2">
        <v>45918</v>
      </c>
      <c r="F1247" s="38"/>
      <c r="G1247" s="126"/>
      <c r="H1247" s="4">
        <f>F570*50%</f>
        <v>1865</v>
      </c>
      <c r="I1247" s="120"/>
      <c r="J1247" s="4">
        <f>(G1247+H1247)-I1247</f>
        <v>1865</v>
      </c>
      <c r="K1247" s="4">
        <f>J1247+O1246</f>
        <v>551871.015</v>
      </c>
      <c r="L1247" s="3"/>
      <c r="M1247" s="3"/>
      <c r="N1247" s="33">
        <f>I1247+M1247</f>
        <v>0</v>
      </c>
      <c r="O1247" s="28">
        <f>K1247-M1247</f>
        <v>551871.015</v>
      </c>
      <c r="P1247" s="9" t="s">
        <v>16</v>
      </c>
      <c r="Q1247" s="2">
        <v>45918</v>
      </c>
      <c r="R1247" s="38"/>
      <c r="S1247" s="52"/>
      <c r="T1247" s="4">
        <f>R570*45%</f>
        <v>3028.5</v>
      </c>
      <c r="U1247" s="5"/>
      <c r="V1247" s="4">
        <f>(S1247+T1247)-U1247</f>
        <v>3028.5</v>
      </c>
      <c r="W1247" s="4">
        <f>V1247+AA1246</f>
        <v>410546.935</v>
      </c>
      <c r="X1247" s="3"/>
      <c r="Y1247" s="3"/>
      <c r="Z1247" s="25">
        <f>U1247+Y1247</f>
        <v>0</v>
      </c>
      <c r="AA1247" s="76">
        <f>W1247-Y1247</f>
        <v>410546.935</v>
      </c>
      <c r="AB1247" s="9" t="s">
        <v>16</v>
      </c>
      <c r="AC1247" s="19">
        <v>45918</v>
      </c>
      <c r="AD1247" s="41"/>
      <c r="AE1247" s="42"/>
      <c r="AF1247" s="4">
        <f>AD570-H1247-T1247</f>
        <v>5566.5</v>
      </c>
      <c r="AG1247" s="3"/>
      <c r="AH1247" s="8"/>
      <c r="AI1247" s="4">
        <f>(AE1247+AF1247)-AH1247</f>
        <v>5566.5</v>
      </c>
      <c r="AJ1247" s="4">
        <f>AI1247+BP1246</f>
        <v>-372291.6155</v>
      </c>
      <c r="AK1247" s="8"/>
      <c r="AL1247" s="8"/>
      <c r="AM1247" s="47"/>
      <c r="AN1247" s="47"/>
      <c r="AO1247" s="8"/>
      <c r="AP1247" s="8"/>
      <c r="AQ1247" s="47"/>
      <c r="AR1247" s="47"/>
      <c r="AS1247" s="8"/>
      <c r="AT1247" s="8"/>
      <c r="AU1247" s="47"/>
      <c r="AV1247" s="47"/>
      <c r="AW1247" s="8"/>
      <c r="AX1247" s="8"/>
      <c r="AY1247" s="47"/>
      <c r="AZ1247" s="47"/>
      <c r="BA1247" s="8"/>
      <c r="BB1247" s="8"/>
      <c r="BC1247" s="47"/>
      <c r="BD1247" s="47"/>
      <c r="BE1247" s="8"/>
      <c r="BF1247" s="8"/>
      <c r="BG1247" s="47"/>
      <c r="BH1247" s="47"/>
      <c r="BI1247" s="8"/>
      <c r="BJ1247" s="3"/>
      <c r="BK1247" s="47"/>
      <c r="BL1247" s="47"/>
      <c r="BM1247" s="46"/>
      <c r="BN1247" s="46"/>
      <c r="BO1247" s="24">
        <f>AL1247+AN1247+AP1247+AR1247+AT1247+AV1247+AX1247+AZ1247+BB1247+BD1247+BF1247+BH1247+BJ1247+BL1247+BN1247</f>
        <v>0</v>
      </c>
      <c r="BP1247" s="28">
        <f>AJ1247-BO1247</f>
        <v>-372291.6155</v>
      </c>
      <c r="BQ1247" s="2">
        <v>45918</v>
      </c>
    </row>
    <row r="1248" spans="1:73">
      <c r="D1248" s="9" t="s">
        <v>10</v>
      </c>
      <c r="E1248" s="2">
        <v>45919</v>
      </c>
      <c r="F1248" s="38"/>
      <c r="G1248" s="126"/>
      <c r="H1248" s="4">
        <f>F571*50%</f>
        <v>1865.5</v>
      </c>
      <c r="I1248" s="120"/>
      <c r="J1248" s="4">
        <f>(G1248+H1248)-I1248</f>
        <v>1865.5</v>
      </c>
      <c r="K1248" s="4">
        <f>J1248+O1247</f>
        <v>553736.515</v>
      </c>
      <c r="L1248" s="3"/>
      <c r="M1248" s="3"/>
      <c r="N1248" s="33">
        <f>I1248+M1248</f>
        <v>0</v>
      </c>
      <c r="O1248" s="28">
        <f>K1248-M1248</f>
        <v>553736.515</v>
      </c>
      <c r="P1248" s="9" t="s">
        <v>10</v>
      </c>
      <c r="Q1248" s="2">
        <v>45919</v>
      </c>
      <c r="R1248" s="38"/>
      <c r="S1248" s="52"/>
      <c r="T1248" s="4">
        <f>R571*45%</f>
        <v>3028.95</v>
      </c>
      <c r="U1248" s="5"/>
      <c r="V1248" s="4">
        <f>(S1248+T1248)-U1248</f>
        <v>3028.95</v>
      </c>
      <c r="W1248" s="4">
        <f>V1248+AA1247</f>
        <v>413575.885</v>
      </c>
      <c r="X1248" s="3"/>
      <c r="Y1248" s="3"/>
      <c r="Z1248" s="25">
        <f>U1248+Y1248</f>
        <v>0</v>
      </c>
      <c r="AA1248" s="76">
        <f>W1248-Y1248</f>
        <v>413575.885</v>
      </c>
      <c r="AB1248" s="9" t="s">
        <v>10</v>
      </c>
      <c r="AC1248" s="19">
        <v>45919</v>
      </c>
      <c r="AD1248" s="41"/>
      <c r="AE1248" s="42"/>
      <c r="AF1248" s="4">
        <f>AD571-H1248-T1248</f>
        <v>5567.55</v>
      </c>
      <c r="AG1248" s="3"/>
      <c r="AH1248" s="8"/>
      <c r="AI1248" s="4">
        <f>(AE1248+AF1248)-AH1248</f>
        <v>5567.55</v>
      </c>
      <c r="AJ1248" s="4">
        <f>AI1248+BP1247</f>
        <v>-366724.0655</v>
      </c>
      <c r="AK1248" s="8"/>
      <c r="AL1248" s="8"/>
      <c r="AM1248" s="47"/>
      <c r="AN1248" s="47"/>
      <c r="AO1248" s="8"/>
      <c r="AP1248" s="8"/>
      <c r="AQ1248" s="47"/>
      <c r="AR1248" s="47"/>
      <c r="AS1248" s="8"/>
      <c r="AT1248" s="8"/>
      <c r="AU1248" s="47"/>
      <c r="AV1248" s="47"/>
      <c r="AW1248" s="8"/>
      <c r="AX1248" s="8"/>
      <c r="AY1248" s="47"/>
      <c r="AZ1248" s="47"/>
      <c r="BA1248" s="8"/>
      <c r="BB1248" s="8"/>
      <c r="BC1248" s="47"/>
      <c r="BD1248" s="47"/>
      <c r="BE1248" s="8"/>
      <c r="BF1248" s="8"/>
      <c r="BG1248" s="47"/>
      <c r="BH1248" s="47"/>
      <c r="BI1248" s="8"/>
      <c r="BJ1248" s="3"/>
      <c r="BK1248" s="47"/>
      <c r="BL1248" s="47"/>
      <c r="BM1248" s="46"/>
      <c r="BN1248" s="46"/>
      <c r="BO1248" s="24">
        <f>AL1248+AN1248+AP1248+AR1248+AT1248+AV1248+AX1248+AZ1248+BB1248+BD1248+BF1248+BH1248+BJ1248+BL1248+BN1248</f>
        <v>0</v>
      </c>
      <c r="BP1248" s="28">
        <f>AJ1248-BO1248</f>
        <v>-366724.0655</v>
      </c>
      <c r="BQ1248" s="2">
        <v>45919</v>
      </c>
    </row>
    <row r="1249" spans="1:73">
      <c r="D1249" s="9" t="s">
        <v>11</v>
      </c>
      <c r="E1249" s="2">
        <v>45920</v>
      </c>
      <c r="F1249" s="38"/>
      <c r="G1249" s="126"/>
      <c r="H1249" s="4">
        <f>F572*50%</f>
        <v>1866</v>
      </c>
      <c r="I1249" s="120"/>
      <c r="J1249" s="4">
        <f>(G1249+H1249)-I1249</f>
        <v>1866</v>
      </c>
      <c r="K1249" s="4">
        <f>J1249+O1248</f>
        <v>555602.515</v>
      </c>
      <c r="L1249" s="3"/>
      <c r="M1249" s="3"/>
      <c r="N1249" s="33">
        <f>I1249+M1249</f>
        <v>0</v>
      </c>
      <c r="O1249" s="28">
        <f>K1249-M1249</f>
        <v>555602.515</v>
      </c>
      <c r="P1249" s="9" t="s">
        <v>11</v>
      </c>
      <c r="Q1249" s="2">
        <v>45920</v>
      </c>
      <c r="R1249" s="38"/>
      <c r="S1249" s="52"/>
      <c r="T1249" s="4">
        <f>R572*45%</f>
        <v>3029.4</v>
      </c>
      <c r="U1249" s="5"/>
      <c r="V1249" s="4">
        <f>(S1249+T1249)-U1249</f>
        <v>3029.4</v>
      </c>
      <c r="W1249" s="4">
        <f>V1249+AA1248</f>
        <v>416605.285</v>
      </c>
      <c r="X1249" s="3"/>
      <c r="Y1249" s="3"/>
      <c r="Z1249" s="25">
        <f>U1249+Y1249</f>
        <v>0</v>
      </c>
      <c r="AA1249" s="76">
        <f>W1249-Y1249</f>
        <v>416605.285</v>
      </c>
      <c r="AB1249" s="9" t="s">
        <v>11</v>
      </c>
      <c r="AC1249" s="19">
        <v>45920</v>
      </c>
      <c r="AD1249" s="41"/>
      <c r="AE1249" s="42"/>
      <c r="AF1249" s="4">
        <f>AD572-H1249-T1249</f>
        <v>5568.6</v>
      </c>
      <c r="AG1249" s="3"/>
      <c r="AH1249" s="8"/>
      <c r="AI1249" s="4">
        <f>(AE1249+AF1249)-AH1249</f>
        <v>5568.6</v>
      </c>
      <c r="AJ1249" s="4">
        <f>AI1249+BP1248</f>
        <v>-361155.4655</v>
      </c>
      <c r="AK1249" s="8"/>
      <c r="AL1249" s="8"/>
      <c r="AM1249" s="47"/>
      <c r="AN1249" s="47"/>
      <c r="AO1249" s="8"/>
      <c r="AP1249" s="8"/>
      <c r="AQ1249" s="47"/>
      <c r="AR1249" s="47"/>
      <c r="AS1249" s="8"/>
      <c r="AT1249" s="8"/>
      <c r="AU1249" s="47"/>
      <c r="AV1249" s="47"/>
      <c r="AW1249" s="8"/>
      <c r="AX1249" s="8"/>
      <c r="AY1249" s="47"/>
      <c r="AZ1249" s="47"/>
      <c r="BA1249" s="8"/>
      <c r="BB1249" s="8"/>
      <c r="BC1249" s="47"/>
      <c r="BD1249" s="47"/>
      <c r="BE1249" s="8"/>
      <c r="BF1249" s="8"/>
      <c r="BG1249" s="47"/>
      <c r="BH1249" s="47"/>
      <c r="BI1249" s="8"/>
      <c r="BJ1249" s="3"/>
      <c r="BK1249" s="47"/>
      <c r="BL1249" s="47"/>
      <c r="BM1249" s="46"/>
      <c r="BN1249" s="46"/>
      <c r="BO1249" s="24">
        <f>AL1249+AN1249+AP1249+AR1249+AT1249+AV1249+AX1249+AZ1249+BB1249+BD1249+BF1249+BH1249+BJ1249+BL1249+BN1249</f>
        <v>0</v>
      </c>
      <c r="BP1249" s="28">
        <f>AJ1249-BO1249</f>
        <v>-361155.4655</v>
      </c>
      <c r="BQ1249" s="2">
        <v>45920</v>
      </c>
    </row>
    <row r="1250" spans="1:73">
      <c r="D1250" s="9" t="s">
        <v>12</v>
      </c>
      <c r="E1250" s="2">
        <v>45921</v>
      </c>
      <c r="F1250" s="38"/>
      <c r="G1250" s="126"/>
      <c r="H1250" s="4">
        <f>F573*50%</f>
        <v>1866.5</v>
      </c>
      <c r="I1250" s="120"/>
      <c r="J1250" s="4">
        <f>(G1250+H1250)-I1250</f>
        <v>1866.5</v>
      </c>
      <c r="K1250" s="4">
        <f>J1250+O1249</f>
        <v>557469.015</v>
      </c>
      <c r="L1250" s="3"/>
      <c r="M1250" s="3"/>
      <c r="N1250" s="33">
        <f>I1250+M1250</f>
        <v>0</v>
      </c>
      <c r="O1250" s="28">
        <f>K1250-M1250</f>
        <v>557469.015</v>
      </c>
      <c r="P1250" s="9" t="s">
        <v>12</v>
      </c>
      <c r="Q1250" s="2">
        <v>45921</v>
      </c>
      <c r="R1250" s="38"/>
      <c r="S1250" s="52"/>
      <c r="T1250" s="4">
        <f>R573*45%</f>
        <v>3029.85</v>
      </c>
      <c r="U1250" s="5"/>
      <c r="V1250" s="4">
        <f>(S1250+T1250)-U1250</f>
        <v>3029.85</v>
      </c>
      <c r="W1250" s="4">
        <f>V1250+AA1249</f>
        <v>419635.135</v>
      </c>
      <c r="X1250" s="3"/>
      <c r="Y1250" s="3"/>
      <c r="Z1250" s="25">
        <f>U1250+Y1250</f>
        <v>0</v>
      </c>
      <c r="AA1250" s="76">
        <f>W1250-Y1250</f>
        <v>419635.135</v>
      </c>
      <c r="AB1250" s="9" t="s">
        <v>12</v>
      </c>
      <c r="AC1250" s="19">
        <v>45921</v>
      </c>
      <c r="AD1250" s="41"/>
      <c r="AE1250" s="42"/>
      <c r="AF1250" s="4">
        <f>AD573-H1250-T1250</f>
        <v>5569.65</v>
      </c>
      <c r="AG1250" s="3"/>
      <c r="AH1250" s="8"/>
      <c r="AI1250" s="4">
        <f>(AE1250+AF1250)-AH1250</f>
        <v>5569.65</v>
      </c>
      <c r="AJ1250" s="4">
        <f>AI1250+BP1249</f>
        <v>-355585.8155</v>
      </c>
      <c r="AK1250" s="8"/>
      <c r="AL1250" s="8"/>
      <c r="AM1250" s="47"/>
      <c r="AN1250" s="47"/>
      <c r="AO1250" s="8"/>
      <c r="AP1250" s="8"/>
      <c r="AQ1250" s="47"/>
      <c r="AR1250" s="47"/>
      <c r="AS1250" s="8"/>
      <c r="AT1250" s="8"/>
      <c r="AU1250" s="47"/>
      <c r="AV1250" s="47"/>
      <c r="AW1250" s="8"/>
      <c r="AX1250" s="8"/>
      <c r="AY1250" s="47"/>
      <c r="AZ1250" s="47"/>
      <c r="BA1250" s="8"/>
      <c r="BB1250" s="8"/>
      <c r="BC1250" s="47"/>
      <c r="BD1250" s="47"/>
      <c r="BE1250" s="8"/>
      <c r="BF1250" s="8"/>
      <c r="BG1250" s="47"/>
      <c r="BH1250" s="47"/>
      <c r="BI1250" s="8"/>
      <c r="BJ1250" s="3"/>
      <c r="BK1250" s="47"/>
      <c r="BL1250" s="47"/>
      <c r="BM1250" s="46"/>
      <c r="BN1250" s="46"/>
      <c r="BO1250" s="24">
        <f>AL1250+AN1250+AP1250+AR1250+AT1250+AV1250+AX1250+AZ1250+BB1250+BD1250+BF1250+BH1250+BJ1250+BL1250+BN1250</f>
        <v>0</v>
      </c>
      <c r="BP1250" s="28">
        <f>AJ1250-BO1250</f>
        <v>-355585.8155</v>
      </c>
      <c r="BQ1250" s="2">
        <v>45921</v>
      </c>
    </row>
    <row r="1251" spans="1:73">
      <c r="D1251" s="9" t="s">
        <v>13</v>
      </c>
      <c r="E1251" s="2">
        <v>45922</v>
      </c>
      <c r="F1251" s="38"/>
      <c r="G1251" s="126"/>
      <c r="H1251" s="4">
        <f>F574*50%</f>
        <v>1867</v>
      </c>
      <c r="I1251" s="120"/>
      <c r="J1251" s="4">
        <f>(G1251+H1251)-I1251</f>
        <v>1867</v>
      </c>
      <c r="K1251" s="4">
        <f>J1251+O1250</f>
        <v>559336.015</v>
      </c>
      <c r="L1251" s="3"/>
      <c r="M1251" s="3"/>
      <c r="N1251" s="33">
        <f>I1251+M1251</f>
        <v>0</v>
      </c>
      <c r="O1251" s="28">
        <f>K1251-M1251</f>
        <v>559336.015</v>
      </c>
      <c r="P1251" s="9" t="s">
        <v>13</v>
      </c>
      <c r="Q1251" s="2">
        <v>45922</v>
      </c>
      <c r="R1251" s="38"/>
      <c r="S1251" s="52"/>
      <c r="T1251" s="4">
        <f>R574*45%</f>
        <v>3030.3</v>
      </c>
      <c r="U1251" s="5"/>
      <c r="V1251" s="4">
        <f>(S1251+T1251)-U1251</f>
        <v>3030.3</v>
      </c>
      <c r="W1251" s="4">
        <f>V1251+AA1250</f>
        <v>422665.435</v>
      </c>
      <c r="X1251" s="3"/>
      <c r="Y1251" s="3"/>
      <c r="Z1251" s="25">
        <f>U1251+Y1251</f>
        <v>0</v>
      </c>
      <c r="AA1251" s="76">
        <f>W1251-Y1251</f>
        <v>422665.435</v>
      </c>
      <c r="AB1251" s="9" t="s">
        <v>13</v>
      </c>
      <c r="AC1251" s="19">
        <v>45922</v>
      </c>
      <c r="AD1251" s="41"/>
      <c r="AE1251" s="42"/>
      <c r="AF1251" s="4">
        <f>AD574-H1251-T1251</f>
        <v>5570.7</v>
      </c>
      <c r="AG1251" s="3"/>
      <c r="AH1251" s="8"/>
      <c r="AI1251" s="4">
        <f>(AE1251+AF1251)-AH1251</f>
        <v>5570.7</v>
      </c>
      <c r="AJ1251" s="4">
        <f>AI1251+BP1250</f>
        <v>-350015.1155</v>
      </c>
      <c r="AK1251" s="8"/>
      <c r="AL1251" s="8"/>
      <c r="AM1251" s="47"/>
      <c r="AN1251" s="47"/>
      <c r="AO1251" s="8"/>
      <c r="AP1251" s="8"/>
      <c r="AQ1251" s="47"/>
      <c r="AR1251" s="47"/>
      <c r="AS1251" s="8"/>
      <c r="AT1251" s="8"/>
      <c r="AU1251" s="47"/>
      <c r="AV1251" s="47"/>
      <c r="AW1251" s="8"/>
      <c r="AX1251" s="8"/>
      <c r="AY1251" s="47"/>
      <c r="AZ1251" s="47"/>
      <c r="BA1251" s="8"/>
      <c r="BB1251" s="8"/>
      <c r="BC1251" s="47"/>
      <c r="BD1251" s="47"/>
      <c r="BE1251" s="8"/>
      <c r="BF1251" s="8"/>
      <c r="BG1251" s="47"/>
      <c r="BH1251" s="47"/>
      <c r="BI1251" s="8"/>
      <c r="BJ1251" s="3"/>
      <c r="BK1251" s="47"/>
      <c r="BL1251" s="47"/>
      <c r="BM1251" s="46"/>
      <c r="BN1251" s="46"/>
      <c r="BO1251" s="24">
        <f>AL1251+AN1251+AP1251+AR1251+AT1251+AV1251+AX1251+AZ1251+BB1251+BD1251+BF1251+BH1251+BJ1251+BL1251+BN1251</f>
        <v>0</v>
      </c>
      <c r="BP1251" s="28">
        <f>AJ1251-BO1251</f>
        <v>-350015.1155</v>
      </c>
      <c r="BQ1251" s="2">
        <v>45922</v>
      </c>
    </row>
    <row r="1252" spans="1:73">
      <c r="D1252" s="9" t="s">
        <v>14</v>
      </c>
      <c r="E1252" s="2">
        <v>45923</v>
      </c>
      <c r="F1252" s="38"/>
      <c r="G1252" s="126"/>
      <c r="H1252" s="4">
        <f>F575*50%</f>
        <v>1867.5</v>
      </c>
      <c r="I1252" s="120"/>
      <c r="J1252" s="4">
        <f>(G1252+H1252)-I1252</f>
        <v>1867.5</v>
      </c>
      <c r="K1252" s="4">
        <f>J1252+O1251</f>
        <v>561203.515</v>
      </c>
      <c r="L1252" s="3"/>
      <c r="M1252" s="3"/>
      <c r="N1252" s="33">
        <f>I1252+M1252</f>
        <v>0</v>
      </c>
      <c r="O1252" s="28">
        <f>K1252-M1252</f>
        <v>561203.515</v>
      </c>
      <c r="P1252" s="9" t="s">
        <v>14</v>
      </c>
      <c r="Q1252" s="2">
        <v>45923</v>
      </c>
      <c r="R1252" s="38"/>
      <c r="S1252" s="52"/>
      <c r="T1252" s="4">
        <f>R575*45%</f>
        <v>3030.75</v>
      </c>
      <c r="U1252" s="5"/>
      <c r="V1252" s="4">
        <f>(S1252+T1252)-U1252</f>
        <v>3030.75</v>
      </c>
      <c r="W1252" s="4">
        <f>V1252+AA1251</f>
        <v>425696.185</v>
      </c>
      <c r="X1252" s="3"/>
      <c r="Y1252" s="3"/>
      <c r="Z1252" s="25">
        <f>U1252+Y1252</f>
        <v>0</v>
      </c>
      <c r="AA1252" s="76">
        <f>W1252-Y1252</f>
        <v>425696.185</v>
      </c>
      <c r="AB1252" s="9" t="s">
        <v>14</v>
      </c>
      <c r="AC1252" s="19">
        <v>45923</v>
      </c>
      <c r="AD1252" s="41"/>
      <c r="AE1252" s="42"/>
      <c r="AF1252" s="4">
        <f>AD575-H1252-T1252</f>
        <v>5571.75</v>
      </c>
      <c r="AG1252" s="3"/>
      <c r="AH1252" s="8"/>
      <c r="AI1252" s="4">
        <f>(AE1252+AF1252)-AH1252</f>
        <v>5571.75</v>
      </c>
      <c r="AJ1252" s="4">
        <f>AI1252+BP1251</f>
        <v>-344443.3655</v>
      </c>
      <c r="AK1252" s="8"/>
      <c r="AL1252" s="8"/>
      <c r="AM1252" s="47"/>
      <c r="AN1252" s="47"/>
      <c r="AO1252" s="8"/>
      <c r="AP1252" s="8"/>
      <c r="AQ1252" s="47"/>
      <c r="AR1252" s="47"/>
      <c r="AS1252" s="8"/>
      <c r="AT1252" s="8"/>
      <c r="AU1252" s="47"/>
      <c r="AV1252" s="47"/>
      <c r="AW1252" s="8"/>
      <c r="AX1252" s="8"/>
      <c r="AY1252" s="47"/>
      <c r="AZ1252" s="47"/>
      <c r="BA1252" s="8"/>
      <c r="BB1252" s="8"/>
      <c r="BC1252" s="47"/>
      <c r="BD1252" s="47"/>
      <c r="BE1252" s="8"/>
      <c r="BF1252" s="8"/>
      <c r="BG1252" s="47"/>
      <c r="BH1252" s="47"/>
      <c r="BI1252" s="8"/>
      <c r="BJ1252" s="3"/>
      <c r="BK1252" s="47"/>
      <c r="BL1252" s="47"/>
      <c r="BM1252" s="46"/>
      <c r="BN1252" s="46"/>
      <c r="BO1252" s="24">
        <f>AL1252+AN1252+AP1252+AR1252+AT1252+AV1252+AX1252+AZ1252+BB1252+BD1252+BF1252+BH1252+BJ1252+BL1252+BN1252</f>
        <v>0</v>
      </c>
      <c r="BP1252" s="28">
        <f>AJ1252-BO1252</f>
        <v>-344443.3655</v>
      </c>
      <c r="BQ1252" s="2">
        <v>45923</v>
      </c>
    </row>
    <row r="1253" spans="1:73">
      <c r="D1253" s="9" t="s">
        <v>15</v>
      </c>
      <c r="E1253" s="2">
        <v>45924</v>
      </c>
      <c r="F1253" s="38"/>
      <c r="G1253" s="126"/>
      <c r="H1253" s="4">
        <f>F576*50%</f>
        <v>1868</v>
      </c>
      <c r="I1253" s="120"/>
      <c r="J1253" s="4">
        <f>(G1253+H1253)-I1253</f>
        <v>1868</v>
      </c>
      <c r="K1253" s="4">
        <f>J1253+O1252</f>
        <v>563071.515</v>
      </c>
      <c r="L1253" s="3"/>
      <c r="M1253" s="3"/>
      <c r="N1253" s="33">
        <f>I1253+M1253</f>
        <v>0</v>
      </c>
      <c r="O1253" s="28">
        <f>K1253-M1253</f>
        <v>563071.515</v>
      </c>
      <c r="P1253" s="9" t="s">
        <v>15</v>
      </c>
      <c r="Q1253" s="2">
        <v>45924</v>
      </c>
      <c r="R1253" s="38"/>
      <c r="S1253" s="52"/>
      <c r="T1253" s="4">
        <f>R576*45%</f>
        <v>3031.2</v>
      </c>
      <c r="U1253" s="5"/>
      <c r="V1253" s="4">
        <f>(S1253+T1253)-U1253</f>
        <v>3031.2</v>
      </c>
      <c r="W1253" s="4">
        <f>V1253+AA1252</f>
        <v>428727.385</v>
      </c>
      <c r="X1253" s="3"/>
      <c r="Y1253" s="3"/>
      <c r="Z1253" s="25">
        <f>U1253+Y1253</f>
        <v>0</v>
      </c>
      <c r="AA1253" s="76">
        <f>W1253-Y1253</f>
        <v>428727.385</v>
      </c>
      <c r="AB1253" s="9" t="s">
        <v>15</v>
      </c>
      <c r="AC1253" s="19">
        <v>45924</v>
      </c>
      <c r="AD1253" s="41"/>
      <c r="AE1253" s="42"/>
      <c r="AF1253" s="4">
        <f>AD576-H1253-T1253</f>
        <v>5572.8</v>
      </c>
      <c r="AG1253" s="3"/>
      <c r="AH1253" s="8"/>
      <c r="AI1253" s="4">
        <f>(AE1253+AF1253)-AH1253</f>
        <v>5572.8</v>
      </c>
      <c r="AJ1253" s="4">
        <f>AI1253+BP1252</f>
        <v>-338870.5655</v>
      </c>
      <c r="AK1253" s="8"/>
      <c r="AL1253" s="8"/>
      <c r="AM1253" s="47"/>
      <c r="AN1253" s="47"/>
      <c r="AO1253" s="8"/>
      <c r="AP1253" s="8"/>
      <c r="AQ1253" s="47"/>
      <c r="AR1253" s="47"/>
      <c r="AS1253" s="8"/>
      <c r="AT1253" s="8"/>
      <c r="AU1253" s="47"/>
      <c r="AV1253" s="47"/>
      <c r="AW1253" s="8"/>
      <c r="AX1253" s="8"/>
      <c r="AY1253" s="47"/>
      <c r="AZ1253" s="47"/>
      <c r="BA1253" s="8"/>
      <c r="BB1253" s="8"/>
      <c r="BC1253" s="47"/>
      <c r="BD1253" s="47"/>
      <c r="BE1253" s="8"/>
      <c r="BF1253" s="8"/>
      <c r="BG1253" s="47"/>
      <c r="BH1253" s="47"/>
      <c r="BI1253" s="8"/>
      <c r="BJ1253" s="3"/>
      <c r="BK1253" s="47"/>
      <c r="BL1253" s="47"/>
      <c r="BM1253" s="46"/>
      <c r="BN1253" s="46"/>
      <c r="BO1253" s="24">
        <f>AL1253+AN1253+AP1253+AR1253+AT1253+AV1253+AX1253+AZ1253+BB1253+BD1253+BF1253+BH1253+BJ1253+BL1253+BN1253</f>
        <v>0</v>
      </c>
      <c r="BP1253" s="28">
        <f>AJ1253-BO1253</f>
        <v>-338870.5655</v>
      </c>
      <c r="BQ1253" s="2">
        <v>45924</v>
      </c>
    </row>
    <row r="1254" spans="1:73">
      <c r="D1254" s="9" t="s">
        <v>16</v>
      </c>
      <c r="E1254" s="2">
        <v>45925</v>
      </c>
      <c r="F1254" s="38"/>
      <c r="G1254" s="126"/>
      <c r="H1254" s="4">
        <f>F577*50%</f>
        <v>1868.5</v>
      </c>
      <c r="I1254" s="120"/>
      <c r="J1254" s="4">
        <f>(G1254+H1254)-I1254</f>
        <v>1868.5</v>
      </c>
      <c r="K1254" s="4">
        <f>J1254+O1253</f>
        <v>564940.015</v>
      </c>
      <c r="L1254" s="3"/>
      <c r="M1254" s="3"/>
      <c r="N1254" s="33">
        <f>I1254+M1254</f>
        <v>0</v>
      </c>
      <c r="O1254" s="28">
        <f>K1254-M1254</f>
        <v>564940.015</v>
      </c>
      <c r="P1254" s="9" t="s">
        <v>16</v>
      </c>
      <c r="Q1254" s="2">
        <v>45925</v>
      </c>
      <c r="R1254" s="38"/>
      <c r="S1254" s="52"/>
      <c r="T1254" s="4">
        <f>R577*45%</f>
        <v>3031.65</v>
      </c>
      <c r="U1254" s="5"/>
      <c r="V1254" s="4">
        <f>(S1254+T1254)-U1254</f>
        <v>3031.65</v>
      </c>
      <c r="W1254" s="4">
        <f>V1254+AA1253</f>
        <v>431759.035</v>
      </c>
      <c r="X1254" s="3"/>
      <c r="Y1254" s="3"/>
      <c r="Z1254" s="25">
        <f>U1254+Y1254</f>
        <v>0</v>
      </c>
      <c r="AA1254" s="76">
        <f>W1254-Y1254</f>
        <v>431759.035</v>
      </c>
      <c r="AB1254" s="9" t="s">
        <v>16</v>
      </c>
      <c r="AC1254" s="19">
        <v>45925</v>
      </c>
      <c r="AD1254" s="41"/>
      <c r="AE1254" s="42"/>
      <c r="AF1254" s="4">
        <f>AD577-H1254-T1254</f>
        <v>5573.85</v>
      </c>
      <c r="AG1254" s="3"/>
      <c r="AH1254" s="8"/>
      <c r="AI1254" s="4">
        <f>(AE1254+AF1254)-AH1254</f>
        <v>5573.85</v>
      </c>
      <c r="AJ1254" s="4">
        <f>AI1254+BP1253</f>
        <v>-333296.7155</v>
      </c>
      <c r="AK1254" s="8"/>
      <c r="AL1254" s="8"/>
      <c r="AM1254" s="47"/>
      <c r="AN1254" s="47"/>
      <c r="AO1254" s="8"/>
      <c r="AP1254" s="8"/>
      <c r="AQ1254" s="47"/>
      <c r="AR1254" s="47"/>
      <c r="AS1254" s="8"/>
      <c r="AT1254" s="8"/>
      <c r="AU1254" s="47"/>
      <c r="AV1254" s="47"/>
      <c r="AW1254" s="8"/>
      <c r="AX1254" s="8"/>
      <c r="AY1254" s="47"/>
      <c r="AZ1254" s="47"/>
      <c r="BA1254" s="8"/>
      <c r="BB1254" s="8"/>
      <c r="BC1254" s="47"/>
      <c r="BD1254" s="47"/>
      <c r="BE1254" s="8"/>
      <c r="BF1254" s="8"/>
      <c r="BG1254" s="47"/>
      <c r="BH1254" s="47"/>
      <c r="BI1254" s="8"/>
      <c r="BJ1254" s="3"/>
      <c r="BK1254" s="47"/>
      <c r="BL1254" s="47"/>
      <c r="BM1254" s="46"/>
      <c r="BN1254" s="46"/>
      <c r="BO1254" s="24">
        <f>AL1254+AN1254+AP1254+AR1254+AT1254+AV1254+AX1254+AZ1254+BB1254+BD1254+BF1254+BH1254+BJ1254+BL1254+BN1254</f>
        <v>0</v>
      </c>
      <c r="BP1254" s="28">
        <f>AJ1254-BO1254</f>
        <v>-333296.7155</v>
      </c>
      <c r="BQ1254" s="2">
        <v>45925</v>
      </c>
    </row>
    <row r="1255" spans="1:73">
      <c r="D1255" s="9" t="s">
        <v>10</v>
      </c>
      <c r="E1255" s="2">
        <v>45926</v>
      </c>
      <c r="F1255" s="38"/>
      <c r="G1255" s="126"/>
      <c r="H1255" s="4">
        <f>F578*50%</f>
        <v>1869</v>
      </c>
      <c r="I1255" s="120"/>
      <c r="J1255" s="4">
        <f>(G1255+H1255)-I1255</f>
        <v>1869</v>
      </c>
      <c r="K1255" s="4">
        <f>J1255+O1254</f>
        <v>566809.015</v>
      </c>
      <c r="L1255" s="3"/>
      <c r="M1255" s="3"/>
      <c r="N1255" s="33">
        <f>I1255+M1255</f>
        <v>0</v>
      </c>
      <c r="O1255" s="28">
        <f>K1255-M1255</f>
        <v>566809.015</v>
      </c>
      <c r="P1255" s="9" t="s">
        <v>10</v>
      </c>
      <c r="Q1255" s="2">
        <v>45926</v>
      </c>
      <c r="R1255" s="38"/>
      <c r="S1255" s="52"/>
      <c r="T1255" s="4">
        <f>R578*45%</f>
        <v>3032.1</v>
      </c>
      <c r="U1255" s="5"/>
      <c r="V1255" s="4">
        <f>(S1255+T1255)-U1255</f>
        <v>3032.1</v>
      </c>
      <c r="W1255" s="4">
        <f>V1255+AA1254</f>
        <v>434791.135</v>
      </c>
      <c r="X1255" s="3"/>
      <c r="Y1255" s="3"/>
      <c r="Z1255" s="25">
        <f>U1255+Y1255</f>
        <v>0</v>
      </c>
      <c r="AA1255" s="76">
        <f>W1255-Y1255</f>
        <v>434791.135</v>
      </c>
      <c r="AB1255" s="9" t="s">
        <v>10</v>
      </c>
      <c r="AC1255" s="19">
        <v>45926</v>
      </c>
      <c r="AD1255" s="41"/>
      <c r="AE1255" s="42"/>
      <c r="AF1255" s="4">
        <f>AD578-H1255-T1255</f>
        <v>5574.9</v>
      </c>
      <c r="AG1255" s="3"/>
      <c r="AH1255" s="8"/>
      <c r="AI1255" s="4">
        <f>(AE1255+AF1255)-AH1255</f>
        <v>5574.9</v>
      </c>
      <c r="AJ1255" s="4">
        <f>AI1255+BP1254</f>
        <v>-327721.8155</v>
      </c>
      <c r="AK1255" s="8"/>
      <c r="AL1255" s="8"/>
      <c r="AM1255" s="47"/>
      <c r="AN1255" s="47"/>
      <c r="AO1255" s="8"/>
      <c r="AP1255" s="8"/>
      <c r="AQ1255" s="47"/>
      <c r="AR1255" s="47"/>
      <c r="AS1255" s="8"/>
      <c r="AT1255" s="8"/>
      <c r="AU1255" s="47"/>
      <c r="AV1255" s="47"/>
      <c r="AW1255" s="8"/>
      <c r="AX1255" s="8"/>
      <c r="AY1255" s="47"/>
      <c r="AZ1255" s="47"/>
      <c r="BA1255" s="8"/>
      <c r="BB1255" s="8"/>
      <c r="BC1255" s="47"/>
      <c r="BD1255" s="47"/>
      <c r="BE1255" s="8"/>
      <c r="BF1255" s="8"/>
      <c r="BG1255" s="47"/>
      <c r="BH1255" s="47"/>
      <c r="BI1255" s="8"/>
      <c r="BJ1255" s="3"/>
      <c r="BK1255" s="47"/>
      <c r="BL1255" s="47"/>
      <c r="BM1255" s="46"/>
      <c r="BN1255" s="46"/>
      <c r="BO1255" s="24">
        <f>AL1255+AN1255+AP1255+AR1255+AT1255+AV1255+AX1255+AZ1255+BB1255+BD1255+BF1255+BH1255+BJ1255+BL1255+BN1255</f>
        <v>0</v>
      </c>
      <c r="BP1255" s="28">
        <f>AJ1255-BO1255</f>
        <v>-327721.8155</v>
      </c>
      <c r="BQ1255" s="2">
        <v>45926</v>
      </c>
    </row>
    <row r="1256" spans="1:73">
      <c r="D1256" s="9" t="s">
        <v>11</v>
      </c>
      <c r="E1256" s="2">
        <v>45927</v>
      </c>
      <c r="F1256" s="38"/>
      <c r="G1256" s="126"/>
      <c r="H1256" s="4">
        <f>F579*50%</f>
        <v>1869.5</v>
      </c>
      <c r="I1256" s="120"/>
      <c r="J1256" s="4">
        <f>(G1256+H1256)-I1256</f>
        <v>1869.5</v>
      </c>
      <c r="K1256" s="4">
        <f>J1256+O1255</f>
        <v>568678.515</v>
      </c>
      <c r="L1256" s="3"/>
      <c r="M1256" s="3"/>
      <c r="N1256" s="33">
        <f>I1256+M1256</f>
        <v>0</v>
      </c>
      <c r="O1256" s="28">
        <f>K1256-M1256</f>
        <v>568678.515</v>
      </c>
      <c r="P1256" s="9" t="s">
        <v>11</v>
      </c>
      <c r="Q1256" s="2">
        <v>45927</v>
      </c>
      <c r="R1256" s="38"/>
      <c r="S1256" s="52"/>
      <c r="T1256" s="4">
        <f>R579*45%</f>
        <v>3032.55</v>
      </c>
      <c r="U1256" s="5"/>
      <c r="V1256" s="4">
        <f>(S1256+T1256)-U1256</f>
        <v>3032.55</v>
      </c>
      <c r="W1256" s="4">
        <f>V1256+AA1255</f>
        <v>437823.685</v>
      </c>
      <c r="X1256" s="3"/>
      <c r="Y1256" s="3"/>
      <c r="Z1256" s="25">
        <f>U1256+Y1256</f>
        <v>0</v>
      </c>
      <c r="AA1256" s="76">
        <f>W1256-Y1256</f>
        <v>437823.685</v>
      </c>
      <c r="AB1256" s="9" t="s">
        <v>11</v>
      </c>
      <c r="AC1256" s="19">
        <v>45927</v>
      </c>
      <c r="AD1256" s="41"/>
      <c r="AE1256" s="42"/>
      <c r="AF1256" s="4">
        <f>AD579-H1256-T1256</f>
        <v>5575.95</v>
      </c>
      <c r="AG1256" s="3"/>
      <c r="AH1256" s="8"/>
      <c r="AI1256" s="4">
        <f>(AE1256+AF1256)-AH1256</f>
        <v>5575.95</v>
      </c>
      <c r="AJ1256" s="4">
        <f>AI1256+BP1255</f>
        <v>-322145.8655</v>
      </c>
      <c r="AK1256" s="8"/>
      <c r="AL1256" s="8"/>
      <c r="AM1256" s="47"/>
      <c r="AN1256" s="47"/>
      <c r="AO1256" s="8"/>
      <c r="AP1256" s="8"/>
      <c r="AQ1256" s="47"/>
      <c r="AR1256" s="47"/>
      <c r="AS1256" s="8"/>
      <c r="AT1256" s="8"/>
      <c r="AU1256" s="47"/>
      <c r="AV1256" s="47"/>
      <c r="AW1256" s="8"/>
      <c r="AX1256" s="8"/>
      <c r="AY1256" s="47"/>
      <c r="AZ1256" s="47"/>
      <c r="BA1256" s="8"/>
      <c r="BB1256" s="8"/>
      <c r="BC1256" s="47"/>
      <c r="BD1256" s="47"/>
      <c r="BE1256" s="8"/>
      <c r="BF1256" s="8"/>
      <c r="BG1256" s="47"/>
      <c r="BH1256" s="47"/>
      <c r="BI1256" s="8"/>
      <c r="BJ1256" s="3"/>
      <c r="BK1256" s="47"/>
      <c r="BL1256" s="47"/>
      <c r="BM1256" s="46"/>
      <c r="BN1256" s="46"/>
      <c r="BO1256" s="24">
        <f>AL1256+AN1256+AP1256+AR1256+AT1256+AV1256+AX1256+AZ1256+BB1256+BD1256+BF1256+BH1256+BJ1256+BL1256+BN1256</f>
        <v>0</v>
      </c>
      <c r="BP1256" s="28">
        <f>AJ1256-BO1256</f>
        <v>-322145.8655</v>
      </c>
      <c r="BQ1256" s="2">
        <v>45927</v>
      </c>
    </row>
    <row r="1257" spans="1:73">
      <c r="D1257" s="9" t="s">
        <v>12</v>
      </c>
      <c r="E1257" s="2">
        <v>45928</v>
      </c>
      <c r="F1257" s="38"/>
      <c r="G1257" s="126"/>
      <c r="H1257" s="4">
        <f>F580*50%</f>
        <v>1870</v>
      </c>
      <c r="I1257" s="120"/>
      <c r="J1257" s="4">
        <f>(G1257+H1257)-I1257</f>
        <v>1870</v>
      </c>
      <c r="K1257" s="4">
        <f>J1257+O1256</f>
        <v>570548.515</v>
      </c>
      <c r="L1257" s="3"/>
      <c r="M1257" s="3"/>
      <c r="N1257" s="33">
        <f>I1257+M1257</f>
        <v>0</v>
      </c>
      <c r="O1257" s="28">
        <f>K1257-M1257</f>
        <v>570548.515</v>
      </c>
      <c r="P1257" s="9" t="s">
        <v>12</v>
      </c>
      <c r="Q1257" s="2">
        <v>45928</v>
      </c>
      <c r="R1257" s="38"/>
      <c r="S1257" s="52"/>
      <c r="T1257" s="4">
        <f>R580*45%</f>
        <v>3033</v>
      </c>
      <c r="U1257" s="5"/>
      <c r="V1257" s="4">
        <f>(S1257+T1257)-U1257</f>
        <v>3033</v>
      </c>
      <c r="W1257" s="4">
        <f>V1257+AA1256</f>
        <v>440856.685</v>
      </c>
      <c r="X1257" s="3"/>
      <c r="Y1257" s="3"/>
      <c r="Z1257" s="25">
        <f>U1257+Y1257</f>
        <v>0</v>
      </c>
      <c r="AA1257" s="76">
        <f>W1257-Y1257</f>
        <v>440856.685</v>
      </c>
      <c r="AB1257" s="9" t="s">
        <v>12</v>
      </c>
      <c r="AC1257" s="19">
        <v>45928</v>
      </c>
      <c r="AD1257" s="41"/>
      <c r="AE1257" s="42"/>
      <c r="AF1257" s="4">
        <f>AD580-H1257-T1257</f>
        <v>5577</v>
      </c>
      <c r="AG1257" s="3"/>
      <c r="AH1257" s="8"/>
      <c r="AI1257" s="4">
        <f>(AE1257+AF1257)-AH1257</f>
        <v>5577</v>
      </c>
      <c r="AJ1257" s="4">
        <f>AI1257+BP1256</f>
        <v>-316568.8655</v>
      </c>
      <c r="AK1257" s="8"/>
      <c r="AL1257" s="8"/>
      <c r="AM1257" s="47"/>
      <c r="AN1257" s="47"/>
      <c r="AO1257" s="8"/>
      <c r="AP1257" s="8"/>
      <c r="AQ1257" s="47"/>
      <c r="AR1257" s="47"/>
      <c r="AS1257" s="8"/>
      <c r="AT1257" s="8"/>
      <c r="AU1257" s="47"/>
      <c r="AV1257" s="47"/>
      <c r="AW1257" s="8"/>
      <c r="AX1257" s="8"/>
      <c r="AY1257" s="47"/>
      <c r="AZ1257" s="47"/>
      <c r="BA1257" s="8"/>
      <c r="BB1257" s="8"/>
      <c r="BC1257" s="47"/>
      <c r="BD1257" s="47"/>
      <c r="BE1257" s="8"/>
      <c r="BF1257" s="8"/>
      <c r="BG1257" s="47"/>
      <c r="BH1257" s="47"/>
      <c r="BI1257" s="8"/>
      <c r="BJ1257" s="3"/>
      <c r="BK1257" s="47"/>
      <c r="BL1257" s="47"/>
      <c r="BM1257" s="46"/>
      <c r="BN1257" s="46"/>
      <c r="BO1257" s="24">
        <f>AL1257+AN1257+AP1257+AR1257+AT1257+AV1257+AX1257+AZ1257+BB1257+BD1257+BF1257+BH1257+BJ1257+BL1257+BN1257</f>
        <v>0</v>
      </c>
      <c r="BP1257" s="28">
        <f>AJ1257-BO1257</f>
        <v>-316568.8655</v>
      </c>
      <c r="BQ1257" s="2">
        <v>45928</v>
      </c>
    </row>
    <row r="1258" spans="1:73">
      <c r="D1258" s="9" t="s">
        <v>13</v>
      </c>
      <c r="E1258" s="2">
        <v>45929</v>
      </c>
      <c r="F1258" s="38"/>
      <c r="G1258" s="126"/>
      <c r="H1258" s="4">
        <f>F581*50%</f>
        <v>1870.5</v>
      </c>
      <c r="I1258" s="120"/>
      <c r="J1258" s="4">
        <f>(G1258+H1258)-I1258</f>
        <v>1870.5</v>
      </c>
      <c r="K1258" s="4">
        <f>J1258+O1257</f>
        <v>572419.015</v>
      </c>
      <c r="L1258" s="3"/>
      <c r="M1258" s="3"/>
      <c r="N1258" s="33">
        <f>I1258+M1258</f>
        <v>0</v>
      </c>
      <c r="O1258" s="28">
        <f>K1258-M1258</f>
        <v>572419.015</v>
      </c>
      <c r="P1258" s="9" t="s">
        <v>13</v>
      </c>
      <c r="Q1258" s="2">
        <v>45929</v>
      </c>
      <c r="R1258" s="38"/>
      <c r="S1258" s="52"/>
      <c r="T1258" s="4">
        <f>R581*45%</f>
        <v>3033.45</v>
      </c>
      <c r="U1258" s="5"/>
      <c r="V1258" s="4">
        <f>(S1258+T1258)-U1258</f>
        <v>3033.45</v>
      </c>
      <c r="W1258" s="4">
        <f>V1258+AA1257</f>
        <v>443890.135</v>
      </c>
      <c r="X1258" s="3"/>
      <c r="Y1258" s="3"/>
      <c r="Z1258" s="25">
        <f>U1258+Y1258</f>
        <v>0</v>
      </c>
      <c r="AA1258" s="76">
        <f>W1258-Y1258</f>
        <v>443890.135</v>
      </c>
      <c r="AB1258" s="9" t="s">
        <v>13</v>
      </c>
      <c r="AC1258" s="19">
        <v>45929</v>
      </c>
      <c r="AD1258" s="41"/>
      <c r="AE1258" s="42"/>
      <c r="AF1258" s="4">
        <f>AD581-H1258-T1258</f>
        <v>5578.05</v>
      </c>
      <c r="AG1258" s="3"/>
      <c r="AH1258" s="8"/>
      <c r="AI1258" s="4">
        <f>(AE1258+AF1258)-AH1258</f>
        <v>5578.05</v>
      </c>
      <c r="AJ1258" s="4">
        <f>AI1258+BP1257</f>
        <v>-310990.8155</v>
      </c>
      <c r="AK1258" s="8"/>
      <c r="AL1258" s="8"/>
      <c r="AM1258" s="47"/>
      <c r="AN1258" s="47"/>
      <c r="AO1258" s="8"/>
      <c r="AP1258" s="8"/>
      <c r="AQ1258" s="47"/>
      <c r="AR1258" s="47"/>
      <c r="AS1258" s="8"/>
      <c r="AT1258" s="8"/>
      <c r="AU1258" s="47"/>
      <c r="AV1258" s="47"/>
      <c r="AW1258" s="8"/>
      <c r="AX1258" s="8"/>
      <c r="AY1258" s="47"/>
      <c r="AZ1258" s="47"/>
      <c r="BA1258" s="8"/>
      <c r="BB1258" s="8"/>
      <c r="BC1258" s="47"/>
      <c r="BD1258" s="47"/>
      <c r="BE1258" s="8"/>
      <c r="BF1258" s="8"/>
      <c r="BG1258" s="47"/>
      <c r="BH1258" s="47"/>
      <c r="BI1258" s="8"/>
      <c r="BJ1258" s="3"/>
      <c r="BK1258" s="47"/>
      <c r="BL1258" s="47"/>
      <c r="BM1258" s="46"/>
      <c r="BN1258" s="46"/>
      <c r="BO1258" s="24">
        <f>AL1258+AN1258+AP1258+AR1258+AT1258+AV1258+AX1258+AZ1258+BB1258+BD1258+BF1258+BH1258+BJ1258+BL1258+BN1258</f>
        <v>0</v>
      </c>
      <c r="BP1258" s="28">
        <f>AJ1258-BO1258</f>
        <v>-310990.8155</v>
      </c>
      <c r="BQ1258" s="2">
        <v>45929</v>
      </c>
    </row>
    <row r="1259" spans="1:73">
      <c r="D1259" s="9" t="s">
        <v>14</v>
      </c>
      <c r="E1259" s="2">
        <v>45930</v>
      </c>
      <c r="F1259" s="38"/>
      <c r="G1259" s="126"/>
      <c r="H1259" s="4">
        <f>F582*50%</f>
        <v>1871</v>
      </c>
      <c r="I1259" s="120"/>
      <c r="J1259" s="4">
        <f>(G1259+H1259)-I1259</f>
        <v>1871</v>
      </c>
      <c r="K1259" s="4">
        <f>J1259+O1258</f>
        <v>574290.015</v>
      </c>
      <c r="L1259" s="3"/>
      <c r="M1259" s="3"/>
      <c r="N1259" s="33">
        <f>I1259+M1259</f>
        <v>0</v>
      </c>
      <c r="O1259" s="28">
        <f>K1259-M1259</f>
        <v>574290.015</v>
      </c>
      <c r="P1259" s="9" t="s">
        <v>14</v>
      </c>
      <c r="Q1259" s="2">
        <v>45930</v>
      </c>
      <c r="R1259" s="38"/>
      <c r="S1259" s="52"/>
      <c r="T1259" s="4">
        <f>R582*45%</f>
        <v>3033.9</v>
      </c>
      <c r="U1259" s="5"/>
      <c r="V1259" s="4">
        <f>(S1259+T1259)-U1259</f>
        <v>3033.9</v>
      </c>
      <c r="W1259" s="4">
        <f>V1259+AA1258</f>
        <v>446924.035</v>
      </c>
      <c r="X1259" s="3"/>
      <c r="Y1259" s="3"/>
      <c r="Z1259" s="25">
        <f>U1259+Y1259</f>
        <v>0</v>
      </c>
      <c r="AA1259" s="76">
        <f>W1259-Y1259</f>
        <v>446924.035</v>
      </c>
      <c r="AB1259" s="9" t="s">
        <v>14</v>
      </c>
      <c r="AC1259" s="19">
        <v>45930</v>
      </c>
      <c r="AD1259" s="41"/>
      <c r="AE1259" s="42"/>
      <c r="AF1259" s="4">
        <f>AD582-H1259-T1259</f>
        <v>5579.1</v>
      </c>
      <c r="AG1259" s="3"/>
      <c r="AH1259" s="8"/>
      <c r="AI1259" s="4">
        <f>(AE1259+AF1259)-AH1259</f>
        <v>5579.1</v>
      </c>
      <c r="AJ1259" s="4">
        <f>AI1259+BP1258</f>
        <v>-305411.7155</v>
      </c>
      <c r="AK1259" s="8"/>
      <c r="AL1259" s="8"/>
      <c r="AM1259" s="47"/>
      <c r="AN1259" s="47"/>
      <c r="AO1259" s="8"/>
      <c r="AP1259" s="8"/>
      <c r="AQ1259" s="47"/>
      <c r="AR1259" s="47"/>
      <c r="AS1259" s="8"/>
      <c r="AT1259" s="8"/>
      <c r="AU1259" s="47"/>
      <c r="AV1259" s="47"/>
      <c r="AW1259" s="8"/>
      <c r="AX1259" s="8"/>
      <c r="AY1259" s="47"/>
      <c r="AZ1259" s="47"/>
      <c r="BA1259" s="8"/>
      <c r="BB1259" s="8"/>
      <c r="BC1259" s="47"/>
      <c r="BD1259" s="47"/>
      <c r="BE1259" s="8"/>
      <c r="BF1259" s="8"/>
      <c r="BG1259" s="47"/>
      <c r="BH1259" s="47"/>
      <c r="BI1259" s="8"/>
      <c r="BJ1259" s="3"/>
      <c r="BK1259" s="47"/>
      <c r="BL1259" s="47"/>
      <c r="BM1259" s="46"/>
      <c r="BN1259" s="46"/>
      <c r="BO1259" s="24">
        <f>AL1259+AN1259+AP1259+AR1259+AT1259+AV1259+AX1259+AZ1259+BB1259+BD1259+BF1259+BH1259+BJ1259+BL1259+BN1259</f>
        <v>0</v>
      </c>
      <c r="BP1259" s="28">
        <f>AJ1259-BO1259</f>
        <v>-305411.7155</v>
      </c>
      <c r="BQ1259" s="2">
        <v>45930</v>
      </c>
    </row>
    <row r="1260" spans="1:73">
      <c r="D1260" s="9" t="s">
        <v>15</v>
      </c>
      <c r="E1260" s="2">
        <v>45931</v>
      </c>
      <c r="F1260" s="38"/>
      <c r="G1260" s="126"/>
      <c r="H1260" s="4">
        <f>F583*50%</f>
        <v>1871.5</v>
      </c>
      <c r="I1260" s="120"/>
      <c r="J1260" s="4">
        <f>(G1260+H1260)-I1260</f>
        <v>1871.5</v>
      </c>
      <c r="K1260" s="4">
        <f>J1260+O1259</f>
        <v>576161.515</v>
      </c>
      <c r="L1260" s="3"/>
      <c r="M1260" s="3"/>
      <c r="N1260" s="33">
        <f>I1260+M1260</f>
        <v>0</v>
      </c>
      <c r="O1260" s="28">
        <f>K1260-M1260</f>
        <v>576161.515</v>
      </c>
      <c r="P1260" s="9" t="s">
        <v>15</v>
      </c>
      <c r="Q1260" s="2">
        <v>45931</v>
      </c>
      <c r="R1260" s="38"/>
      <c r="S1260" s="52"/>
      <c r="T1260" s="4">
        <f>R583*45%</f>
        <v>3034.35</v>
      </c>
      <c r="U1260" s="5"/>
      <c r="V1260" s="4">
        <f>(S1260+T1260)-U1260</f>
        <v>3034.35</v>
      </c>
      <c r="W1260" s="4">
        <f>V1260+AA1259</f>
        <v>449958.385</v>
      </c>
      <c r="X1260" s="3"/>
      <c r="Y1260" s="3"/>
      <c r="Z1260" s="25">
        <f>U1260+Y1260</f>
        <v>0</v>
      </c>
      <c r="AA1260" s="76">
        <f>W1260-Y1260</f>
        <v>449958.385</v>
      </c>
      <c r="AB1260" s="9" t="s">
        <v>15</v>
      </c>
      <c r="AC1260" s="19">
        <v>45931</v>
      </c>
      <c r="AD1260" s="41"/>
      <c r="AE1260" s="42"/>
      <c r="AF1260" s="4">
        <f>AD583-H1260-T1260</f>
        <v>5580.15</v>
      </c>
      <c r="AG1260" s="3"/>
      <c r="AH1260" s="8"/>
      <c r="AI1260" s="4">
        <f>(AE1260+AF1260)-AH1260</f>
        <v>5580.15</v>
      </c>
      <c r="AJ1260" s="4">
        <f>AI1260+BP1259</f>
        <v>-299831.5655</v>
      </c>
      <c r="AK1260" s="8"/>
      <c r="AL1260" s="8"/>
      <c r="AM1260" s="47"/>
      <c r="AN1260" s="47"/>
      <c r="AO1260" s="8"/>
      <c r="AP1260" s="8"/>
      <c r="AQ1260" s="47"/>
      <c r="AR1260" s="47"/>
      <c r="AS1260" s="8"/>
      <c r="AT1260" s="8"/>
      <c r="AU1260" s="47"/>
      <c r="AV1260" s="47"/>
      <c r="AW1260" s="8"/>
      <c r="AX1260" s="8"/>
      <c r="AY1260" s="47"/>
      <c r="AZ1260" s="47"/>
      <c r="BA1260" s="8"/>
      <c r="BB1260" s="8"/>
      <c r="BC1260" s="47"/>
      <c r="BD1260" s="47"/>
      <c r="BE1260" s="8"/>
      <c r="BF1260" s="8"/>
      <c r="BG1260" s="47"/>
      <c r="BH1260" s="47"/>
      <c r="BI1260" s="8"/>
      <c r="BJ1260" s="3"/>
      <c r="BK1260" s="47"/>
      <c r="BL1260" s="47"/>
      <c r="BM1260" s="46"/>
      <c r="BN1260" s="46"/>
      <c r="BO1260" s="24">
        <f>AL1260+AN1260+AP1260+AR1260+AT1260+AV1260+AX1260+AZ1260+BB1260+BD1260+BF1260+BH1260+BJ1260+BL1260+BN1260</f>
        <v>0</v>
      </c>
      <c r="BP1260" s="28">
        <f>AJ1260-BO1260</f>
        <v>-299831.5655</v>
      </c>
      <c r="BQ1260" s="2">
        <v>45931</v>
      </c>
    </row>
    <row r="1261" spans="1:73">
      <c r="D1261" s="9" t="s">
        <v>16</v>
      </c>
      <c r="E1261" s="2">
        <v>45932</v>
      </c>
      <c r="F1261" s="38"/>
      <c r="G1261" s="126"/>
      <c r="H1261" s="4">
        <f>F584*50%</f>
        <v>1872</v>
      </c>
      <c r="I1261" s="120"/>
      <c r="J1261" s="4">
        <f>(G1261+H1261)-I1261</f>
        <v>1872</v>
      </c>
      <c r="K1261" s="4">
        <f>J1261+O1260</f>
        <v>578033.515</v>
      </c>
      <c r="L1261" s="3"/>
      <c r="M1261" s="3"/>
      <c r="N1261" s="33">
        <f>I1261+M1261</f>
        <v>0</v>
      </c>
      <c r="O1261" s="28">
        <f>K1261-M1261</f>
        <v>578033.515</v>
      </c>
      <c r="P1261" s="9" t="s">
        <v>16</v>
      </c>
      <c r="Q1261" s="2">
        <v>45932</v>
      </c>
      <c r="R1261" s="38"/>
      <c r="S1261" s="52"/>
      <c r="T1261" s="4">
        <f>R584*45%</f>
        <v>3034.8</v>
      </c>
      <c r="U1261" s="5"/>
      <c r="V1261" s="4">
        <f>(S1261+T1261)-U1261</f>
        <v>3034.8</v>
      </c>
      <c r="W1261" s="4">
        <f>V1261+AA1260</f>
        <v>452993.185</v>
      </c>
      <c r="X1261" s="3"/>
      <c r="Y1261" s="3"/>
      <c r="Z1261" s="25">
        <f>U1261+Y1261</f>
        <v>0</v>
      </c>
      <c r="AA1261" s="76">
        <f>W1261-Y1261</f>
        <v>452993.185</v>
      </c>
      <c r="AB1261" s="9" t="s">
        <v>16</v>
      </c>
      <c r="AC1261" s="19">
        <v>45932</v>
      </c>
      <c r="AD1261" s="41"/>
      <c r="AE1261" s="42"/>
      <c r="AF1261" s="4">
        <f>AD584-H1261-T1261</f>
        <v>5581.2</v>
      </c>
      <c r="AG1261" s="3"/>
      <c r="AH1261" s="8"/>
      <c r="AI1261" s="4">
        <f>(AE1261+AF1261)-AH1261</f>
        <v>5581.2</v>
      </c>
      <c r="AJ1261" s="4">
        <f>AI1261+BP1260</f>
        <v>-294250.3655</v>
      </c>
      <c r="AK1261" s="8"/>
      <c r="AL1261" s="8"/>
      <c r="AM1261" s="47"/>
      <c r="AN1261" s="47"/>
      <c r="AO1261" s="8"/>
      <c r="AP1261" s="8"/>
      <c r="AQ1261" s="47"/>
      <c r="AR1261" s="47"/>
      <c r="AS1261" s="8"/>
      <c r="AT1261" s="8"/>
      <c r="AU1261" s="47"/>
      <c r="AV1261" s="47"/>
      <c r="AW1261" s="8"/>
      <c r="AX1261" s="8"/>
      <c r="AY1261" s="47"/>
      <c r="AZ1261" s="47"/>
      <c r="BA1261" s="8"/>
      <c r="BB1261" s="8"/>
      <c r="BC1261" s="47"/>
      <c r="BD1261" s="47"/>
      <c r="BE1261" s="8"/>
      <c r="BF1261" s="8"/>
      <c r="BG1261" s="47"/>
      <c r="BH1261" s="47"/>
      <c r="BI1261" s="8"/>
      <c r="BJ1261" s="3"/>
      <c r="BK1261" s="47"/>
      <c r="BL1261" s="47"/>
      <c r="BM1261" s="46"/>
      <c r="BN1261" s="46"/>
      <c r="BO1261" s="24">
        <f>AL1261+AN1261+AP1261+AR1261+AT1261+AV1261+AX1261+AZ1261+BB1261+BD1261+BF1261+BH1261+BJ1261+BL1261+BN1261</f>
        <v>0</v>
      </c>
      <c r="BP1261" s="28">
        <f>AJ1261-BO1261</f>
        <v>-294250.3655</v>
      </c>
      <c r="BQ1261" s="2">
        <v>45932</v>
      </c>
    </row>
    <row r="1262" spans="1:73">
      <c r="D1262" s="9" t="s">
        <v>10</v>
      </c>
      <c r="E1262" s="2">
        <v>45933</v>
      </c>
      <c r="F1262" s="38"/>
      <c r="G1262" s="126"/>
      <c r="H1262" s="4">
        <f>F585*50%</f>
        <v>1872.5</v>
      </c>
      <c r="I1262" s="120"/>
      <c r="J1262" s="4">
        <f>(G1262+H1262)-I1262</f>
        <v>1872.5</v>
      </c>
      <c r="K1262" s="4">
        <f>J1262+O1261</f>
        <v>579906.015</v>
      </c>
      <c r="L1262" s="3"/>
      <c r="M1262" s="3"/>
      <c r="N1262" s="33">
        <f>I1262+M1262</f>
        <v>0</v>
      </c>
      <c r="O1262" s="28">
        <f>K1262-M1262</f>
        <v>579906.015</v>
      </c>
      <c r="P1262" s="9" t="s">
        <v>10</v>
      </c>
      <c r="Q1262" s="2">
        <v>45933</v>
      </c>
      <c r="R1262" s="38"/>
      <c r="S1262" s="52"/>
      <c r="T1262" s="4">
        <f>R585*45%</f>
        <v>3035.25</v>
      </c>
      <c r="U1262" s="5"/>
      <c r="V1262" s="4">
        <f>(S1262+T1262)-U1262</f>
        <v>3035.25</v>
      </c>
      <c r="W1262" s="4">
        <f>V1262+AA1261</f>
        <v>456028.435</v>
      </c>
      <c r="X1262" s="3"/>
      <c r="Y1262" s="3"/>
      <c r="Z1262" s="25">
        <f>U1262+Y1262</f>
        <v>0</v>
      </c>
      <c r="AA1262" s="76">
        <f>W1262-Y1262</f>
        <v>456028.435</v>
      </c>
      <c r="AB1262" s="9" t="s">
        <v>10</v>
      </c>
      <c r="AC1262" s="19">
        <v>45933</v>
      </c>
      <c r="AD1262" s="41"/>
      <c r="AE1262" s="42"/>
      <c r="AF1262" s="4">
        <f>AD585-H1262-T1262</f>
        <v>5582.25</v>
      </c>
      <c r="AG1262" s="3"/>
      <c r="AH1262" s="8"/>
      <c r="AI1262" s="4">
        <f>(AE1262+AF1262)-AH1262</f>
        <v>5582.25</v>
      </c>
      <c r="AJ1262" s="4">
        <f>AI1262+BP1261</f>
        <v>-288668.1155</v>
      </c>
      <c r="AK1262" s="8"/>
      <c r="AL1262" s="8"/>
      <c r="AM1262" s="47"/>
      <c r="AN1262" s="47"/>
      <c r="AO1262" s="8"/>
      <c r="AP1262" s="8"/>
      <c r="AQ1262" s="47"/>
      <c r="AR1262" s="47"/>
      <c r="AS1262" s="8"/>
      <c r="AT1262" s="8"/>
      <c r="AU1262" s="47"/>
      <c r="AV1262" s="47"/>
      <c r="AW1262" s="8"/>
      <c r="AX1262" s="8"/>
      <c r="AY1262" s="47"/>
      <c r="AZ1262" s="47"/>
      <c r="BA1262" s="8"/>
      <c r="BB1262" s="8"/>
      <c r="BC1262" s="47"/>
      <c r="BD1262" s="47"/>
      <c r="BE1262" s="8"/>
      <c r="BF1262" s="8"/>
      <c r="BG1262" s="47"/>
      <c r="BH1262" s="47"/>
      <c r="BI1262" s="8"/>
      <c r="BJ1262" s="3"/>
      <c r="BK1262" s="47"/>
      <c r="BL1262" s="47"/>
      <c r="BM1262" s="46"/>
      <c r="BN1262" s="46"/>
      <c r="BO1262" s="24">
        <f>AL1262+AN1262+AP1262+AR1262+AT1262+AV1262+AX1262+AZ1262+BB1262+BD1262+BF1262+BH1262+BJ1262+BL1262+BN1262</f>
        <v>0</v>
      </c>
      <c r="BP1262" s="28">
        <f>AJ1262-BO1262</f>
        <v>-288668.1155</v>
      </c>
      <c r="BQ1262" s="2">
        <v>45933</v>
      </c>
    </row>
    <row r="1263" spans="1:73">
      <c r="D1263" s="9" t="s">
        <v>11</v>
      </c>
      <c r="E1263" s="2">
        <v>45934</v>
      </c>
      <c r="F1263" s="38"/>
      <c r="G1263" s="126"/>
      <c r="H1263" s="4">
        <f>F586*50%</f>
        <v>1873</v>
      </c>
      <c r="I1263" s="120"/>
      <c r="J1263" s="4">
        <f>(G1263+H1263)-I1263</f>
        <v>1873</v>
      </c>
      <c r="K1263" s="4">
        <f>J1263+O1262</f>
        <v>581779.015</v>
      </c>
      <c r="L1263" s="3"/>
      <c r="M1263" s="3"/>
      <c r="N1263" s="33">
        <f>I1263+M1263</f>
        <v>0</v>
      </c>
      <c r="O1263" s="28">
        <f>K1263-M1263</f>
        <v>581779.015</v>
      </c>
      <c r="P1263" s="9" t="s">
        <v>11</v>
      </c>
      <c r="Q1263" s="2">
        <v>45934</v>
      </c>
      <c r="R1263" s="38"/>
      <c r="S1263" s="52"/>
      <c r="T1263" s="4">
        <f>R586*45%</f>
        <v>3035.7</v>
      </c>
      <c r="U1263" s="5"/>
      <c r="V1263" s="4">
        <f>(S1263+T1263)-U1263</f>
        <v>3035.7</v>
      </c>
      <c r="W1263" s="4">
        <f>V1263+AA1262</f>
        <v>459064.135</v>
      </c>
      <c r="X1263" s="3"/>
      <c r="Y1263" s="3"/>
      <c r="Z1263" s="25">
        <f>U1263+Y1263</f>
        <v>0</v>
      </c>
      <c r="AA1263" s="76">
        <f>W1263-Y1263</f>
        <v>459064.135</v>
      </c>
      <c r="AB1263" s="9" t="s">
        <v>11</v>
      </c>
      <c r="AC1263" s="19">
        <v>45934</v>
      </c>
      <c r="AD1263" s="41"/>
      <c r="AE1263" s="42"/>
      <c r="AF1263" s="4">
        <f>AD586-H1263-T1263</f>
        <v>5583.3</v>
      </c>
      <c r="AG1263" s="3"/>
      <c r="AH1263" s="8"/>
      <c r="AI1263" s="4">
        <f>(AE1263+AF1263)-AH1263</f>
        <v>5583.3</v>
      </c>
      <c r="AJ1263" s="4">
        <f>AI1263+BP1262</f>
        <v>-283084.8155</v>
      </c>
      <c r="AK1263" s="8"/>
      <c r="AL1263" s="8"/>
      <c r="AM1263" s="47"/>
      <c r="AN1263" s="47"/>
      <c r="AO1263" s="8"/>
      <c r="AP1263" s="8"/>
      <c r="AQ1263" s="47"/>
      <c r="AR1263" s="47"/>
      <c r="AS1263" s="8"/>
      <c r="AT1263" s="8"/>
      <c r="AU1263" s="47"/>
      <c r="AV1263" s="47"/>
      <c r="AW1263" s="8"/>
      <c r="AX1263" s="8"/>
      <c r="AY1263" s="47"/>
      <c r="AZ1263" s="47"/>
      <c r="BA1263" s="8"/>
      <c r="BB1263" s="8"/>
      <c r="BC1263" s="47"/>
      <c r="BD1263" s="47"/>
      <c r="BE1263" s="8"/>
      <c r="BF1263" s="8"/>
      <c r="BG1263" s="47"/>
      <c r="BH1263" s="47"/>
      <c r="BI1263" s="8"/>
      <c r="BJ1263" s="3"/>
      <c r="BK1263" s="47"/>
      <c r="BL1263" s="47"/>
      <c r="BM1263" s="46"/>
      <c r="BN1263" s="46"/>
      <c r="BO1263" s="24">
        <f>AL1263+AN1263+AP1263+AR1263+AT1263+AV1263+AX1263+AZ1263+BB1263+BD1263+BF1263+BH1263+BJ1263+BL1263+BN1263</f>
        <v>0</v>
      </c>
      <c r="BP1263" s="28">
        <f>AJ1263-BO1263</f>
        <v>-283084.8155</v>
      </c>
      <c r="BQ1263" s="2">
        <v>45934</v>
      </c>
    </row>
    <row r="1264" spans="1:73">
      <c r="D1264" s="9" t="s">
        <v>12</v>
      </c>
      <c r="E1264" s="2">
        <v>45935</v>
      </c>
      <c r="F1264" s="38"/>
      <c r="G1264" s="126"/>
      <c r="H1264" s="4">
        <f>F587*50%</f>
        <v>1873.5</v>
      </c>
      <c r="I1264" s="120"/>
      <c r="J1264" s="4">
        <f>(G1264+H1264)-I1264</f>
        <v>1873.5</v>
      </c>
      <c r="K1264" s="4">
        <f>J1264+O1263</f>
        <v>583652.515</v>
      </c>
      <c r="L1264" s="3"/>
      <c r="M1264" s="3"/>
      <c r="N1264" s="33">
        <f>I1264+M1264</f>
        <v>0</v>
      </c>
      <c r="O1264" s="28">
        <f>K1264-M1264</f>
        <v>583652.515</v>
      </c>
      <c r="P1264" s="9" t="s">
        <v>12</v>
      </c>
      <c r="Q1264" s="2">
        <v>45935</v>
      </c>
      <c r="R1264" s="38"/>
      <c r="S1264" s="52"/>
      <c r="T1264" s="4">
        <f>R587*45%</f>
        <v>3036.15</v>
      </c>
      <c r="U1264" s="5"/>
      <c r="V1264" s="4">
        <f>(S1264+T1264)-U1264</f>
        <v>3036.15</v>
      </c>
      <c r="W1264" s="4">
        <f>V1264+AA1263</f>
        <v>462100.285</v>
      </c>
      <c r="X1264" s="3"/>
      <c r="Y1264" s="3"/>
      <c r="Z1264" s="25">
        <f>U1264+Y1264</f>
        <v>0</v>
      </c>
      <c r="AA1264" s="76">
        <f>W1264-Y1264</f>
        <v>462100.285</v>
      </c>
      <c r="AB1264" s="9" t="s">
        <v>12</v>
      </c>
      <c r="AC1264" s="19">
        <v>45935</v>
      </c>
      <c r="AD1264" s="41"/>
      <c r="AE1264" s="42"/>
      <c r="AF1264" s="4">
        <f>AD587-H1264-T1264</f>
        <v>5584.35</v>
      </c>
      <c r="AG1264" s="3"/>
      <c r="AH1264" s="8"/>
      <c r="AI1264" s="4">
        <f>(AE1264+AF1264)-AH1264</f>
        <v>5584.35</v>
      </c>
      <c r="AJ1264" s="4">
        <f>AI1264+BP1263</f>
        <v>-277500.4655</v>
      </c>
      <c r="AK1264" s="8"/>
      <c r="AL1264" s="8"/>
      <c r="AM1264" s="47"/>
      <c r="AN1264" s="47"/>
      <c r="AO1264" s="8"/>
      <c r="AP1264" s="8"/>
      <c r="AQ1264" s="47"/>
      <c r="AR1264" s="47"/>
      <c r="AS1264" s="8"/>
      <c r="AT1264" s="8"/>
      <c r="AU1264" s="47"/>
      <c r="AV1264" s="47"/>
      <c r="AW1264" s="8"/>
      <c r="AX1264" s="8"/>
      <c r="AY1264" s="47"/>
      <c r="AZ1264" s="47"/>
      <c r="BA1264" s="8"/>
      <c r="BB1264" s="8"/>
      <c r="BC1264" s="47"/>
      <c r="BD1264" s="47"/>
      <c r="BE1264" s="8"/>
      <c r="BF1264" s="8"/>
      <c r="BG1264" s="47"/>
      <c r="BH1264" s="47"/>
      <c r="BI1264" s="8"/>
      <c r="BJ1264" s="3"/>
      <c r="BK1264" s="47"/>
      <c r="BL1264" s="47"/>
      <c r="BM1264" s="46"/>
      <c r="BN1264" s="46"/>
      <c r="BO1264" s="24">
        <f>AL1264+AN1264+AP1264+AR1264+AT1264+AV1264+AX1264+AZ1264+BB1264+BD1264+BF1264+BH1264+BJ1264+BL1264+BN1264</f>
        <v>0</v>
      </c>
      <c r="BP1264" s="28">
        <f>AJ1264-BO1264</f>
        <v>-277500.4655</v>
      </c>
      <c r="BQ1264" s="2">
        <v>45935</v>
      </c>
    </row>
    <row r="1265" spans="1:73">
      <c r="D1265" s="9" t="s">
        <v>13</v>
      </c>
      <c r="E1265" s="2">
        <v>45936</v>
      </c>
      <c r="F1265" s="38"/>
      <c r="G1265" s="126"/>
      <c r="H1265" s="4">
        <f>F588*50%</f>
        <v>1874</v>
      </c>
      <c r="I1265" s="120"/>
      <c r="J1265" s="4">
        <f>(G1265+H1265)-I1265</f>
        <v>1874</v>
      </c>
      <c r="K1265" s="4">
        <f>J1265+O1264</f>
        <v>585526.515</v>
      </c>
      <c r="L1265" s="3"/>
      <c r="M1265" s="3"/>
      <c r="N1265" s="33">
        <f>I1265+M1265</f>
        <v>0</v>
      </c>
      <c r="O1265" s="28">
        <f>K1265-M1265</f>
        <v>585526.515</v>
      </c>
      <c r="P1265" s="9" t="s">
        <v>13</v>
      </c>
      <c r="Q1265" s="2">
        <v>45936</v>
      </c>
      <c r="R1265" s="38"/>
      <c r="S1265" s="52"/>
      <c r="T1265" s="4">
        <f>R588*45%</f>
        <v>3036.6</v>
      </c>
      <c r="U1265" s="5"/>
      <c r="V1265" s="4">
        <f>(S1265+T1265)-U1265</f>
        <v>3036.6</v>
      </c>
      <c r="W1265" s="4">
        <f>V1265+AA1264</f>
        <v>465136.885</v>
      </c>
      <c r="X1265" s="3"/>
      <c r="Y1265" s="3"/>
      <c r="Z1265" s="25">
        <f>U1265+Y1265</f>
        <v>0</v>
      </c>
      <c r="AA1265" s="76">
        <f>W1265-Y1265</f>
        <v>465136.885</v>
      </c>
      <c r="AB1265" s="9" t="s">
        <v>13</v>
      </c>
      <c r="AC1265" s="19">
        <v>45936</v>
      </c>
      <c r="AD1265" s="41"/>
      <c r="AE1265" s="42"/>
      <c r="AF1265" s="4">
        <f>AD588-H1265-T1265</f>
        <v>5585.4</v>
      </c>
      <c r="AG1265" s="3"/>
      <c r="AH1265" s="8"/>
      <c r="AI1265" s="4">
        <f>(AE1265+AF1265)-AH1265</f>
        <v>5585.4</v>
      </c>
      <c r="AJ1265" s="4">
        <f>AI1265+BP1264</f>
        <v>-271915.0655</v>
      </c>
      <c r="AK1265" s="8"/>
      <c r="AL1265" s="8"/>
      <c r="AM1265" s="47"/>
      <c r="AN1265" s="47"/>
      <c r="AO1265" s="8"/>
      <c r="AP1265" s="8"/>
      <c r="AQ1265" s="47"/>
      <c r="AR1265" s="47"/>
      <c r="AS1265" s="8"/>
      <c r="AT1265" s="8"/>
      <c r="AU1265" s="47"/>
      <c r="AV1265" s="47"/>
      <c r="AW1265" s="8"/>
      <c r="AX1265" s="8"/>
      <c r="AY1265" s="47"/>
      <c r="AZ1265" s="47"/>
      <c r="BA1265" s="8"/>
      <c r="BB1265" s="8"/>
      <c r="BC1265" s="47"/>
      <c r="BD1265" s="47"/>
      <c r="BE1265" s="8"/>
      <c r="BF1265" s="8"/>
      <c r="BG1265" s="47"/>
      <c r="BH1265" s="47"/>
      <c r="BI1265" s="8"/>
      <c r="BJ1265" s="3"/>
      <c r="BK1265" s="47"/>
      <c r="BL1265" s="47"/>
      <c r="BM1265" s="46"/>
      <c r="BN1265" s="46"/>
      <c r="BO1265" s="24">
        <f>AL1265+AN1265+AP1265+AR1265+AT1265+AV1265+AX1265+AZ1265+BB1265+BD1265+BF1265+BH1265+BJ1265+BL1265+BN1265</f>
        <v>0</v>
      </c>
      <c r="BP1265" s="28">
        <f>AJ1265-BO1265</f>
        <v>-271915.0655</v>
      </c>
      <c r="BQ1265" s="2">
        <v>45936</v>
      </c>
    </row>
    <row r="1266" spans="1:73">
      <c r="D1266" s="9" t="s">
        <v>14</v>
      </c>
      <c r="E1266" s="2">
        <v>45937</v>
      </c>
      <c r="F1266" s="38"/>
      <c r="G1266" s="126"/>
      <c r="H1266" s="4">
        <f>F589*50%</f>
        <v>1874.5</v>
      </c>
      <c r="I1266" s="120"/>
      <c r="J1266" s="4">
        <f>(G1266+H1266)-I1266</f>
        <v>1874.5</v>
      </c>
      <c r="K1266" s="4">
        <f>J1266+O1265</f>
        <v>587401.015</v>
      </c>
      <c r="L1266" s="3"/>
      <c r="M1266" s="3"/>
      <c r="N1266" s="33">
        <f>I1266+M1266</f>
        <v>0</v>
      </c>
      <c r="O1266" s="28">
        <f>K1266-M1266</f>
        <v>587401.015</v>
      </c>
      <c r="P1266" s="9" t="s">
        <v>14</v>
      </c>
      <c r="Q1266" s="2">
        <v>45937</v>
      </c>
      <c r="R1266" s="38"/>
      <c r="S1266" s="52"/>
      <c r="T1266" s="4">
        <f>R589*45%</f>
        <v>3037.05</v>
      </c>
      <c r="U1266" s="5"/>
      <c r="V1266" s="4">
        <f>(S1266+T1266)-U1266</f>
        <v>3037.05</v>
      </c>
      <c r="W1266" s="4">
        <f>V1266+AA1265</f>
        <v>468173.935</v>
      </c>
      <c r="X1266" s="3"/>
      <c r="Y1266" s="3"/>
      <c r="Z1266" s="25">
        <f>U1266+Y1266</f>
        <v>0</v>
      </c>
      <c r="AA1266" s="76">
        <f>W1266-Y1266</f>
        <v>468173.935</v>
      </c>
      <c r="AB1266" s="9" t="s">
        <v>14</v>
      </c>
      <c r="AC1266" s="19">
        <v>45937</v>
      </c>
      <c r="AD1266" s="41"/>
      <c r="AE1266" s="42"/>
      <c r="AF1266" s="4">
        <f>AD589-H1266-T1266</f>
        <v>5586.45</v>
      </c>
      <c r="AG1266" s="3"/>
      <c r="AH1266" s="8"/>
      <c r="AI1266" s="4">
        <f>(AE1266+AF1266)-AH1266</f>
        <v>5586.45</v>
      </c>
      <c r="AJ1266" s="4">
        <f>AI1266+BP1265</f>
        <v>-266328.6155</v>
      </c>
      <c r="AK1266" s="8"/>
      <c r="AL1266" s="8"/>
      <c r="AM1266" s="47"/>
      <c r="AN1266" s="47"/>
      <c r="AO1266" s="8"/>
      <c r="AP1266" s="8"/>
      <c r="AQ1266" s="47"/>
      <c r="AR1266" s="47"/>
      <c r="AS1266" s="8"/>
      <c r="AT1266" s="8"/>
      <c r="AU1266" s="47"/>
      <c r="AV1266" s="47"/>
      <c r="AW1266" s="8"/>
      <c r="AX1266" s="8"/>
      <c r="AY1266" s="47"/>
      <c r="AZ1266" s="47"/>
      <c r="BA1266" s="8"/>
      <c r="BB1266" s="8"/>
      <c r="BC1266" s="47"/>
      <c r="BD1266" s="47"/>
      <c r="BE1266" s="8"/>
      <c r="BF1266" s="8"/>
      <c r="BG1266" s="47"/>
      <c r="BH1266" s="47"/>
      <c r="BI1266" s="8"/>
      <c r="BJ1266" s="3"/>
      <c r="BK1266" s="47"/>
      <c r="BL1266" s="47"/>
      <c r="BM1266" s="46"/>
      <c r="BN1266" s="46"/>
      <c r="BO1266" s="24">
        <f>AL1266+AN1266+AP1266+AR1266+AT1266+AV1266+AX1266+AZ1266+BB1266+BD1266+BF1266+BH1266+BJ1266+BL1266+BN1266</f>
        <v>0</v>
      </c>
      <c r="BP1266" s="28">
        <f>AJ1266-BO1266</f>
        <v>-266328.6155</v>
      </c>
      <c r="BQ1266" s="2">
        <v>45937</v>
      </c>
    </row>
    <row r="1267" spans="1:73">
      <c r="D1267" s="9" t="s">
        <v>15</v>
      </c>
      <c r="E1267" s="2">
        <v>45938</v>
      </c>
      <c r="F1267" s="38"/>
      <c r="G1267" s="126"/>
      <c r="H1267" s="4">
        <f>F590*50%</f>
        <v>1875</v>
      </c>
      <c r="I1267" s="120"/>
      <c r="J1267" s="4">
        <f>(G1267+H1267)-I1267</f>
        <v>1875</v>
      </c>
      <c r="K1267" s="4">
        <f>J1267+O1266</f>
        <v>589276.015</v>
      </c>
      <c r="L1267" s="3"/>
      <c r="M1267" s="3"/>
      <c r="N1267" s="33">
        <f>I1267+M1267</f>
        <v>0</v>
      </c>
      <c r="O1267" s="28">
        <f>K1267-M1267</f>
        <v>589276.015</v>
      </c>
      <c r="P1267" s="9" t="s">
        <v>15</v>
      </c>
      <c r="Q1267" s="2">
        <v>45938</v>
      </c>
      <c r="R1267" s="38"/>
      <c r="S1267" s="52"/>
      <c r="T1267" s="4">
        <f>R590*45%</f>
        <v>3037.5</v>
      </c>
      <c r="U1267" s="5"/>
      <c r="V1267" s="4">
        <f>(S1267+T1267)-U1267</f>
        <v>3037.5</v>
      </c>
      <c r="W1267" s="4">
        <f>V1267+AA1266</f>
        <v>471211.435</v>
      </c>
      <c r="X1267" s="3"/>
      <c r="Y1267" s="3"/>
      <c r="Z1267" s="25">
        <f>U1267+Y1267</f>
        <v>0</v>
      </c>
      <c r="AA1267" s="76">
        <f>W1267-Y1267</f>
        <v>471211.435</v>
      </c>
      <c r="AB1267" s="9" t="s">
        <v>15</v>
      </c>
      <c r="AC1267" s="19">
        <v>45938</v>
      </c>
      <c r="AD1267" s="41"/>
      <c r="AE1267" s="42"/>
      <c r="AF1267" s="4">
        <f>AD590-H1267-T1267</f>
        <v>5587.5</v>
      </c>
      <c r="AG1267" s="3"/>
      <c r="AH1267" s="8"/>
      <c r="AI1267" s="4">
        <f>(AE1267+AF1267)-AH1267</f>
        <v>5587.5</v>
      </c>
      <c r="AJ1267" s="4">
        <f>AI1267+BP1266</f>
        <v>-260741.1155</v>
      </c>
      <c r="AK1267" s="8"/>
      <c r="AL1267" s="8"/>
      <c r="AM1267" s="47"/>
      <c r="AN1267" s="47"/>
      <c r="AO1267" s="8"/>
      <c r="AP1267" s="8"/>
      <c r="AQ1267" s="47"/>
      <c r="AR1267" s="47"/>
      <c r="AS1267" s="8"/>
      <c r="AT1267" s="8"/>
      <c r="AU1267" s="47"/>
      <c r="AV1267" s="47"/>
      <c r="AW1267" s="8"/>
      <c r="AX1267" s="8"/>
      <c r="AY1267" s="47"/>
      <c r="AZ1267" s="47"/>
      <c r="BA1267" s="8"/>
      <c r="BB1267" s="8"/>
      <c r="BC1267" s="47"/>
      <c r="BD1267" s="47"/>
      <c r="BE1267" s="8"/>
      <c r="BF1267" s="8"/>
      <c r="BG1267" s="47"/>
      <c r="BH1267" s="47"/>
      <c r="BI1267" s="8"/>
      <c r="BJ1267" s="3"/>
      <c r="BK1267" s="47"/>
      <c r="BL1267" s="47"/>
      <c r="BM1267" s="46"/>
      <c r="BN1267" s="46"/>
      <c r="BO1267" s="24">
        <f>AL1267+AN1267+AP1267+AR1267+AT1267+AV1267+AX1267+AZ1267+BB1267+BD1267+BF1267+BH1267+BJ1267+BL1267+BN1267</f>
        <v>0</v>
      </c>
      <c r="BP1267" s="28">
        <f>AJ1267-BO1267</f>
        <v>-260741.1155</v>
      </c>
      <c r="BQ1267" s="2">
        <v>45938</v>
      </c>
    </row>
    <row r="1268" spans="1:73">
      <c r="D1268" s="9" t="s">
        <v>16</v>
      </c>
      <c r="E1268" s="2">
        <v>45939</v>
      </c>
      <c r="F1268" s="38"/>
      <c r="G1268" s="126"/>
      <c r="H1268" s="4">
        <f>F591*50%</f>
        <v>1875.5</v>
      </c>
      <c r="I1268" s="120"/>
      <c r="J1268" s="4">
        <f>(G1268+H1268)-I1268</f>
        <v>1875.5</v>
      </c>
      <c r="K1268" s="4">
        <f>J1268+O1267</f>
        <v>591151.515</v>
      </c>
      <c r="L1268" s="3"/>
      <c r="M1268" s="3"/>
      <c r="N1268" s="33">
        <f>I1268+M1268</f>
        <v>0</v>
      </c>
      <c r="O1268" s="28">
        <f>K1268-M1268</f>
        <v>591151.515</v>
      </c>
      <c r="P1268" s="9" t="s">
        <v>16</v>
      </c>
      <c r="Q1268" s="2">
        <v>45939</v>
      </c>
      <c r="R1268" s="38"/>
      <c r="S1268" s="52"/>
      <c r="T1268" s="4">
        <f>R591*45%</f>
        <v>3037.95</v>
      </c>
      <c r="U1268" s="5"/>
      <c r="V1268" s="4">
        <f>(S1268+T1268)-U1268</f>
        <v>3037.95</v>
      </c>
      <c r="W1268" s="4">
        <f>V1268+AA1267</f>
        <v>474249.385</v>
      </c>
      <c r="X1268" s="3"/>
      <c r="Y1268" s="3"/>
      <c r="Z1268" s="25">
        <f>U1268+Y1268</f>
        <v>0</v>
      </c>
      <c r="AA1268" s="76">
        <f>W1268-Y1268</f>
        <v>474249.385</v>
      </c>
      <c r="AB1268" s="9" t="s">
        <v>16</v>
      </c>
      <c r="AC1268" s="19">
        <v>45939</v>
      </c>
      <c r="AD1268" s="41"/>
      <c r="AE1268" s="42"/>
      <c r="AF1268" s="4">
        <f>AD591-H1268-T1268</f>
        <v>5588.55</v>
      </c>
      <c r="AG1268" s="3"/>
      <c r="AH1268" s="8"/>
      <c r="AI1268" s="4">
        <f>(AE1268+AF1268)-AH1268</f>
        <v>5588.55</v>
      </c>
      <c r="AJ1268" s="4">
        <f>AI1268+BP1267</f>
        <v>-255152.5655</v>
      </c>
      <c r="AK1268" s="8"/>
      <c r="AL1268" s="8"/>
      <c r="AM1268" s="47"/>
      <c r="AN1268" s="47"/>
      <c r="AO1268" s="8"/>
      <c r="AP1268" s="8"/>
      <c r="AQ1268" s="47"/>
      <c r="AR1268" s="47"/>
      <c r="AS1268" s="8"/>
      <c r="AT1268" s="8"/>
      <c r="AU1268" s="47"/>
      <c r="AV1268" s="47"/>
      <c r="AW1268" s="8"/>
      <c r="AX1268" s="8"/>
      <c r="AY1268" s="47"/>
      <c r="AZ1268" s="47"/>
      <c r="BA1268" s="8"/>
      <c r="BB1268" s="8"/>
      <c r="BC1268" s="47"/>
      <c r="BD1268" s="47"/>
      <c r="BE1268" s="8"/>
      <c r="BF1268" s="8"/>
      <c r="BG1268" s="47"/>
      <c r="BH1268" s="47"/>
      <c r="BI1268" s="8"/>
      <c r="BJ1268" s="3"/>
      <c r="BK1268" s="47"/>
      <c r="BL1268" s="47"/>
      <c r="BM1268" s="46"/>
      <c r="BN1268" s="46"/>
      <c r="BO1268" s="24">
        <f>AL1268+AN1268+AP1268+AR1268+AT1268+AV1268+AX1268+AZ1268+BB1268+BD1268+BF1268+BH1268+BJ1268+BL1268+BN1268</f>
        <v>0</v>
      </c>
      <c r="BP1268" s="28">
        <f>AJ1268-BO1268</f>
        <v>-255152.5655</v>
      </c>
      <c r="BQ1268" s="2">
        <v>45939</v>
      </c>
    </row>
    <row r="1269" spans="1:73">
      <c r="D1269" s="9" t="s">
        <v>10</v>
      </c>
      <c r="E1269" s="2">
        <v>45940</v>
      </c>
      <c r="F1269" s="38"/>
      <c r="G1269" s="126"/>
      <c r="H1269" s="4">
        <f>F592*50%</f>
        <v>1876</v>
      </c>
      <c r="I1269" s="120"/>
      <c r="J1269" s="4">
        <f>(G1269+H1269)-I1269</f>
        <v>1876</v>
      </c>
      <c r="K1269" s="4">
        <f>J1269+O1268</f>
        <v>593027.515</v>
      </c>
      <c r="L1269" s="3"/>
      <c r="M1269" s="3"/>
      <c r="N1269" s="33">
        <f>I1269+M1269</f>
        <v>0</v>
      </c>
      <c r="O1269" s="28">
        <f>K1269-M1269</f>
        <v>593027.515</v>
      </c>
      <c r="P1269" s="9" t="s">
        <v>10</v>
      </c>
      <c r="Q1269" s="2">
        <v>45940</v>
      </c>
      <c r="R1269" s="38"/>
      <c r="S1269" s="52"/>
      <c r="T1269" s="4">
        <f>R592*45%</f>
        <v>3038.4</v>
      </c>
      <c r="U1269" s="5"/>
      <c r="V1269" s="4">
        <f>(S1269+T1269)-U1269</f>
        <v>3038.4</v>
      </c>
      <c r="W1269" s="4">
        <f>V1269+AA1268</f>
        <v>477287.785</v>
      </c>
      <c r="X1269" s="3"/>
      <c r="Y1269" s="3"/>
      <c r="Z1269" s="25">
        <f>U1269+Y1269</f>
        <v>0</v>
      </c>
      <c r="AA1269" s="76">
        <f>W1269-Y1269</f>
        <v>477287.785</v>
      </c>
      <c r="AB1269" s="9" t="s">
        <v>10</v>
      </c>
      <c r="AC1269" s="19">
        <v>45940</v>
      </c>
      <c r="AD1269" s="41"/>
      <c r="AE1269" s="42"/>
      <c r="AF1269" s="4">
        <f>AD592-H1269-T1269</f>
        <v>5589.6</v>
      </c>
      <c r="AG1269" s="3"/>
      <c r="AH1269" s="8"/>
      <c r="AI1269" s="4">
        <f>(AE1269+AF1269)-AH1269</f>
        <v>5589.6</v>
      </c>
      <c r="AJ1269" s="4">
        <f>AI1269+BP1268</f>
        <v>-249562.9655</v>
      </c>
      <c r="AK1269" s="8"/>
      <c r="AL1269" s="8"/>
      <c r="AM1269" s="47"/>
      <c r="AN1269" s="47"/>
      <c r="AO1269" s="8"/>
      <c r="AP1269" s="8"/>
      <c r="AQ1269" s="47"/>
      <c r="AR1269" s="47"/>
      <c r="AS1269" s="8"/>
      <c r="AT1269" s="8"/>
      <c r="AU1269" s="47"/>
      <c r="AV1269" s="47"/>
      <c r="AW1269" s="8"/>
      <c r="AX1269" s="8"/>
      <c r="AY1269" s="47"/>
      <c r="AZ1269" s="47"/>
      <c r="BA1269" s="8"/>
      <c r="BB1269" s="8"/>
      <c r="BC1269" s="47"/>
      <c r="BD1269" s="47"/>
      <c r="BE1269" s="8"/>
      <c r="BF1269" s="8"/>
      <c r="BG1269" s="47"/>
      <c r="BH1269" s="47"/>
      <c r="BI1269" s="8"/>
      <c r="BJ1269" s="3"/>
      <c r="BK1269" s="47"/>
      <c r="BL1269" s="47"/>
      <c r="BM1269" s="46"/>
      <c r="BN1269" s="46"/>
      <c r="BO1269" s="24">
        <f>AL1269+AN1269+AP1269+AR1269+AT1269+AV1269+AX1269+AZ1269+BB1269+BD1269+BF1269+BH1269+BJ1269+BL1269+BN1269</f>
        <v>0</v>
      </c>
      <c r="BP1269" s="28">
        <f>AJ1269-BO1269</f>
        <v>-249562.9655</v>
      </c>
      <c r="BQ1269" s="2">
        <v>45940</v>
      </c>
    </row>
    <row r="1270" spans="1:73">
      <c r="D1270" s="9" t="s">
        <v>11</v>
      </c>
      <c r="E1270" s="2">
        <v>45941</v>
      </c>
      <c r="F1270" s="38"/>
      <c r="G1270" s="126"/>
      <c r="H1270" s="4">
        <f>F593*50%</f>
        <v>1876.5</v>
      </c>
      <c r="I1270" s="120"/>
      <c r="J1270" s="4">
        <f>(G1270+H1270)-I1270</f>
        <v>1876.5</v>
      </c>
      <c r="K1270" s="4">
        <f>J1270+O1269</f>
        <v>594904.015</v>
      </c>
      <c r="L1270" s="3"/>
      <c r="M1270" s="3"/>
      <c r="N1270" s="33">
        <f>I1270+M1270</f>
        <v>0</v>
      </c>
      <c r="O1270" s="28">
        <f>K1270-M1270</f>
        <v>594904.015</v>
      </c>
      <c r="P1270" s="9" t="s">
        <v>11</v>
      </c>
      <c r="Q1270" s="2">
        <v>45941</v>
      </c>
      <c r="R1270" s="38"/>
      <c r="S1270" s="52"/>
      <c r="T1270" s="4">
        <f>R593*45%</f>
        <v>3038.85</v>
      </c>
      <c r="U1270" s="5"/>
      <c r="V1270" s="4">
        <f>(S1270+T1270)-U1270</f>
        <v>3038.85</v>
      </c>
      <c r="W1270" s="4">
        <f>V1270+AA1269</f>
        <v>480326.635</v>
      </c>
      <c r="X1270" s="3"/>
      <c r="Y1270" s="3"/>
      <c r="Z1270" s="25">
        <f>U1270+Y1270</f>
        <v>0</v>
      </c>
      <c r="AA1270" s="76">
        <f>W1270-Y1270</f>
        <v>480326.635</v>
      </c>
      <c r="AB1270" s="9" t="s">
        <v>11</v>
      </c>
      <c r="AC1270" s="19">
        <v>45941</v>
      </c>
      <c r="AD1270" s="41"/>
      <c r="AE1270" s="42"/>
      <c r="AF1270" s="4">
        <f>AD593-H1270-T1270</f>
        <v>5590.65</v>
      </c>
      <c r="AG1270" s="3"/>
      <c r="AH1270" s="8"/>
      <c r="AI1270" s="4">
        <f>(AE1270+AF1270)-AH1270</f>
        <v>5590.65</v>
      </c>
      <c r="AJ1270" s="4">
        <f>AI1270+BP1269</f>
        <v>-243972.3155</v>
      </c>
      <c r="AK1270" s="8"/>
      <c r="AL1270" s="8"/>
      <c r="AM1270" s="47"/>
      <c r="AN1270" s="47"/>
      <c r="AO1270" s="8"/>
      <c r="AP1270" s="8"/>
      <c r="AQ1270" s="47"/>
      <c r="AR1270" s="47"/>
      <c r="AS1270" s="8"/>
      <c r="AT1270" s="8"/>
      <c r="AU1270" s="47"/>
      <c r="AV1270" s="47"/>
      <c r="AW1270" s="8"/>
      <c r="AX1270" s="8"/>
      <c r="AY1270" s="47"/>
      <c r="AZ1270" s="47"/>
      <c r="BA1270" s="8"/>
      <c r="BB1270" s="8"/>
      <c r="BC1270" s="47"/>
      <c r="BD1270" s="47"/>
      <c r="BE1270" s="8"/>
      <c r="BF1270" s="8"/>
      <c r="BG1270" s="47"/>
      <c r="BH1270" s="47"/>
      <c r="BI1270" s="8"/>
      <c r="BJ1270" s="3"/>
      <c r="BK1270" s="47"/>
      <c r="BL1270" s="47"/>
      <c r="BM1270" s="46"/>
      <c r="BN1270" s="46"/>
      <c r="BO1270" s="24">
        <f>AL1270+AN1270+AP1270+AR1270+AT1270+AV1270+AX1270+AZ1270+BB1270+BD1270+BF1270+BH1270+BJ1270+BL1270+BN1270</f>
        <v>0</v>
      </c>
      <c r="BP1270" s="28">
        <f>AJ1270-BO1270</f>
        <v>-243972.3155</v>
      </c>
      <c r="BQ1270" s="2">
        <v>45941</v>
      </c>
    </row>
    <row r="1271" spans="1:73">
      <c r="D1271" s="9" t="s">
        <v>12</v>
      </c>
      <c r="E1271" s="2">
        <v>45942</v>
      </c>
      <c r="F1271" s="38"/>
      <c r="G1271" s="126"/>
      <c r="H1271" s="4">
        <f>F594*50%</f>
        <v>1877</v>
      </c>
      <c r="I1271" s="120"/>
      <c r="J1271" s="4">
        <f>(G1271+H1271)-I1271</f>
        <v>1877</v>
      </c>
      <c r="K1271" s="4">
        <f>J1271+O1270</f>
        <v>596781.015</v>
      </c>
      <c r="L1271" s="3"/>
      <c r="M1271" s="3"/>
      <c r="N1271" s="33">
        <f>I1271+M1271</f>
        <v>0</v>
      </c>
      <c r="O1271" s="28">
        <f>K1271-M1271</f>
        <v>596781.015</v>
      </c>
      <c r="P1271" s="9" t="s">
        <v>12</v>
      </c>
      <c r="Q1271" s="2">
        <v>45942</v>
      </c>
      <c r="R1271" s="38"/>
      <c r="S1271" s="52"/>
      <c r="T1271" s="4">
        <f>R594*45%</f>
        <v>3039.3</v>
      </c>
      <c r="U1271" s="5"/>
      <c r="V1271" s="4">
        <f>(S1271+T1271)-U1271</f>
        <v>3039.3</v>
      </c>
      <c r="W1271" s="4">
        <f>V1271+AA1270</f>
        <v>483365.935</v>
      </c>
      <c r="X1271" s="3"/>
      <c r="Y1271" s="3"/>
      <c r="Z1271" s="25">
        <f>U1271+Y1271</f>
        <v>0</v>
      </c>
      <c r="AA1271" s="76">
        <f>W1271-Y1271</f>
        <v>483365.935</v>
      </c>
      <c r="AB1271" s="9" t="s">
        <v>12</v>
      </c>
      <c r="AC1271" s="19">
        <v>45942</v>
      </c>
      <c r="AD1271" s="41"/>
      <c r="AE1271" s="42"/>
      <c r="AF1271" s="4">
        <f>AD594-H1271-T1271</f>
        <v>5591.7</v>
      </c>
      <c r="AG1271" s="3"/>
      <c r="AH1271" s="8"/>
      <c r="AI1271" s="4">
        <f>(AE1271+AF1271)-AH1271</f>
        <v>5591.7</v>
      </c>
      <c r="AJ1271" s="4">
        <f>AI1271+BP1270</f>
        <v>-238380.6155</v>
      </c>
      <c r="AK1271" s="8"/>
      <c r="AL1271" s="8"/>
      <c r="AM1271" s="47"/>
      <c r="AN1271" s="47"/>
      <c r="AO1271" s="8"/>
      <c r="AP1271" s="8"/>
      <c r="AQ1271" s="47"/>
      <c r="AR1271" s="47"/>
      <c r="AS1271" s="8"/>
      <c r="AT1271" s="8"/>
      <c r="AU1271" s="47"/>
      <c r="AV1271" s="47"/>
      <c r="AW1271" s="8"/>
      <c r="AX1271" s="8"/>
      <c r="AY1271" s="47"/>
      <c r="AZ1271" s="47"/>
      <c r="BA1271" s="8"/>
      <c r="BB1271" s="8"/>
      <c r="BC1271" s="47"/>
      <c r="BD1271" s="47"/>
      <c r="BE1271" s="8"/>
      <c r="BF1271" s="8"/>
      <c r="BG1271" s="47"/>
      <c r="BH1271" s="47"/>
      <c r="BI1271" s="8"/>
      <c r="BJ1271" s="3"/>
      <c r="BK1271" s="47"/>
      <c r="BL1271" s="47"/>
      <c r="BM1271" s="46"/>
      <c r="BN1271" s="46"/>
      <c r="BO1271" s="24">
        <f>AL1271+AN1271+AP1271+AR1271+AT1271+AV1271+AX1271+AZ1271+BB1271+BD1271+BF1271+BH1271+BJ1271+BL1271+BN1271</f>
        <v>0</v>
      </c>
      <c r="BP1271" s="28">
        <f>AJ1271-BO1271</f>
        <v>-238380.6155</v>
      </c>
      <c r="BQ1271" s="2">
        <v>45942</v>
      </c>
    </row>
    <row r="1272" spans="1:73">
      <c r="D1272" s="9" t="s">
        <v>13</v>
      </c>
      <c r="E1272" s="2">
        <v>45943</v>
      </c>
      <c r="F1272" s="38"/>
      <c r="G1272" s="126"/>
      <c r="H1272" s="4">
        <f>F595*50%</f>
        <v>1877.5</v>
      </c>
      <c r="I1272" s="120"/>
      <c r="J1272" s="4">
        <f>(G1272+H1272)-I1272</f>
        <v>1877.5</v>
      </c>
      <c r="K1272" s="4">
        <f>J1272+O1271</f>
        <v>598658.515</v>
      </c>
      <c r="L1272" s="3"/>
      <c r="M1272" s="3"/>
      <c r="N1272" s="33">
        <f>I1272+M1272</f>
        <v>0</v>
      </c>
      <c r="O1272" s="28">
        <f>K1272-M1272</f>
        <v>598658.515</v>
      </c>
      <c r="P1272" s="9" t="s">
        <v>13</v>
      </c>
      <c r="Q1272" s="2">
        <v>45943</v>
      </c>
      <c r="R1272" s="38"/>
      <c r="S1272" s="52"/>
      <c r="T1272" s="4">
        <f>R595*45%</f>
        <v>3039.75</v>
      </c>
      <c r="U1272" s="5"/>
      <c r="V1272" s="4">
        <f>(S1272+T1272)-U1272</f>
        <v>3039.75</v>
      </c>
      <c r="W1272" s="4">
        <f>V1272+AA1271</f>
        <v>486405.685</v>
      </c>
      <c r="X1272" s="3"/>
      <c r="Y1272" s="3"/>
      <c r="Z1272" s="25">
        <f>U1272+Y1272</f>
        <v>0</v>
      </c>
      <c r="AA1272" s="76">
        <f>W1272-Y1272</f>
        <v>486405.685</v>
      </c>
      <c r="AB1272" s="9" t="s">
        <v>13</v>
      </c>
      <c r="AC1272" s="19">
        <v>45943</v>
      </c>
      <c r="AD1272" s="41"/>
      <c r="AE1272" s="42"/>
      <c r="AF1272" s="4">
        <f>AD595-H1272-T1272</f>
        <v>5592.75</v>
      </c>
      <c r="AG1272" s="3"/>
      <c r="AH1272" s="8"/>
      <c r="AI1272" s="4">
        <f>(AE1272+AF1272)-AH1272</f>
        <v>5592.75</v>
      </c>
      <c r="AJ1272" s="4">
        <f>AI1272+BP1271</f>
        <v>-232787.8655</v>
      </c>
      <c r="AK1272" s="8"/>
      <c r="AL1272" s="8"/>
      <c r="AM1272" s="47"/>
      <c r="AN1272" s="47"/>
      <c r="AO1272" s="8"/>
      <c r="AP1272" s="8"/>
      <c r="AQ1272" s="47"/>
      <c r="AR1272" s="47"/>
      <c r="AS1272" s="8"/>
      <c r="AT1272" s="8"/>
      <c r="AU1272" s="47"/>
      <c r="AV1272" s="47"/>
      <c r="AW1272" s="8"/>
      <c r="AX1272" s="8"/>
      <c r="AY1272" s="47"/>
      <c r="AZ1272" s="47"/>
      <c r="BA1272" s="8"/>
      <c r="BB1272" s="8"/>
      <c r="BC1272" s="47"/>
      <c r="BD1272" s="47"/>
      <c r="BE1272" s="8"/>
      <c r="BF1272" s="8"/>
      <c r="BG1272" s="47"/>
      <c r="BH1272" s="47"/>
      <c r="BI1272" s="8"/>
      <c r="BJ1272" s="3"/>
      <c r="BK1272" s="47"/>
      <c r="BL1272" s="47"/>
      <c r="BM1272" s="46"/>
      <c r="BN1272" s="46"/>
      <c r="BO1272" s="24">
        <f>AL1272+AN1272+AP1272+AR1272+AT1272+AV1272+AX1272+AZ1272+BB1272+BD1272+BF1272+BH1272+BJ1272+BL1272+BN1272</f>
        <v>0</v>
      </c>
      <c r="BP1272" s="28">
        <f>AJ1272-BO1272</f>
        <v>-232787.8655</v>
      </c>
      <c r="BQ1272" s="2">
        <v>45943</v>
      </c>
    </row>
    <row r="1273" spans="1:73">
      <c r="D1273" s="9" t="s">
        <v>14</v>
      </c>
      <c r="E1273" s="2">
        <v>45944</v>
      </c>
      <c r="F1273" s="38"/>
      <c r="G1273" s="126"/>
      <c r="H1273" s="4">
        <f>F596*50%</f>
        <v>1878</v>
      </c>
      <c r="I1273" s="120"/>
      <c r="J1273" s="4">
        <f>(G1273+H1273)-I1273</f>
        <v>1878</v>
      </c>
      <c r="K1273" s="4">
        <f>J1273+O1272</f>
        <v>600536.515</v>
      </c>
      <c r="L1273" s="3"/>
      <c r="M1273" s="3"/>
      <c r="N1273" s="33">
        <f>I1273+M1273</f>
        <v>0</v>
      </c>
      <c r="O1273" s="28">
        <f>K1273-M1273</f>
        <v>600536.515</v>
      </c>
      <c r="P1273" s="9" t="s">
        <v>14</v>
      </c>
      <c r="Q1273" s="2">
        <v>45944</v>
      </c>
      <c r="R1273" s="38"/>
      <c r="S1273" s="52"/>
      <c r="T1273" s="4">
        <f>R596*45%</f>
        <v>3040.2</v>
      </c>
      <c r="U1273" s="5"/>
      <c r="V1273" s="4">
        <f>(S1273+T1273)-U1273</f>
        <v>3040.2</v>
      </c>
      <c r="W1273" s="4">
        <f>V1273+AA1272</f>
        <v>489445.885</v>
      </c>
      <c r="X1273" s="3"/>
      <c r="Y1273" s="3"/>
      <c r="Z1273" s="25">
        <f>U1273+Y1273</f>
        <v>0</v>
      </c>
      <c r="AA1273" s="76">
        <f>W1273-Y1273</f>
        <v>489445.885</v>
      </c>
      <c r="AB1273" s="9" t="s">
        <v>14</v>
      </c>
      <c r="AC1273" s="19">
        <v>45944</v>
      </c>
      <c r="AD1273" s="41"/>
      <c r="AE1273" s="42"/>
      <c r="AF1273" s="4">
        <f>AD596-H1273-T1273</f>
        <v>5593.8</v>
      </c>
      <c r="AG1273" s="3"/>
      <c r="AH1273" s="8"/>
      <c r="AI1273" s="4">
        <f>(AE1273+AF1273)-AH1273</f>
        <v>5593.8</v>
      </c>
      <c r="AJ1273" s="4">
        <f>AI1273+BP1272</f>
        <v>-227194.0655</v>
      </c>
      <c r="AK1273" s="8"/>
      <c r="AL1273" s="8"/>
      <c r="AM1273" s="47"/>
      <c r="AN1273" s="47"/>
      <c r="AO1273" s="8"/>
      <c r="AP1273" s="8"/>
      <c r="AQ1273" s="47"/>
      <c r="AR1273" s="47"/>
      <c r="AS1273" s="8"/>
      <c r="AT1273" s="8"/>
      <c r="AU1273" s="47"/>
      <c r="AV1273" s="47"/>
      <c r="AW1273" s="8"/>
      <c r="AX1273" s="8"/>
      <c r="AY1273" s="47"/>
      <c r="AZ1273" s="47"/>
      <c r="BA1273" s="8"/>
      <c r="BB1273" s="8"/>
      <c r="BC1273" s="47"/>
      <c r="BD1273" s="47"/>
      <c r="BE1273" s="8"/>
      <c r="BF1273" s="8"/>
      <c r="BG1273" s="47"/>
      <c r="BH1273" s="47"/>
      <c r="BI1273" s="8"/>
      <c r="BJ1273" s="3"/>
      <c r="BK1273" s="47"/>
      <c r="BL1273" s="47"/>
      <c r="BM1273" s="46"/>
      <c r="BN1273" s="46"/>
      <c r="BO1273" s="24">
        <f>AL1273+AN1273+AP1273+AR1273+AT1273+AV1273+AX1273+AZ1273+BB1273+BD1273+BF1273+BH1273+BJ1273+BL1273+BN1273</f>
        <v>0</v>
      </c>
      <c r="BP1273" s="28">
        <f>AJ1273-BO1273</f>
        <v>-227194.0655</v>
      </c>
      <c r="BQ1273" s="2">
        <v>45944</v>
      </c>
    </row>
    <row r="1274" spans="1:73">
      <c r="D1274" s="9" t="s">
        <v>15</v>
      </c>
      <c r="E1274" s="2">
        <v>45945</v>
      </c>
      <c r="F1274" s="38"/>
      <c r="G1274" s="126"/>
      <c r="H1274" s="4">
        <f>F597*50%</f>
        <v>1878.5</v>
      </c>
      <c r="I1274" s="120"/>
      <c r="J1274" s="4">
        <f>(G1274+H1274)-I1274</f>
        <v>1878.5</v>
      </c>
      <c r="K1274" s="4">
        <f>J1274+O1273</f>
        <v>602415.015</v>
      </c>
      <c r="L1274" s="113" t="s">
        <v>397</v>
      </c>
      <c r="M1274" s="3">
        <v>5190</v>
      </c>
      <c r="N1274" s="33">
        <f>I1274+M1274</f>
        <v>5190</v>
      </c>
      <c r="O1274" s="28">
        <f>K1274-M1274</f>
        <v>597225.015</v>
      </c>
      <c r="P1274" s="9" t="s">
        <v>15</v>
      </c>
      <c r="Q1274" s="2">
        <v>45945</v>
      </c>
      <c r="R1274" s="38"/>
      <c r="S1274" s="52"/>
      <c r="T1274" s="4">
        <f>R597*45%</f>
        <v>3040.65</v>
      </c>
      <c r="U1274" s="5"/>
      <c r="V1274" s="4">
        <f>(S1274+T1274)-U1274</f>
        <v>3040.65</v>
      </c>
      <c r="W1274" s="4">
        <f>V1274+AA1273</f>
        <v>492486.535</v>
      </c>
      <c r="X1274" s="3"/>
      <c r="Y1274" s="3"/>
      <c r="Z1274" s="25">
        <f>U1274+Y1274</f>
        <v>0</v>
      </c>
      <c r="AA1274" s="76">
        <f>W1274-Y1274</f>
        <v>492486.535</v>
      </c>
      <c r="AB1274" s="9" t="s">
        <v>15</v>
      </c>
      <c r="AC1274" s="19">
        <v>45945</v>
      </c>
      <c r="AD1274" s="41"/>
      <c r="AE1274" s="42"/>
      <c r="AF1274" s="4">
        <f>AD597-H1274-T1274</f>
        <v>5594.85</v>
      </c>
      <c r="AG1274" s="3"/>
      <c r="AH1274" s="8"/>
      <c r="AI1274" s="4">
        <f>(AE1274+AF1274)-AH1274</f>
        <v>5594.85</v>
      </c>
      <c r="AJ1274" s="4">
        <f>AI1274+BP1273</f>
        <v>-221599.2155</v>
      </c>
      <c r="AK1274" s="8"/>
      <c r="AL1274" s="8"/>
      <c r="AM1274" s="47"/>
      <c r="AN1274" s="47"/>
      <c r="AO1274" s="8"/>
      <c r="AP1274" s="8"/>
      <c r="AQ1274" s="47"/>
      <c r="AR1274" s="47"/>
      <c r="AS1274" s="8"/>
      <c r="AT1274" s="8"/>
      <c r="AU1274" s="47"/>
      <c r="AV1274" s="47"/>
      <c r="AW1274" s="8"/>
      <c r="AX1274" s="8"/>
      <c r="AY1274" s="47"/>
      <c r="AZ1274" s="47"/>
      <c r="BA1274" s="8"/>
      <c r="BB1274" s="8"/>
      <c r="BC1274" s="47"/>
      <c r="BD1274" s="47"/>
      <c r="BE1274" s="8"/>
      <c r="BF1274" s="8"/>
      <c r="BG1274" s="47"/>
      <c r="BH1274" s="47"/>
      <c r="BI1274" s="8"/>
      <c r="BJ1274" s="3"/>
      <c r="BK1274" s="47"/>
      <c r="BL1274" s="47"/>
      <c r="BM1274" s="46"/>
      <c r="BN1274" s="46"/>
      <c r="BO1274" s="24">
        <f>AL1274+AN1274+AP1274+AR1274+AT1274+AV1274+AX1274+AZ1274+BB1274+BD1274+BF1274+BH1274+BJ1274+BL1274+BN1274</f>
        <v>0</v>
      </c>
      <c r="BP1274" s="28">
        <f>AJ1274-BO1274</f>
        <v>-221599.2155</v>
      </c>
      <c r="BQ1274" s="2">
        <v>45945</v>
      </c>
    </row>
    <row r="1275" spans="1:73">
      <c r="D1275" s="9" t="s">
        <v>16</v>
      </c>
      <c r="E1275" s="2">
        <v>45946</v>
      </c>
      <c r="F1275" s="38"/>
      <c r="G1275" s="126"/>
      <c r="H1275" s="4">
        <f>F598*50%</f>
        <v>1879</v>
      </c>
      <c r="I1275" s="120"/>
      <c r="J1275" s="4">
        <f>(G1275+H1275)-I1275</f>
        <v>1879</v>
      </c>
      <c r="K1275" s="4">
        <f>J1275+O1274</f>
        <v>599104.015</v>
      </c>
      <c r="L1275" s="3"/>
      <c r="M1275" s="3"/>
      <c r="N1275" s="33">
        <f>I1275+M1275</f>
        <v>0</v>
      </c>
      <c r="O1275" s="28">
        <f>K1275-M1275</f>
        <v>599104.015</v>
      </c>
      <c r="P1275" s="9" t="s">
        <v>16</v>
      </c>
      <c r="Q1275" s="2">
        <v>45946</v>
      </c>
      <c r="R1275" s="38"/>
      <c r="S1275" s="52"/>
      <c r="T1275" s="4">
        <f>R598*45%</f>
        <v>3041.1</v>
      </c>
      <c r="U1275" s="5"/>
      <c r="V1275" s="4">
        <f>(S1275+T1275)-U1275</f>
        <v>3041.1</v>
      </c>
      <c r="W1275" s="4">
        <f>V1275+AA1274</f>
        <v>495527.635</v>
      </c>
      <c r="X1275" s="3"/>
      <c r="Y1275" s="3"/>
      <c r="Z1275" s="25">
        <f>U1275+Y1275</f>
        <v>0</v>
      </c>
      <c r="AA1275" s="76">
        <f>W1275-Y1275</f>
        <v>495527.635</v>
      </c>
      <c r="AB1275" s="9" t="s">
        <v>16</v>
      </c>
      <c r="AC1275" s="19">
        <v>45946</v>
      </c>
      <c r="AD1275" s="41"/>
      <c r="AE1275" s="42"/>
      <c r="AF1275" s="4">
        <f>AD598-H1275-T1275</f>
        <v>5595.9</v>
      </c>
      <c r="AG1275" s="3"/>
      <c r="AH1275" s="8"/>
      <c r="AI1275" s="4">
        <f>(AE1275+AF1275)-AH1275</f>
        <v>5595.9</v>
      </c>
      <c r="AJ1275" s="4">
        <f>AI1275+BP1274</f>
        <v>-216003.3155</v>
      </c>
      <c r="AK1275" s="8"/>
      <c r="AL1275" s="8"/>
      <c r="AM1275" s="47"/>
      <c r="AN1275" s="47"/>
      <c r="AO1275" s="8"/>
      <c r="AP1275" s="8"/>
      <c r="AQ1275" s="47"/>
      <c r="AR1275" s="47"/>
      <c r="AS1275" s="8"/>
      <c r="AT1275" s="8"/>
      <c r="AU1275" s="47"/>
      <c r="AV1275" s="47"/>
      <c r="AW1275" s="8"/>
      <c r="AX1275" s="8"/>
      <c r="AY1275" s="47"/>
      <c r="AZ1275" s="47"/>
      <c r="BA1275" s="8"/>
      <c r="BB1275" s="8"/>
      <c r="BC1275" s="47"/>
      <c r="BD1275" s="47"/>
      <c r="BE1275" s="8"/>
      <c r="BF1275" s="8"/>
      <c r="BG1275" s="47"/>
      <c r="BH1275" s="47"/>
      <c r="BI1275" s="8"/>
      <c r="BJ1275" s="3"/>
      <c r="BK1275" s="47"/>
      <c r="BL1275" s="47"/>
      <c r="BM1275" s="46"/>
      <c r="BN1275" s="46"/>
      <c r="BO1275" s="24">
        <f>AL1275+AN1275+AP1275+AR1275+AT1275+AV1275+AX1275+AZ1275+BB1275+BD1275+BF1275+BH1275+BJ1275+BL1275+BN1275</f>
        <v>0</v>
      </c>
      <c r="BP1275" s="28">
        <f>AJ1275-BO1275</f>
        <v>-216003.3155</v>
      </c>
      <c r="BQ1275" s="2">
        <v>45946</v>
      </c>
    </row>
    <row r="1276" spans="1:73">
      <c r="D1276" s="9" t="s">
        <v>10</v>
      </c>
      <c r="E1276" s="2">
        <v>45947</v>
      </c>
      <c r="F1276" s="38"/>
      <c r="G1276" s="126"/>
      <c r="H1276" s="4">
        <f>F599*50%</f>
        <v>1879.5</v>
      </c>
      <c r="I1276" s="120"/>
      <c r="J1276" s="4">
        <f>(G1276+H1276)-I1276</f>
        <v>1879.5</v>
      </c>
      <c r="K1276" s="4">
        <f>J1276+O1275</f>
        <v>600983.515</v>
      </c>
      <c r="L1276" s="3"/>
      <c r="M1276" s="3"/>
      <c r="N1276" s="33">
        <f>I1276+M1276</f>
        <v>0</v>
      </c>
      <c r="O1276" s="28">
        <f>K1276-M1276</f>
        <v>600983.515</v>
      </c>
      <c r="P1276" s="9" t="s">
        <v>10</v>
      </c>
      <c r="Q1276" s="2">
        <v>45947</v>
      </c>
      <c r="R1276" s="38"/>
      <c r="S1276" s="52"/>
      <c r="T1276" s="4">
        <f>R599*45%</f>
        <v>3041.55</v>
      </c>
      <c r="U1276" s="5"/>
      <c r="V1276" s="4">
        <f>(S1276+T1276)-U1276</f>
        <v>3041.55</v>
      </c>
      <c r="W1276" s="4">
        <f>V1276+AA1275</f>
        <v>498569.185</v>
      </c>
      <c r="X1276" s="3"/>
      <c r="Y1276" s="3"/>
      <c r="Z1276" s="25">
        <f>U1276+Y1276</f>
        <v>0</v>
      </c>
      <c r="AA1276" s="76">
        <f>W1276-Y1276</f>
        <v>498569.185</v>
      </c>
      <c r="AB1276" s="9" t="s">
        <v>10</v>
      </c>
      <c r="AC1276" s="19">
        <v>45947</v>
      </c>
      <c r="AD1276" s="41"/>
      <c r="AE1276" s="42"/>
      <c r="AF1276" s="4">
        <f>AD599-H1276-T1276</f>
        <v>5596.95</v>
      </c>
      <c r="AG1276" s="3"/>
      <c r="AH1276" s="8"/>
      <c r="AI1276" s="4">
        <f>(AE1276+AF1276)-AH1276</f>
        <v>5596.95</v>
      </c>
      <c r="AJ1276" s="4">
        <f>AI1276+BP1275</f>
        <v>-210406.3655</v>
      </c>
      <c r="AK1276" s="8"/>
      <c r="AL1276" s="8"/>
      <c r="AM1276" s="47"/>
      <c r="AN1276" s="47"/>
      <c r="AO1276" s="8"/>
      <c r="AP1276" s="8"/>
      <c r="AQ1276" s="47"/>
      <c r="AR1276" s="47"/>
      <c r="AS1276" s="8"/>
      <c r="AT1276" s="8"/>
      <c r="AU1276" s="47"/>
      <c r="AV1276" s="47"/>
      <c r="AW1276" s="8"/>
      <c r="AX1276" s="8"/>
      <c r="AY1276" s="47"/>
      <c r="AZ1276" s="47"/>
      <c r="BA1276" s="8"/>
      <c r="BB1276" s="8"/>
      <c r="BC1276" s="47"/>
      <c r="BD1276" s="47"/>
      <c r="BE1276" s="8"/>
      <c r="BF1276" s="8"/>
      <c r="BG1276" s="47"/>
      <c r="BH1276" s="47"/>
      <c r="BI1276" s="8"/>
      <c r="BJ1276" s="3"/>
      <c r="BK1276" s="47"/>
      <c r="BL1276" s="47"/>
      <c r="BM1276" s="46"/>
      <c r="BN1276" s="46"/>
      <c r="BO1276" s="24">
        <f>AL1276+AN1276+AP1276+AR1276+AT1276+AV1276+AX1276+AZ1276+BB1276+BD1276+BF1276+BH1276+BJ1276+BL1276+BN1276</f>
        <v>0</v>
      </c>
      <c r="BP1276" s="28">
        <f>AJ1276-BO1276</f>
        <v>-210406.3655</v>
      </c>
      <c r="BQ1276" s="2">
        <v>45947</v>
      </c>
    </row>
    <row r="1277" spans="1:73">
      <c r="D1277" s="9" t="s">
        <v>11</v>
      </c>
      <c r="E1277" s="2">
        <v>45948</v>
      </c>
      <c r="F1277" s="38"/>
      <c r="G1277" s="126"/>
      <c r="H1277" s="4">
        <f>F600*50%</f>
        <v>1880</v>
      </c>
      <c r="I1277" s="120"/>
      <c r="J1277" s="4">
        <f>(G1277+H1277)-I1277</f>
        <v>1880</v>
      </c>
      <c r="K1277" s="4">
        <f>J1277+O1276</f>
        <v>602863.515</v>
      </c>
      <c r="L1277" s="3"/>
      <c r="M1277" s="3"/>
      <c r="N1277" s="33">
        <f>I1277+M1277</f>
        <v>0</v>
      </c>
      <c r="O1277" s="28">
        <f>K1277-M1277</f>
        <v>602863.515</v>
      </c>
      <c r="P1277" s="9" t="s">
        <v>11</v>
      </c>
      <c r="Q1277" s="2">
        <v>45948</v>
      </c>
      <c r="R1277" s="38"/>
      <c r="S1277" s="52"/>
      <c r="T1277" s="4">
        <f>R600*45%</f>
        <v>3042</v>
      </c>
      <c r="U1277" s="5"/>
      <c r="V1277" s="4">
        <f>(S1277+T1277)-U1277</f>
        <v>3042</v>
      </c>
      <c r="W1277" s="4">
        <f>V1277+AA1276</f>
        <v>501611.185</v>
      </c>
      <c r="X1277" s="3"/>
      <c r="Y1277" s="3"/>
      <c r="Z1277" s="25">
        <f>U1277+Y1277</f>
        <v>0</v>
      </c>
      <c r="AA1277" s="76">
        <f>W1277-Y1277</f>
        <v>501611.185</v>
      </c>
      <c r="AB1277" s="9" t="s">
        <v>11</v>
      </c>
      <c r="AC1277" s="19">
        <v>45948</v>
      </c>
      <c r="AD1277" s="41"/>
      <c r="AE1277" s="42"/>
      <c r="AF1277" s="4">
        <f>AD600-H1277-T1277</f>
        <v>5598</v>
      </c>
      <c r="AG1277" s="3"/>
      <c r="AH1277" s="8"/>
      <c r="AI1277" s="4">
        <f>(AE1277+AF1277)-AH1277</f>
        <v>5598</v>
      </c>
      <c r="AJ1277" s="4">
        <f>AI1277+BP1276</f>
        <v>-204808.3655</v>
      </c>
      <c r="AK1277" s="8"/>
      <c r="AL1277" s="8"/>
      <c r="AM1277" s="47"/>
      <c r="AN1277" s="47"/>
      <c r="AO1277" s="8"/>
      <c r="AP1277" s="8"/>
      <c r="AQ1277" s="47"/>
      <c r="AR1277" s="47"/>
      <c r="AS1277" s="8"/>
      <c r="AT1277" s="8"/>
      <c r="AU1277" s="47"/>
      <c r="AV1277" s="47"/>
      <c r="AW1277" s="8"/>
      <c r="AX1277" s="8"/>
      <c r="AY1277" s="47"/>
      <c r="AZ1277" s="47"/>
      <c r="BA1277" s="8"/>
      <c r="BB1277" s="8"/>
      <c r="BC1277" s="47"/>
      <c r="BD1277" s="47"/>
      <c r="BE1277" s="8"/>
      <c r="BF1277" s="8"/>
      <c r="BG1277" s="47"/>
      <c r="BH1277" s="47"/>
      <c r="BI1277" s="8"/>
      <c r="BJ1277" s="3"/>
      <c r="BK1277" s="47"/>
      <c r="BL1277" s="47"/>
      <c r="BM1277" s="46"/>
      <c r="BN1277" s="46"/>
      <c r="BO1277" s="24">
        <f>AL1277+AN1277+AP1277+AR1277+AT1277+AV1277+AX1277+AZ1277+BB1277+BD1277+BF1277+BH1277+BJ1277+BL1277+BN1277</f>
        <v>0</v>
      </c>
      <c r="BP1277" s="28">
        <f>AJ1277-BO1277</f>
        <v>-204808.3655</v>
      </c>
      <c r="BQ1277" s="2">
        <v>45948</v>
      </c>
    </row>
    <row r="1278" spans="1:73">
      <c r="D1278" s="9" t="s">
        <v>12</v>
      </c>
      <c r="E1278" s="2">
        <v>45949</v>
      </c>
      <c r="F1278" s="38"/>
      <c r="G1278" s="126"/>
      <c r="H1278" s="4">
        <f>F601*50%</f>
        <v>1880.5</v>
      </c>
      <c r="I1278" s="120"/>
      <c r="J1278" s="4">
        <f>(G1278+H1278)-I1278</f>
        <v>1880.5</v>
      </c>
      <c r="K1278" s="4">
        <f>J1278+O1277</f>
        <v>604744.015</v>
      </c>
      <c r="L1278" s="3"/>
      <c r="M1278" s="3"/>
      <c r="N1278" s="33">
        <f>I1278+M1278</f>
        <v>0</v>
      </c>
      <c r="O1278" s="28">
        <f>K1278-M1278</f>
        <v>604744.015</v>
      </c>
      <c r="P1278" s="9" t="s">
        <v>12</v>
      </c>
      <c r="Q1278" s="2">
        <v>45949</v>
      </c>
      <c r="R1278" s="38"/>
      <c r="S1278" s="52"/>
      <c r="T1278" s="4">
        <f>R601*45%</f>
        <v>3042.45</v>
      </c>
      <c r="U1278" s="5"/>
      <c r="V1278" s="4">
        <f>(S1278+T1278)-U1278</f>
        <v>3042.45</v>
      </c>
      <c r="W1278" s="4">
        <f>V1278+AA1277</f>
        <v>504653.635</v>
      </c>
      <c r="X1278" s="3"/>
      <c r="Y1278" s="3"/>
      <c r="Z1278" s="25">
        <f>U1278+Y1278</f>
        <v>0</v>
      </c>
      <c r="AA1278" s="76">
        <f>W1278-Y1278</f>
        <v>504653.635</v>
      </c>
      <c r="AB1278" s="9" t="s">
        <v>12</v>
      </c>
      <c r="AC1278" s="19">
        <v>45949</v>
      </c>
      <c r="AD1278" s="41"/>
      <c r="AE1278" s="42"/>
      <c r="AF1278" s="4">
        <f>AD601-H1278-T1278</f>
        <v>5599.05</v>
      </c>
      <c r="AG1278" s="3"/>
      <c r="AH1278" s="8"/>
      <c r="AI1278" s="4">
        <f>(AE1278+AF1278)-AH1278</f>
        <v>5599.05</v>
      </c>
      <c r="AJ1278" s="4">
        <f>AI1278+BP1277</f>
        <v>-199209.3155</v>
      </c>
      <c r="AK1278" s="8"/>
      <c r="AL1278" s="8"/>
      <c r="AM1278" s="47"/>
      <c r="AN1278" s="47"/>
      <c r="AO1278" s="8"/>
      <c r="AP1278" s="8"/>
      <c r="AQ1278" s="47"/>
      <c r="AR1278" s="47"/>
      <c r="AS1278" s="8"/>
      <c r="AT1278" s="8"/>
      <c r="AU1278" s="47"/>
      <c r="AV1278" s="47"/>
      <c r="AW1278" s="8"/>
      <c r="AX1278" s="8"/>
      <c r="AY1278" s="47"/>
      <c r="AZ1278" s="47"/>
      <c r="BA1278" s="8"/>
      <c r="BB1278" s="8"/>
      <c r="BC1278" s="47"/>
      <c r="BD1278" s="47"/>
      <c r="BE1278" s="8"/>
      <c r="BF1278" s="8"/>
      <c r="BG1278" s="47"/>
      <c r="BH1278" s="47"/>
      <c r="BI1278" s="8"/>
      <c r="BJ1278" s="3"/>
      <c r="BK1278" s="47"/>
      <c r="BL1278" s="47"/>
      <c r="BM1278" s="46"/>
      <c r="BN1278" s="46"/>
      <c r="BO1278" s="24">
        <f>AL1278+AN1278+AP1278+AR1278+AT1278+AV1278+AX1278+AZ1278+BB1278+BD1278+BF1278+BH1278+BJ1278+BL1278+BN1278</f>
        <v>0</v>
      </c>
      <c r="BP1278" s="28">
        <f>AJ1278-BO1278</f>
        <v>-199209.3155</v>
      </c>
      <c r="BQ1278" s="2">
        <v>45949</v>
      </c>
    </row>
    <row r="1279" spans="1:73">
      <c r="D1279" s="9" t="s">
        <v>13</v>
      </c>
      <c r="E1279" s="2">
        <v>45950</v>
      </c>
      <c r="F1279" s="38"/>
      <c r="G1279" s="126"/>
      <c r="H1279" s="4">
        <f>F602*50%</f>
        <v>1881</v>
      </c>
      <c r="I1279" s="120"/>
      <c r="J1279" s="4">
        <f>(G1279+H1279)-I1279</f>
        <v>1881</v>
      </c>
      <c r="K1279" s="4">
        <f>J1279+O1278</f>
        <v>606625.015</v>
      </c>
      <c r="L1279" s="3"/>
      <c r="M1279" s="3"/>
      <c r="N1279" s="33">
        <f>I1279+M1279</f>
        <v>0</v>
      </c>
      <c r="O1279" s="28">
        <f>K1279-M1279</f>
        <v>606625.015</v>
      </c>
      <c r="P1279" s="9" t="s">
        <v>13</v>
      </c>
      <c r="Q1279" s="2">
        <v>45950</v>
      </c>
      <c r="R1279" s="38"/>
      <c r="S1279" s="52"/>
      <c r="T1279" s="4">
        <f>R602*45%</f>
        <v>3042.9</v>
      </c>
      <c r="U1279" s="5"/>
      <c r="V1279" s="4">
        <f>(S1279+T1279)-U1279</f>
        <v>3042.9</v>
      </c>
      <c r="W1279" s="4">
        <f>V1279+AA1278</f>
        <v>507696.535</v>
      </c>
      <c r="X1279" s="3"/>
      <c r="Y1279" s="3"/>
      <c r="Z1279" s="25">
        <f>U1279+Y1279</f>
        <v>0</v>
      </c>
      <c r="AA1279" s="76">
        <f>W1279-Y1279</f>
        <v>507696.535</v>
      </c>
      <c r="AB1279" s="9" t="s">
        <v>13</v>
      </c>
      <c r="AC1279" s="19">
        <v>45950</v>
      </c>
      <c r="AD1279" s="41"/>
      <c r="AE1279" s="42"/>
      <c r="AF1279" s="4">
        <f>AD602-H1279-T1279</f>
        <v>5600.1</v>
      </c>
      <c r="AG1279" s="3"/>
      <c r="AH1279" s="8"/>
      <c r="AI1279" s="4">
        <f>(AE1279+AF1279)-AH1279</f>
        <v>5600.1</v>
      </c>
      <c r="AJ1279" s="4">
        <f>AI1279+BP1278</f>
        <v>-193609.2155</v>
      </c>
      <c r="AK1279" s="8"/>
      <c r="AL1279" s="8"/>
      <c r="AM1279" s="47"/>
      <c r="AN1279" s="47"/>
      <c r="AO1279" s="8"/>
      <c r="AP1279" s="8"/>
      <c r="AQ1279" s="47"/>
      <c r="AR1279" s="47"/>
      <c r="AS1279" s="8"/>
      <c r="AT1279" s="8"/>
      <c r="AU1279" s="47"/>
      <c r="AV1279" s="47"/>
      <c r="AW1279" s="8"/>
      <c r="AX1279" s="8"/>
      <c r="AY1279" s="47"/>
      <c r="AZ1279" s="47"/>
      <c r="BA1279" s="8"/>
      <c r="BB1279" s="8"/>
      <c r="BC1279" s="47"/>
      <c r="BD1279" s="47"/>
      <c r="BE1279" s="8"/>
      <c r="BF1279" s="8"/>
      <c r="BG1279" s="47"/>
      <c r="BH1279" s="47"/>
      <c r="BI1279" s="8"/>
      <c r="BJ1279" s="3"/>
      <c r="BK1279" s="47"/>
      <c r="BL1279" s="47"/>
      <c r="BM1279" s="46"/>
      <c r="BN1279" s="46"/>
      <c r="BO1279" s="24">
        <f>AL1279+AN1279+AP1279+AR1279+AT1279+AV1279+AX1279+AZ1279+BB1279+BD1279+BF1279+BH1279+BJ1279+BL1279+BN1279</f>
        <v>0</v>
      </c>
      <c r="BP1279" s="28">
        <f>AJ1279-BO1279</f>
        <v>-193609.2155</v>
      </c>
      <c r="BQ1279" s="2">
        <v>45950</v>
      </c>
    </row>
    <row r="1280" spans="1:73">
      <c r="D1280" s="9" t="s">
        <v>14</v>
      </c>
      <c r="E1280" s="2">
        <v>45951</v>
      </c>
      <c r="F1280" s="38"/>
      <c r="G1280" s="126"/>
      <c r="H1280" s="4">
        <f>F603*50%</f>
        <v>1881.5</v>
      </c>
      <c r="I1280" s="120"/>
      <c r="J1280" s="4">
        <f>(G1280+H1280)-I1280</f>
        <v>1881.5</v>
      </c>
      <c r="K1280" s="4">
        <f>J1280+O1279</f>
        <v>608506.515</v>
      </c>
      <c r="L1280" s="3"/>
      <c r="M1280" s="3"/>
      <c r="N1280" s="33">
        <f>I1280+M1280</f>
        <v>0</v>
      </c>
      <c r="O1280" s="28">
        <f>K1280-M1280</f>
        <v>608506.515</v>
      </c>
      <c r="P1280" s="9" t="s">
        <v>14</v>
      </c>
      <c r="Q1280" s="2">
        <v>45951</v>
      </c>
      <c r="R1280" s="38"/>
      <c r="S1280" s="52"/>
      <c r="T1280" s="4">
        <f>R603*45%</f>
        <v>3043.35</v>
      </c>
      <c r="U1280" s="5"/>
      <c r="V1280" s="4">
        <f>(S1280+T1280)-U1280</f>
        <v>3043.35</v>
      </c>
      <c r="W1280" s="4">
        <f>V1280+AA1279</f>
        <v>510739.885</v>
      </c>
      <c r="X1280" s="3"/>
      <c r="Y1280" s="3"/>
      <c r="Z1280" s="25">
        <f>U1280+Y1280</f>
        <v>0</v>
      </c>
      <c r="AA1280" s="76">
        <f>W1280-Y1280</f>
        <v>510739.885</v>
      </c>
      <c r="AB1280" s="9" t="s">
        <v>14</v>
      </c>
      <c r="AC1280" s="19">
        <v>45951</v>
      </c>
      <c r="AD1280" s="41"/>
      <c r="AE1280" s="42"/>
      <c r="AF1280" s="4">
        <f>AD603-H1280-T1280</f>
        <v>5601.15</v>
      </c>
      <c r="AG1280" s="3"/>
      <c r="AH1280" s="8"/>
      <c r="AI1280" s="4">
        <f>(AE1280+AF1280)-AH1280</f>
        <v>5601.15</v>
      </c>
      <c r="AJ1280" s="4">
        <f>AI1280+BP1279</f>
        <v>-188008.0655</v>
      </c>
      <c r="AK1280" s="8"/>
      <c r="AL1280" s="8"/>
      <c r="AM1280" s="47"/>
      <c r="AN1280" s="47"/>
      <c r="AO1280" s="8"/>
      <c r="AP1280" s="8"/>
      <c r="AQ1280" s="47"/>
      <c r="AR1280" s="47"/>
      <c r="AS1280" s="8"/>
      <c r="AT1280" s="8"/>
      <c r="AU1280" s="47"/>
      <c r="AV1280" s="47"/>
      <c r="AW1280" s="8"/>
      <c r="AX1280" s="8"/>
      <c r="AY1280" s="47"/>
      <c r="AZ1280" s="47"/>
      <c r="BA1280" s="8"/>
      <c r="BB1280" s="8"/>
      <c r="BC1280" s="47"/>
      <c r="BD1280" s="47"/>
      <c r="BE1280" s="8"/>
      <c r="BF1280" s="8"/>
      <c r="BG1280" s="47"/>
      <c r="BH1280" s="47"/>
      <c r="BI1280" s="8"/>
      <c r="BJ1280" s="3"/>
      <c r="BK1280" s="47"/>
      <c r="BL1280" s="47"/>
      <c r="BM1280" s="46"/>
      <c r="BN1280" s="46"/>
      <c r="BO1280" s="24">
        <f>AL1280+AN1280+AP1280+AR1280+AT1280+AV1280+AX1280+AZ1280+BB1280+BD1280+BF1280+BH1280+BJ1280+BL1280+BN1280</f>
        <v>0</v>
      </c>
      <c r="BP1280" s="28">
        <f>AJ1280-BO1280</f>
        <v>-188008.0655</v>
      </c>
      <c r="BQ1280" s="2">
        <v>45951</v>
      </c>
    </row>
    <row r="1281" spans="1:73">
      <c r="D1281" s="9" t="s">
        <v>15</v>
      </c>
      <c r="E1281" s="2">
        <v>45952</v>
      </c>
      <c r="F1281" s="38"/>
      <c r="G1281" s="126"/>
      <c r="H1281" s="4">
        <f>F604*50%</f>
        <v>1882</v>
      </c>
      <c r="I1281" s="120"/>
      <c r="J1281" s="4">
        <f>(G1281+H1281)-I1281</f>
        <v>1882</v>
      </c>
      <c r="K1281" s="4">
        <f>J1281+O1280</f>
        <v>610388.515</v>
      </c>
      <c r="L1281" s="3"/>
      <c r="M1281" s="3"/>
      <c r="N1281" s="33">
        <f>I1281+M1281</f>
        <v>0</v>
      </c>
      <c r="O1281" s="28">
        <f>K1281-M1281</f>
        <v>610388.515</v>
      </c>
      <c r="P1281" s="9" t="s">
        <v>15</v>
      </c>
      <c r="Q1281" s="2">
        <v>45952</v>
      </c>
      <c r="R1281" s="38"/>
      <c r="S1281" s="52"/>
      <c r="T1281" s="4">
        <f>R604*45%</f>
        <v>3043.8</v>
      </c>
      <c r="U1281" s="5"/>
      <c r="V1281" s="4">
        <f>(S1281+T1281)-U1281</f>
        <v>3043.8</v>
      </c>
      <c r="W1281" s="4">
        <f>V1281+AA1280</f>
        <v>513783.685</v>
      </c>
      <c r="X1281" s="3"/>
      <c r="Y1281" s="3"/>
      <c r="Z1281" s="25">
        <f>U1281+Y1281</f>
        <v>0</v>
      </c>
      <c r="AA1281" s="76">
        <f>W1281-Y1281</f>
        <v>513783.685</v>
      </c>
      <c r="AB1281" s="9" t="s">
        <v>15</v>
      </c>
      <c r="AC1281" s="19">
        <v>45952</v>
      </c>
      <c r="AD1281" s="41"/>
      <c r="AE1281" s="42"/>
      <c r="AF1281" s="4">
        <f>AD604-H1281-T1281</f>
        <v>5602.2</v>
      </c>
      <c r="AG1281" s="3"/>
      <c r="AH1281" s="8"/>
      <c r="AI1281" s="4">
        <f>(AE1281+AF1281)-AH1281</f>
        <v>5602.2</v>
      </c>
      <c r="AJ1281" s="4">
        <f>AI1281+BP1280</f>
        <v>-182405.8655</v>
      </c>
      <c r="AK1281" s="8"/>
      <c r="AL1281" s="8"/>
      <c r="AM1281" s="47"/>
      <c r="AN1281" s="47"/>
      <c r="AO1281" s="8"/>
      <c r="AP1281" s="8"/>
      <c r="AQ1281" s="47"/>
      <c r="AR1281" s="47"/>
      <c r="AS1281" s="8"/>
      <c r="AT1281" s="8"/>
      <c r="AU1281" s="47"/>
      <c r="AV1281" s="47"/>
      <c r="AW1281" s="8"/>
      <c r="AX1281" s="8"/>
      <c r="AY1281" s="47"/>
      <c r="AZ1281" s="47"/>
      <c r="BA1281" s="8"/>
      <c r="BB1281" s="8"/>
      <c r="BC1281" s="47"/>
      <c r="BD1281" s="47"/>
      <c r="BE1281" s="8"/>
      <c r="BF1281" s="8"/>
      <c r="BG1281" s="47"/>
      <c r="BH1281" s="47"/>
      <c r="BI1281" s="8"/>
      <c r="BJ1281" s="3"/>
      <c r="BK1281" s="47"/>
      <c r="BL1281" s="47"/>
      <c r="BM1281" s="46"/>
      <c r="BN1281" s="46"/>
      <c r="BO1281" s="24">
        <f>AL1281+AN1281+AP1281+AR1281+AT1281+AV1281+AX1281+AZ1281+BB1281+BD1281+BF1281+BH1281+BJ1281+BL1281+BN1281</f>
        <v>0</v>
      </c>
      <c r="BP1281" s="28">
        <f>AJ1281-BO1281</f>
        <v>-182405.8655</v>
      </c>
      <c r="BQ1281" s="2">
        <v>45952</v>
      </c>
    </row>
    <row r="1282" spans="1:73">
      <c r="D1282" s="9" t="s">
        <v>16</v>
      </c>
      <c r="E1282" s="2">
        <v>45953</v>
      </c>
      <c r="F1282" s="38"/>
      <c r="G1282" s="126"/>
      <c r="H1282" s="4">
        <f>F605*50%</f>
        <v>1882.5</v>
      </c>
      <c r="I1282" s="120"/>
      <c r="J1282" s="4">
        <f>(G1282+H1282)-I1282</f>
        <v>1882.5</v>
      </c>
      <c r="K1282" s="4">
        <f>J1282+O1281</f>
        <v>612271.015</v>
      </c>
      <c r="L1282" s="3"/>
      <c r="M1282" s="3"/>
      <c r="N1282" s="33">
        <f>I1282+M1282</f>
        <v>0</v>
      </c>
      <c r="O1282" s="28">
        <f>K1282-M1282</f>
        <v>612271.015</v>
      </c>
      <c r="P1282" s="9" t="s">
        <v>16</v>
      </c>
      <c r="Q1282" s="2">
        <v>45953</v>
      </c>
      <c r="R1282" s="38"/>
      <c r="S1282" s="52"/>
      <c r="T1282" s="4">
        <f>R605*45%</f>
        <v>3044.25</v>
      </c>
      <c r="U1282" s="5"/>
      <c r="V1282" s="4">
        <f>(S1282+T1282)-U1282</f>
        <v>3044.25</v>
      </c>
      <c r="W1282" s="4">
        <f>V1282+AA1281</f>
        <v>516827.935</v>
      </c>
      <c r="X1282" s="3"/>
      <c r="Y1282" s="3"/>
      <c r="Z1282" s="25">
        <f>U1282+Y1282</f>
        <v>0</v>
      </c>
      <c r="AA1282" s="76">
        <f>W1282-Y1282</f>
        <v>516827.935</v>
      </c>
      <c r="AB1282" s="9" t="s">
        <v>16</v>
      </c>
      <c r="AC1282" s="19">
        <v>45953</v>
      </c>
      <c r="AD1282" s="41"/>
      <c r="AE1282" s="42"/>
      <c r="AF1282" s="4">
        <f>AD605-H1282-T1282</f>
        <v>5603.25</v>
      </c>
      <c r="AG1282" s="3"/>
      <c r="AH1282" s="8"/>
      <c r="AI1282" s="4">
        <f>(AE1282+AF1282)-AH1282</f>
        <v>5603.25</v>
      </c>
      <c r="AJ1282" s="4">
        <f>AI1282+BP1281</f>
        <v>-176802.6155</v>
      </c>
      <c r="AK1282" s="8"/>
      <c r="AL1282" s="8"/>
      <c r="AM1282" s="47"/>
      <c r="AN1282" s="47"/>
      <c r="AO1282" s="8"/>
      <c r="AP1282" s="8"/>
      <c r="AQ1282" s="47"/>
      <c r="AR1282" s="47"/>
      <c r="AS1282" s="8"/>
      <c r="AT1282" s="8"/>
      <c r="AU1282" s="47"/>
      <c r="AV1282" s="47"/>
      <c r="AW1282" s="8"/>
      <c r="AX1282" s="8"/>
      <c r="AY1282" s="47"/>
      <c r="AZ1282" s="47"/>
      <c r="BA1282" s="8"/>
      <c r="BB1282" s="8"/>
      <c r="BC1282" s="47"/>
      <c r="BD1282" s="47"/>
      <c r="BE1282" s="8"/>
      <c r="BF1282" s="8"/>
      <c r="BG1282" s="47"/>
      <c r="BH1282" s="47"/>
      <c r="BI1282" s="8"/>
      <c r="BJ1282" s="3"/>
      <c r="BK1282" s="47"/>
      <c r="BL1282" s="47"/>
      <c r="BM1282" s="46"/>
      <c r="BN1282" s="46"/>
      <c r="BO1282" s="24">
        <f>AL1282+AN1282+AP1282+AR1282+AT1282+AV1282+AX1282+AZ1282+BB1282+BD1282+BF1282+BH1282+BJ1282+BL1282+BN1282</f>
        <v>0</v>
      </c>
      <c r="BP1282" s="28">
        <f>AJ1282-BO1282</f>
        <v>-176802.6155</v>
      </c>
      <c r="BQ1282" s="2">
        <v>45953</v>
      </c>
    </row>
    <row r="1283" spans="1:73">
      <c r="D1283" s="9" t="s">
        <v>10</v>
      </c>
      <c r="E1283" s="2">
        <v>45954</v>
      </c>
      <c r="F1283" s="38"/>
      <c r="G1283" s="126"/>
      <c r="H1283" s="4">
        <f>F606*50%</f>
        <v>1883</v>
      </c>
      <c r="I1283" s="120"/>
      <c r="J1283" s="4">
        <f>(G1283+H1283)-I1283</f>
        <v>1883</v>
      </c>
      <c r="K1283" s="4">
        <f>J1283+O1282</f>
        <v>614154.015</v>
      </c>
      <c r="L1283" s="3"/>
      <c r="M1283" s="3"/>
      <c r="N1283" s="33">
        <f>I1283+M1283</f>
        <v>0</v>
      </c>
      <c r="O1283" s="28">
        <f>K1283-M1283</f>
        <v>614154.015</v>
      </c>
      <c r="P1283" s="9" t="s">
        <v>10</v>
      </c>
      <c r="Q1283" s="2">
        <v>45954</v>
      </c>
      <c r="R1283" s="38"/>
      <c r="S1283" s="52"/>
      <c r="T1283" s="4">
        <f>R606*45%</f>
        <v>3044.7</v>
      </c>
      <c r="U1283" s="5"/>
      <c r="V1283" s="4">
        <f>(S1283+T1283)-U1283</f>
        <v>3044.7</v>
      </c>
      <c r="W1283" s="4">
        <f>V1283+AA1282</f>
        <v>519872.635</v>
      </c>
      <c r="X1283" s="3"/>
      <c r="Y1283" s="3"/>
      <c r="Z1283" s="25">
        <f>U1283+Y1283</f>
        <v>0</v>
      </c>
      <c r="AA1283" s="76">
        <f>W1283-Y1283</f>
        <v>519872.635</v>
      </c>
      <c r="AB1283" s="9" t="s">
        <v>10</v>
      </c>
      <c r="AC1283" s="19">
        <v>45954</v>
      </c>
      <c r="AD1283" s="41"/>
      <c r="AE1283" s="42"/>
      <c r="AF1283" s="4">
        <f>AD606-H1283-T1283</f>
        <v>5604.3</v>
      </c>
      <c r="AG1283" s="3"/>
      <c r="AH1283" s="8"/>
      <c r="AI1283" s="4">
        <f>(AE1283+AF1283)-AH1283</f>
        <v>5604.3</v>
      </c>
      <c r="AJ1283" s="4">
        <f>AI1283+BP1282</f>
        <v>-171198.3155</v>
      </c>
      <c r="AK1283" s="8"/>
      <c r="AL1283" s="8"/>
      <c r="AM1283" s="47"/>
      <c r="AN1283" s="47"/>
      <c r="AO1283" s="8"/>
      <c r="AP1283" s="8"/>
      <c r="AQ1283" s="47"/>
      <c r="AR1283" s="47"/>
      <c r="AS1283" s="8"/>
      <c r="AT1283" s="8"/>
      <c r="AU1283" s="47"/>
      <c r="AV1283" s="47"/>
      <c r="AW1283" s="8"/>
      <c r="AX1283" s="8"/>
      <c r="AY1283" s="47"/>
      <c r="AZ1283" s="47"/>
      <c r="BA1283" s="8"/>
      <c r="BB1283" s="8"/>
      <c r="BC1283" s="47"/>
      <c r="BD1283" s="47"/>
      <c r="BE1283" s="8"/>
      <c r="BF1283" s="8"/>
      <c r="BG1283" s="47"/>
      <c r="BH1283" s="47"/>
      <c r="BI1283" s="8"/>
      <c r="BJ1283" s="3"/>
      <c r="BK1283" s="47"/>
      <c r="BL1283" s="47"/>
      <c r="BM1283" s="46"/>
      <c r="BN1283" s="46"/>
      <c r="BO1283" s="24">
        <f>AL1283+AN1283+AP1283+AR1283+AT1283+AV1283+AX1283+AZ1283+BB1283+BD1283+BF1283+BH1283+BJ1283+BL1283+BN1283</f>
        <v>0</v>
      </c>
      <c r="BP1283" s="28">
        <f>AJ1283-BO1283</f>
        <v>-171198.3155</v>
      </c>
      <c r="BQ1283" s="2">
        <v>45954</v>
      </c>
    </row>
    <row r="1284" spans="1:73">
      <c r="D1284" s="9" t="s">
        <v>11</v>
      </c>
      <c r="E1284" s="2">
        <v>45955</v>
      </c>
      <c r="F1284" s="38"/>
      <c r="G1284" s="126"/>
      <c r="H1284" s="4">
        <f>F607*50%</f>
        <v>1883.5</v>
      </c>
      <c r="I1284" s="120"/>
      <c r="J1284" s="4">
        <f>(G1284+H1284)-I1284</f>
        <v>1883.5</v>
      </c>
      <c r="K1284" s="4">
        <f>J1284+O1283</f>
        <v>616037.515</v>
      </c>
      <c r="L1284" s="3"/>
      <c r="M1284" s="3"/>
      <c r="N1284" s="33">
        <f>I1284+M1284</f>
        <v>0</v>
      </c>
      <c r="O1284" s="28">
        <f>K1284-M1284</f>
        <v>616037.515</v>
      </c>
      <c r="P1284" s="9" t="s">
        <v>11</v>
      </c>
      <c r="Q1284" s="2">
        <v>45955</v>
      </c>
      <c r="R1284" s="38"/>
      <c r="S1284" s="52"/>
      <c r="T1284" s="4">
        <f>R607*45%</f>
        <v>3045.15</v>
      </c>
      <c r="U1284" s="5"/>
      <c r="V1284" s="4">
        <f>(S1284+T1284)-U1284</f>
        <v>3045.15</v>
      </c>
      <c r="W1284" s="4">
        <f>V1284+AA1283</f>
        <v>522917.785</v>
      </c>
      <c r="X1284" s="3"/>
      <c r="Y1284" s="3"/>
      <c r="Z1284" s="25">
        <f>U1284+Y1284</f>
        <v>0</v>
      </c>
      <c r="AA1284" s="76">
        <f>W1284-Y1284</f>
        <v>522917.785</v>
      </c>
      <c r="AB1284" s="9" t="s">
        <v>11</v>
      </c>
      <c r="AC1284" s="19">
        <v>45955</v>
      </c>
      <c r="AD1284" s="41"/>
      <c r="AE1284" s="42"/>
      <c r="AF1284" s="4">
        <f>AD607-H1284-T1284</f>
        <v>5605.35</v>
      </c>
      <c r="AG1284" s="3"/>
      <c r="AH1284" s="8"/>
      <c r="AI1284" s="4">
        <f>(AE1284+AF1284)-AH1284</f>
        <v>5605.35</v>
      </c>
      <c r="AJ1284" s="4">
        <f>AI1284+BP1283</f>
        <v>-165592.9655</v>
      </c>
      <c r="AK1284" s="8"/>
      <c r="AL1284" s="8"/>
      <c r="AM1284" s="47"/>
      <c r="AN1284" s="47"/>
      <c r="AO1284" s="8"/>
      <c r="AP1284" s="8"/>
      <c r="AQ1284" s="47"/>
      <c r="AR1284" s="47"/>
      <c r="AS1284" s="8"/>
      <c r="AT1284" s="8"/>
      <c r="AU1284" s="47"/>
      <c r="AV1284" s="47"/>
      <c r="AW1284" s="8"/>
      <c r="AX1284" s="8"/>
      <c r="AY1284" s="47"/>
      <c r="AZ1284" s="47"/>
      <c r="BA1284" s="8"/>
      <c r="BB1284" s="8"/>
      <c r="BC1284" s="47"/>
      <c r="BD1284" s="47"/>
      <c r="BE1284" s="8"/>
      <c r="BF1284" s="8"/>
      <c r="BG1284" s="47"/>
      <c r="BH1284" s="47"/>
      <c r="BI1284" s="8"/>
      <c r="BJ1284" s="3"/>
      <c r="BK1284" s="47"/>
      <c r="BL1284" s="47"/>
      <c r="BM1284" s="46"/>
      <c r="BN1284" s="46"/>
      <c r="BO1284" s="24">
        <f>AL1284+AN1284+AP1284+AR1284+AT1284+AV1284+AX1284+AZ1284+BB1284+BD1284+BF1284+BH1284+BJ1284+BL1284+BN1284</f>
        <v>0</v>
      </c>
      <c r="BP1284" s="28">
        <f>AJ1284-BO1284</f>
        <v>-165592.9655</v>
      </c>
      <c r="BQ1284" s="2">
        <v>45955</v>
      </c>
    </row>
    <row r="1285" spans="1:73">
      <c r="D1285" s="9" t="s">
        <v>12</v>
      </c>
      <c r="E1285" s="2">
        <v>45956</v>
      </c>
      <c r="F1285" s="38"/>
      <c r="G1285" s="126"/>
      <c r="H1285" s="4">
        <f>F608*50%</f>
        <v>1884</v>
      </c>
      <c r="I1285" s="120"/>
      <c r="J1285" s="4">
        <f>(G1285+H1285)-I1285</f>
        <v>1884</v>
      </c>
      <c r="K1285" s="4">
        <f>J1285+O1284</f>
        <v>617921.515</v>
      </c>
      <c r="L1285" s="3"/>
      <c r="M1285" s="3"/>
      <c r="N1285" s="33">
        <f>I1285+M1285</f>
        <v>0</v>
      </c>
      <c r="O1285" s="28">
        <f>K1285-M1285</f>
        <v>617921.515</v>
      </c>
      <c r="P1285" s="9" t="s">
        <v>12</v>
      </c>
      <c r="Q1285" s="2">
        <v>45956</v>
      </c>
      <c r="R1285" s="38"/>
      <c r="S1285" s="52"/>
      <c r="T1285" s="4">
        <f>R608*45%</f>
        <v>3045.6</v>
      </c>
      <c r="U1285" s="5"/>
      <c r="V1285" s="4">
        <f>(S1285+T1285)-U1285</f>
        <v>3045.6</v>
      </c>
      <c r="W1285" s="4">
        <f>V1285+AA1284</f>
        <v>525963.385</v>
      </c>
      <c r="X1285" s="3"/>
      <c r="Y1285" s="3"/>
      <c r="Z1285" s="25">
        <f>U1285+Y1285</f>
        <v>0</v>
      </c>
      <c r="AA1285" s="76">
        <f>W1285-Y1285</f>
        <v>525963.385</v>
      </c>
      <c r="AB1285" s="9" t="s">
        <v>12</v>
      </c>
      <c r="AC1285" s="19">
        <v>45956</v>
      </c>
      <c r="AD1285" s="41"/>
      <c r="AE1285" s="42"/>
      <c r="AF1285" s="4">
        <f>AD608-H1285-T1285</f>
        <v>5606.4</v>
      </c>
      <c r="AG1285" s="3"/>
      <c r="AH1285" s="8"/>
      <c r="AI1285" s="4">
        <f>(AE1285+AF1285)-AH1285</f>
        <v>5606.4</v>
      </c>
      <c r="AJ1285" s="4">
        <f>AI1285+BP1284</f>
        <v>-159986.5655</v>
      </c>
      <c r="AK1285" s="8"/>
      <c r="AL1285" s="8"/>
      <c r="AM1285" s="47"/>
      <c r="AN1285" s="47"/>
      <c r="AO1285" s="8"/>
      <c r="AP1285" s="8"/>
      <c r="AQ1285" s="47"/>
      <c r="AR1285" s="47"/>
      <c r="AS1285" s="8"/>
      <c r="AT1285" s="8"/>
      <c r="AU1285" s="47"/>
      <c r="AV1285" s="47"/>
      <c r="AW1285" s="8"/>
      <c r="AX1285" s="8"/>
      <c r="AY1285" s="47"/>
      <c r="AZ1285" s="47"/>
      <c r="BA1285" s="8"/>
      <c r="BB1285" s="8"/>
      <c r="BC1285" s="47"/>
      <c r="BD1285" s="47"/>
      <c r="BE1285" s="8"/>
      <c r="BF1285" s="8"/>
      <c r="BG1285" s="47"/>
      <c r="BH1285" s="47"/>
      <c r="BI1285" s="8"/>
      <c r="BJ1285" s="3"/>
      <c r="BK1285" s="47"/>
      <c r="BL1285" s="47"/>
      <c r="BM1285" s="46"/>
      <c r="BN1285" s="46"/>
      <c r="BO1285" s="24">
        <f>AL1285+AN1285+AP1285+AR1285+AT1285+AV1285+AX1285+AZ1285+BB1285+BD1285+BF1285+BH1285+BJ1285+BL1285+BN1285</f>
        <v>0</v>
      </c>
      <c r="BP1285" s="28">
        <f>AJ1285-BO1285</f>
        <v>-159986.5655</v>
      </c>
      <c r="BQ1285" s="2">
        <v>45956</v>
      </c>
    </row>
    <row r="1286" spans="1:73">
      <c r="D1286" s="9" t="s">
        <v>13</v>
      </c>
      <c r="E1286" s="2">
        <v>45957</v>
      </c>
      <c r="F1286" s="38"/>
      <c r="G1286" s="126"/>
      <c r="H1286" s="4">
        <f>F609*50%</f>
        <v>1884.5</v>
      </c>
      <c r="I1286" s="120"/>
      <c r="J1286" s="4">
        <f>(G1286+H1286)-I1286</f>
        <v>1884.5</v>
      </c>
      <c r="K1286" s="4">
        <f>J1286+O1285</f>
        <v>619806.015</v>
      </c>
      <c r="L1286" s="3"/>
      <c r="M1286" s="3"/>
      <c r="N1286" s="33">
        <f>I1286+M1286</f>
        <v>0</v>
      </c>
      <c r="O1286" s="28">
        <f>K1286-M1286</f>
        <v>619806.015</v>
      </c>
      <c r="P1286" s="9" t="s">
        <v>13</v>
      </c>
      <c r="Q1286" s="2">
        <v>45957</v>
      </c>
      <c r="R1286" s="38"/>
      <c r="S1286" s="52"/>
      <c r="T1286" s="4">
        <f>R609*45%</f>
        <v>3046.05</v>
      </c>
      <c r="U1286" s="5"/>
      <c r="V1286" s="4">
        <f>(S1286+T1286)-U1286</f>
        <v>3046.05</v>
      </c>
      <c r="W1286" s="4">
        <f>V1286+AA1285</f>
        <v>529009.435</v>
      </c>
      <c r="X1286" s="3"/>
      <c r="Y1286" s="3"/>
      <c r="Z1286" s="25">
        <f>U1286+Y1286</f>
        <v>0</v>
      </c>
      <c r="AA1286" s="76">
        <f>W1286-Y1286</f>
        <v>529009.435</v>
      </c>
      <c r="AB1286" s="9" t="s">
        <v>13</v>
      </c>
      <c r="AC1286" s="19">
        <v>45957</v>
      </c>
      <c r="AD1286" s="41"/>
      <c r="AE1286" s="42"/>
      <c r="AF1286" s="4">
        <f>AD609-H1286-T1286</f>
        <v>5607.45</v>
      </c>
      <c r="AG1286" s="3"/>
      <c r="AH1286" s="8"/>
      <c r="AI1286" s="4">
        <f>(AE1286+AF1286)-AH1286</f>
        <v>5607.45</v>
      </c>
      <c r="AJ1286" s="4">
        <f>AI1286+BP1285</f>
        <v>-154379.1155</v>
      </c>
      <c r="AK1286" s="8"/>
      <c r="AL1286" s="8"/>
      <c r="AM1286" s="47"/>
      <c r="AN1286" s="47"/>
      <c r="AO1286" s="8"/>
      <c r="AP1286" s="8"/>
      <c r="AQ1286" s="47"/>
      <c r="AR1286" s="47"/>
      <c r="AS1286" s="8"/>
      <c r="AT1286" s="8"/>
      <c r="AU1286" s="47"/>
      <c r="AV1286" s="47"/>
      <c r="AW1286" s="8"/>
      <c r="AX1286" s="8"/>
      <c r="AY1286" s="47"/>
      <c r="AZ1286" s="47"/>
      <c r="BA1286" s="8"/>
      <c r="BB1286" s="8"/>
      <c r="BC1286" s="47"/>
      <c r="BD1286" s="47"/>
      <c r="BE1286" s="8"/>
      <c r="BF1286" s="8"/>
      <c r="BG1286" s="47"/>
      <c r="BH1286" s="47"/>
      <c r="BI1286" s="8"/>
      <c r="BJ1286" s="3"/>
      <c r="BK1286" s="47"/>
      <c r="BL1286" s="47"/>
      <c r="BM1286" s="46"/>
      <c r="BN1286" s="46"/>
      <c r="BO1286" s="24">
        <f>AL1286+AN1286+AP1286+AR1286+AT1286+AV1286+AX1286+AZ1286+BB1286+BD1286+BF1286+BH1286+BJ1286+BL1286+BN1286</f>
        <v>0</v>
      </c>
      <c r="BP1286" s="28">
        <f>AJ1286-BO1286</f>
        <v>-154379.1155</v>
      </c>
      <c r="BQ1286" s="2">
        <v>45957</v>
      </c>
    </row>
    <row r="1287" spans="1:73">
      <c r="D1287" s="9" t="s">
        <v>14</v>
      </c>
      <c r="E1287" s="2">
        <v>45958</v>
      </c>
      <c r="F1287" s="38"/>
      <c r="G1287" s="126"/>
      <c r="H1287" s="4">
        <f>F610*50%</f>
        <v>1885</v>
      </c>
      <c r="I1287" s="120"/>
      <c r="J1287" s="4">
        <f>(G1287+H1287)-I1287</f>
        <v>1885</v>
      </c>
      <c r="K1287" s="4">
        <f>J1287+O1286</f>
        <v>621691.015</v>
      </c>
      <c r="L1287" s="3"/>
      <c r="M1287" s="3"/>
      <c r="N1287" s="33">
        <f>I1287+M1287</f>
        <v>0</v>
      </c>
      <c r="O1287" s="28">
        <f>K1287-M1287</f>
        <v>621691.015</v>
      </c>
      <c r="P1287" s="9" t="s">
        <v>14</v>
      </c>
      <c r="Q1287" s="2">
        <v>45958</v>
      </c>
      <c r="R1287" s="38"/>
      <c r="S1287" s="52"/>
      <c r="T1287" s="4">
        <f>R610*45%</f>
        <v>3046.5</v>
      </c>
      <c r="U1287" s="5"/>
      <c r="V1287" s="4">
        <f>(S1287+T1287)-U1287</f>
        <v>3046.5</v>
      </c>
      <c r="W1287" s="4">
        <f>V1287+AA1286</f>
        <v>532055.935</v>
      </c>
      <c r="X1287" s="3"/>
      <c r="Y1287" s="3"/>
      <c r="Z1287" s="25">
        <f>U1287+Y1287</f>
        <v>0</v>
      </c>
      <c r="AA1287" s="76">
        <f>W1287-Y1287</f>
        <v>532055.935</v>
      </c>
      <c r="AB1287" s="9" t="s">
        <v>14</v>
      </c>
      <c r="AC1287" s="19">
        <v>45958</v>
      </c>
      <c r="AD1287" s="41"/>
      <c r="AE1287" s="42"/>
      <c r="AF1287" s="4">
        <f>AD610-H1287-T1287</f>
        <v>5608.5</v>
      </c>
      <c r="AG1287" s="3"/>
      <c r="AH1287" s="8"/>
      <c r="AI1287" s="4">
        <f>(AE1287+AF1287)-AH1287</f>
        <v>5608.5</v>
      </c>
      <c r="AJ1287" s="4">
        <f>AI1287+BP1286</f>
        <v>-148770.6155</v>
      </c>
      <c r="AK1287" s="8"/>
      <c r="AL1287" s="8"/>
      <c r="AM1287" s="47"/>
      <c r="AN1287" s="47"/>
      <c r="AO1287" s="8"/>
      <c r="AP1287" s="8"/>
      <c r="AQ1287" s="47"/>
      <c r="AR1287" s="47"/>
      <c r="AS1287" s="8"/>
      <c r="AT1287" s="8"/>
      <c r="AU1287" s="47"/>
      <c r="AV1287" s="47"/>
      <c r="AW1287" s="8"/>
      <c r="AX1287" s="8"/>
      <c r="AY1287" s="47"/>
      <c r="AZ1287" s="47"/>
      <c r="BA1287" s="8"/>
      <c r="BB1287" s="8"/>
      <c r="BC1287" s="47"/>
      <c r="BD1287" s="47"/>
      <c r="BE1287" s="8"/>
      <c r="BF1287" s="8"/>
      <c r="BG1287" s="47"/>
      <c r="BH1287" s="47"/>
      <c r="BI1287" s="8"/>
      <c r="BJ1287" s="3"/>
      <c r="BK1287" s="47"/>
      <c r="BL1287" s="47"/>
      <c r="BM1287" s="46"/>
      <c r="BN1287" s="46"/>
      <c r="BO1287" s="24">
        <f>AL1287+AN1287+AP1287+AR1287+AT1287+AV1287+AX1287+AZ1287+BB1287+BD1287+BF1287+BH1287+BJ1287+BL1287+BN1287</f>
        <v>0</v>
      </c>
      <c r="BP1287" s="28">
        <f>AJ1287-BO1287</f>
        <v>-148770.6155</v>
      </c>
      <c r="BQ1287" s="2">
        <v>45958</v>
      </c>
    </row>
    <row r="1288" spans="1:73">
      <c r="D1288" s="9" t="s">
        <v>15</v>
      </c>
      <c r="E1288" s="2">
        <v>45959</v>
      </c>
      <c r="F1288" s="38"/>
      <c r="G1288" s="126"/>
      <c r="H1288" s="4">
        <f>F611*50%</f>
        <v>1885.5</v>
      </c>
      <c r="I1288" s="120"/>
      <c r="J1288" s="4">
        <f>(G1288+H1288)-I1288</f>
        <v>1885.5</v>
      </c>
      <c r="K1288" s="4">
        <f>J1288+O1287</f>
        <v>623576.515</v>
      </c>
      <c r="L1288" s="3"/>
      <c r="M1288" s="3"/>
      <c r="N1288" s="33">
        <f>I1288+M1288</f>
        <v>0</v>
      </c>
      <c r="O1288" s="28">
        <f>K1288-M1288</f>
        <v>623576.515</v>
      </c>
      <c r="P1288" s="9" t="s">
        <v>15</v>
      </c>
      <c r="Q1288" s="2">
        <v>45959</v>
      </c>
      <c r="R1288" s="38"/>
      <c r="S1288" s="52"/>
      <c r="T1288" s="4">
        <f>R611*45%</f>
        <v>3046.95</v>
      </c>
      <c r="U1288" s="5"/>
      <c r="V1288" s="4">
        <f>(S1288+T1288)-U1288</f>
        <v>3046.95</v>
      </c>
      <c r="W1288" s="4">
        <f>V1288+AA1287</f>
        <v>535102.885</v>
      </c>
      <c r="X1288" s="3"/>
      <c r="Y1288" s="3"/>
      <c r="Z1288" s="25">
        <f>U1288+Y1288</f>
        <v>0</v>
      </c>
      <c r="AA1288" s="76">
        <f>W1288-Y1288</f>
        <v>535102.885</v>
      </c>
      <c r="AB1288" s="9" t="s">
        <v>15</v>
      </c>
      <c r="AC1288" s="19">
        <v>45959</v>
      </c>
      <c r="AD1288" s="41"/>
      <c r="AE1288" s="42"/>
      <c r="AF1288" s="4">
        <f>AD611-H1288-T1288</f>
        <v>5609.55</v>
      </c>
      <c r="AG1288" s="3"/>
      <c r="AH1288" s="8"/>
      <c r="AI1288" s="4">
        <f>(AE1288+AF1288)-AH1288</f>
        <v>5609.55</v>
      </c>
      <c r="AJ1288" s="4">
        <f>AI1288+BP1287</f>
        <v>-143161.0655</v>
      </c>
      <c r="AK1288" s="8"/>
      <c r="AL1288" s="8"/>
      <c r="AM1288" s="47"/>
      <c r="AN1288" s="47"/>
      <c r="AO1288" s="8"/>
      <c r="AP1288" s="8"/>
      <c r="AQ1288" s="47"/>
      <c r="AR1288" s="47"/>
      <c r="AS1288" s="8"/>
      <c r="AT1288" s="8"/>
      <c r="AU1288" s="47"/>
      <c r="AV1288" s="47"/>
      <c r="AW1288" s="8"/>
      <c r="AX1288" s="8"/>
      <c r="AY1288" s="47"/>
      <c r="AZ1288" s="47"/>
      <c r="BA1288" s="8"/>
      <c r="BB1288" s="8"/>
      <c r="BC1288" s="47"/>
      <c r="BD1288" s="47"/>
      <c r="BE1288" s="8"/>
      <c r="BF1288" s="8"/>
      <c r="BG1288" s="47"/>
      <c r="BH1288" s="47"/>
      <c r="BI1288" s="8"/>
      <c r="BJ1288" s="3"/>
      <c r="BK1288" s="47"/>
      <c r="BL1288" s="47"/>
      <c r="BM1288" s="46"/>
      <c r="BN1288" s="46"/>
      <c r="BO1288" s="24">
        <f>AL1288+AN1288+AP1288+AR1288+AT1288+AV1288+AX1288+AZ1288+BB1288+BD1288+BF1288+BH1288+BJ1288+BL1288+BN1288</f>
        <v>0</v>
      </c>
      <c r="BP1288" s="28">
        <f>AJ1288-BO1288</f>
        <v>-143161.0655</v>
      </c>
      <c r="BQ1288" s="2">
        <v>45959</v>
      </c>
    </row>
    <row r="1289" spans="1:73">
      <c r="D1289" s="9" t="s">
        <v>16</v>
      </c>
      <c r="E1289" s="2">
        <v>45960</v>
      </c>
      <c r="F1289" s="38"/>
      <c r="G1289" s="126"/>
      <c r="H1289" s="4">
        <f>F612*50%</f>
        <v>1886</v>
      </c>
      <c r="I1289" s="120"/>
      <c r="J1289" s="4">
        <f>(G1289+H1289)-I1289</f>
        <v>1886</v>
      </c>
      <c r="K1289" s="4">
        <f>J1289+O1288</f>
        <v>625462.515</v>
      </c>
      <c r="L1289" s="3"/>
      <c r="M1289" s="3"/>
      <c r="N1289" s="33">
        <f>I1289+M1289</f>
        <v>0</v>
      </c>
      <c r="O1289" s="28">
        <f>K1289-M1289</f>
        <v>625462.515</v>
      </c>
      <c r="P1289" s="9" t="s">
        <v>16</v>
      </c>
      <c r="Q1289" s="2">
        <v>45960</v>
      </c>
      <c r="R1289" s="38"/>
      <c r="S1289" s="52"/>
      <c r="T1289" s="4">
        <f>R612*45%</f>
        <v>3047.4</v>
      </c>
      <c r="U1289" s="5"/>
      <c r="V1289" s="4">
        <f>(S1289+T1289)-U1289</f>
        <v>3047.4</v>
      </c>
      <c r="W1289" s="4">
        <f>V1289+AA1288</f>
        <v>538150.285</v>
      </c>
      <c r="X1289" s="3"/>
      <c r="Y1289" s="3"/>
      <c r="Z1289" s="25">
        <f>U1289+Y1289</f>
        <v>0</v>
      </c>
      <c r="AA1289" s="76">
        <f>W1289-Y1289</f>
        <v>538150.285</v>
      </c>
      <c r="AB1289" s="9" t="s">
        <v>16</v>
      </c>
      <c r="AC1289" s="19">
        <v>45960</v>
      </c>
      <c r="AD1289" s="41"/>
      <c r="AE1289" s="42"/>
      <c r="AF1289" s="4">
        <f>AD612-H1289-T1289</f>
        <v>5610.6</v>
      </c>
      <c r="AG1289" s="3"/>
      <c r="AH1289" s="8"/>
      <c r="AI1289" s="4">
        <f>(AE1289+AF1289)-AH1289</f>
        <v>5610.6</v>
      </c>
      <c r="AJ1289" s="4">
        <f>AI1289+BP1288</f>
        <v>-137550.4655</v>
      </c>
      <c r="AK1289" s="8"/>
      <c r="AL1289" s="8"/>
      <c r="AM1289" s="47"/>
      <c r="AN1289" s="47"/>
      <c r="AO1289" s="8"/>
      <c r="AP1289" s="8"/>
      <c r="AQ1289" s="47"/>
      <c r="AR1289" s="47"/>
      <c r="AS1289" s="8"/>
      <c r="AT1289" s="8"/>
      <c r="AU1289" s="47"/>
      <c r="AV1289" s="47"/>
      <c r="AW1289" s="8"/>
      <c r="AX1289" s="8"/>
      <c r="AY1289" s="47"/>
      <c r="AZ1289" s="47"/>
      <c r="BA1289" s="8"/>
      <c r="BB1289" s="8"/>
      <c r="BC1289" s="47"/>
      <c r="BD1289" s="47"/>
      <c r="BE1289" s="8"/>
      <c r="BF1289" s="8"/>
      <c r="BG1289" s="47"/>
      <c r="BH1289" s="47"/>
      <c r="BI1289" s="8"/>
      <c r="BJ1289" s="3"/>
      <c r="BK1289" s="47"/>
      <c r="BL1289" s="47"/>
      <c r="BM1289" s="46"/>
      <c r="BN1289" s="46"/>
      <c r="BO1289" s="24">
        <f>AL1289+AN1289+AP1289+AR1289+AT1289+AV1289+AX1289+AZ1289+BB1289+BD1289+BF1289+BH1289+BJ1289+BL1289+BN1289</f>
        <v>0</v>
      </c>
      <c r="BP1289" s="28">
        <f>AJ1289-BO1289</f>
        <v>-137550.4655</v>
      </c>
      <c r="BQ1289" s="2">
        <v>45960</v>
      </c>
    </row>
    <row r="1290" spans="1:73">
      <c r="D1290" s="9" t="s">
        <v>10</v>
      </c>
      <c r="E1290" s="2">
        <v>45961</v>
      </c>
      <c r="F1290" s="38"/>
      <c r="G1290" s="126"/>
      <c r="H1290" s="4">
        <f>F613*50%</f>
        <v>1886.5</v>
      </c>
      <c r="I1290" s="120"/>
      <c r="J1290" s="4">
        <f>(G1290+H1290)-I1290</f>
        <v>1886.5</v>
      </c>
      <c r="K1290" s="4">
        <f>J1290+O1289</f>
        <v>627349.015</v>
      </c>
      <c r="L1290" s="3"/>
      <c r="M1290" s="3"/>
      <c r="N1290" s="33">
        <f>I1290+M1290</f>
        <v>0</v>
      </c>
      <c r="O1290" s="28">
        <f>K1290-M1290</f>
        <v>627349.015</v>
      </c>
      <c r="P1290" s="9" t="s">
        <v>10</v>
      </c>
      <c r="Q1290" s="2">
        <v>45961</v>
      </c>
      <c r="R1290" s="38"/>
      <c r="S1290" s="52"/>
      <c r="T1290" s="4">
        <f>R613*45%</f>
        <v>3047.85</v>
      </c>
      <c r="U1290" s="5"/>
      <c r="V1290" s="4">
        <f>(S1290+T1290)-U1290</f>
        <v>3047.85</v>
      </c>
      <c r="W1290" s="4">
        <f>V1290+AA1289</f>
        <v>541198.135</v>
      </c>
      <c r="X1290" s="3"/>
      <c r="Y1290" s="3"/>
      <c r="Z1290" s="25">
        <f>U1290+Y1290</f>
        <v>0</v>
      </c>
      <c r="AA1290" s="76">
        <f>W1290-Y1290</f>
        <v>541198.135</v>
      </c>
      <c r="AB1290" s="9" t="s">
        <v>10</v>
      </c>
      <c r="AC1290" s="19">
        <v>45961</v>
      </c>
      <c r="AD1290" s="41"/>
      <c r="AE1290" s="42"/>
      <c r="AF1290" s="4">
        <f>AD613-H1290-T1290</f>
        <v>5611.65</v>
      </c>
      <c r="AG1290" s="3"/>
      <c r="AH1290" s="8"/>
      <c r="AI1290" s="4">
        <f>(AE1290+AF1290)-AH1290</f>
        <v>5611.65</v>
      </c>
      <c r="AJ1290" s="4">
        <f>AI1290+BP1289</f>
        <v>-131938.8155</v>
      </c>
      <c r="AK1290" s="8"/>
      <c r="AL1290" s="8"/>
      <c r="AM1290" s="47"/>
      <c r="AN1290" s="47"/>
      <c r="AO1290" s="8"/>
      <c r="AP1290" s="8"/>
      <c r="AQ1290" s="47"/>
      <c r="AR1290" s="47"/>
      <c r="AS1290" s="8"/>
      <c r="AT1290" s="8"/>
      <c r="AU1290" s="47"/>
      <c r="AV1290" s="47"/>
      <c r="AW1290" s="8"/>
      <c r="AX1290" s="8"/>
      <c r="AY1290" s="47"/>
      <c r="AZ1290" s="47"/>
      <c r="BA1290" s="8"/>
      <c r="BB1290" s="8"/>
      <c r="BC1290" s="47"/>
      <c r="BD1290" s="47"/>
      <c r="BE1290" s="8"/>
      <c r="BF1290" s="8"/>
      <c r="BG1290" s="47"/>
      <c r="BH1290" s="47"/>
      <c r="BI1290" s="8"/>
      <c r="BJ1290" s="3"/>
      <c r="BK1290" s="47"/>
      <c r="BL1290" s="47"/>
      <c r="BM1290" s="46"/>
      <c r="BN1290" s="46"/>
      <c r="BO1290" s="24">
        <f>AL1290+AN1290+AP1290+AR1290+AT1290+AV1290+AX1290+AZ1290+BB1290+BD1290+BF1290+BH1290+BJ1290+BL1290+BN1290</f>
        <v>0</v>
      </c>
      <c r="BP1290" s="28">
        <f>AJ1290-BO1290</f>
        <v>-131938.8155</v>
      </c>
      <c r="BQ1290" s="2">
        <v>45961</v>
      </c>
    </row>
    <row r="1291" spans="1:73">
      <c r="D1291" s="9" t="s">
        <v>11</v>
      </c>
      <c r="E1291" s="2">
        <v>45962</v>
      </c>
      <c r="F1291" s="38"/>
      <c r="G1291" s="126"/>
      <c r="H1291" s="4">
        <f>F614*50%</f>
        <v>1887</v>
      </c>
      <c r="I1291" s="120"/>
      <c r="J1291" s="4">
        <f>(G1291+H1291)-I1291</f>
        <v>1887</v>
      </c>
      <c r="K1291" s="4">
        <f>J1291+O1290</f>
        <v>629236.015</v>
      </c>
      <c r="L1291" s="3"/>
      <c r="M1291" s="3"/>
      <c r="N1291" s="33">
        <f>I1291+M1291</f>
        <v>0</v>
      </c>
      <c r="O1291" s="28">
        <f>K1291-M1291</f>
        <v>629236.015</v>
      </c>
      <c r="P1291" s="9" t="s">
        <v>11</v>
      </c>
      <c r="Q1291" s="2">
        <v>45962</v>
      </c>
      <c r="R1291" s="38"/>
      <c r="S1291" s="52"/>
      <c r="T1291" s="4">
        <f>R614*45%</f>
        <v>3048.3</v>
      </c>
      <c r="U1291" s="5"/>
      <c r="V1291" s="4">
        <f>(S1291+T1291)-U1291</f>
        <v>3048.3</v>
      </c>
      <c r="W1291" s="4">
        <f>V1291+AA1290</f>
        <v>544246.435</v>
      </c>
      <c r="X1291" s="3"/>
      <c r="Y1291" s="3"/>
      <c r="Z1291" s="25">
        <f>U1291+Y1291</f>
        <v>0</v>
      </c>
      <c r="AA1291" s="76">
        <f>W1291-Y1291</f>
        <v>544246.435</v>
      </c>
      <c r="AB1291" s="9" t="s">
        <v>11</v>
      </c>
      <c r="AC1291" s="19">
        <v>45962</v>
      </c>
      <c r="AD1291" s="41"/>
      <c r="AE1291" s="42"/>
      <c r="AF1291" s="4">
        <f>AD614-H1291-T1291</f>
        <v>5612.7</v>
      </c>
      <c r="AG1291" s="3"/>
      <c r="AH1291" s="8"/>
      <c r="AI1291" s="4">
        <f>(AE1291+AF1291)-AH1291</f>
        <v>5612.7</v>
      </c>
      <c r="AJ1291" s="4">
        <f>AI1291+BP1290</f>
        <v>-126326.1155</v>
      </c>
      <c r="AK1291" s="8"/>
      <c r="AL1291" s="8"/>
      <c r="AM1291" s="47"/>
      <c r="AN1291" s="47"/>
      <c r="AO1291" s="8"/>
      <c r="AP1291" s="8"/>
      <c r="AQ1291" s="47"/>
      <c r="AR1291" s="47"/>
      <c r="AS1291" s="8"/>
      <c r="AT1291" s="8"/>
      <c r="AU1291" s="47"/>
      <c r="AV1291" s="47"/>
      <c r="AW1291" s="8"/>
      <c r="AX1291" s="8"/>
      <c r="AY1291" s="47"/>
      <c r="AZ1291" s="47"/>
      <c r="BA1291" s="8"/>
      <c r="BB1291" s="8"/>
      <c r="BC1291" s="47"/>
      <c r="BD1291" s="47"/>
      <c r="BE1291" s="8"/>
      <c r="BF1291" s="8"/>
      <c r="BG1291" s="47"/>
      <c r="BH1291" s="47"/>
      <c r="BI1291" s="8"/>
      <c r="BJ1291" s="3"/>
      <c r="BK1291" s="47"/>
      <c r="BL1291" s="47"/>
      <c r="BM1291" s="46"/>
      <c r="BN1291" s="46"/>
      <c r="BO1291" s="24">
        <f>AL1291+AN1291+AP1291+AR1291+AT1291+AV1291+AX1291+AZ1291+BB1291+BD1291+BF1291+BH1291+BJ1291+BL1291+BN1291</f>
        <v>0</v>
      </c>
      <c r="BP1291" s="28">
        <f>AJ1291-BO1291</f>
        <v>-126326.1155</v>
      </c>
      <c r="BQ1291" s="2">
        <v>45962</v>
      </c>
    </row>
    <row r="1292" spans="1:73">
      <c r="D1292" s="9" t="s">
        <v>12</v>
      </c>
      <c r="E1292" s="2">
        <v>45963</v>
      </c>
      <c r="F1292" s="38"/>
      <c r="G1292" s="126"/>
      <c r="H1292" s="4">
        <f>F615*50%</f>
        <v>1887.5</v>
      </c>
      <c r="I1292" s="120"/>
      <c r="J1292" s="4">
        <f>(G1292+H1292)-I1292</f>
        <v>1887.5</v>
      </c>
      <c r="K1292" s="4">
        <f>J1292+O1291</f>
        <v>631123.515</v>
      </c>
      <c r="L1292" s="3"/>
      <c r="M1292" s="3"/>
      <c r="N1292" s="33">
        <f>I1292+M1292</f>
        <v>0</v>
      </c>
      <c r="O1292" s="28">
        <f>K1292-M1292</f>
        <v>631123.515</v>
      </c>
      <c r="P1292" s="9" t="s">
        <v>12</v>
      </c>
      <c r="Q1292" s="2">
        <v>45963</v>
      </c>
      <c r="R1292" s="38"/>
      <c r="S1292" s="52"/>
      <c r="T1292" s="4">
        <f>R615*45%</f>
        <v>3048.75</v>
      </c>
      <c r="U1292" s="5"/>
      <c r="V1292" s="4">
        <f>(S1292+T1292)-U1292</f>
        <v>3048.75</v>
      </c>
      <c r="W1292" s="4">
        <f>V1292+AA1291</f>
        <v>547295.185</v>
      </c>
      <c r="X1292" s="3"/>
      <c r="Y1292" s="3"/>
      <c r="Z1292" s="25">
        <f>U1292+Y1292</f>
        <v>0</v>
      </c>
      <c r="AA1292" s="76">
        <f>W1292-Y1292</f>
        <v>547295.185</v>
      </c>
      <c r="AB1292" s="9" t="s">
        <v>12</v>
      </c>
      <c r="AC1292" s="19">
        <v>45963</v>
      </c>
      <c r="AD1292" s="41"/>
      <c r="AE1292" s="42"/>
      <c r="AF1292" s="4">
        <f>AD615-H1292-T1292</f>
        <v>5613.75</v>
      </c>
      <c r="AG1292" s="3"/>
      <c r="AH1292" s="8"/>
      <c r="AI1292" s="4">
        <f>(AE1292+AF1292)-AH1292</f>
        <v>5613.75</v>
      </c>
      <c r="AJ1292" s="4">
        <f>AI1292+BP1291</f>
        <v>-120712.3655</v>
      </c>
      <c r="AK1292" s="8"/>
      <c r="AL1292" s="8"/>
      <c r="AM1292" s="47"/>
      <c r="AN1292" s="47"/>
      <c r="AO1292" s="8"/>
      <c r="AP1292" s="8"/>
      <c r="AQ1292" s="47"/>
      <c r="AR1292" s="47"/>
      <c r="AS1292" s="8"/>
      <c r="AT1292" s="8"/>
      <c r="AU1292" s="47"/>
      <c r="AV1292" s="47"/>
      <c r="AW1292" s="8"/>
      <c r="AX1292" s="8"/>
      <c r="AY1292" s="47"/>
      <c r="AZ1292" s="47"/>
      <c r="BA1292" s="8"/>
      <c r="BB1292" s="8"/>
      <c r="BC1292" s="47"/>
      <c r="BD1292" s="47"/>
      <c r="BE1292" s="8"/>
      <c r="BF1292" s="8"/>
      <c r="BG1292" s="47"/>
      <c r="BH1292" s="47"/>
      <c r="BI1292" s="8"/>
      <c r="BJ1292" s="3"/>
      <c r="BK1292" s="47"/>
      <c r="BL1292" s="47"/>
      <c r="BM1292" s="46"/>
      <c r="BN1292" s="46"/>
      <c r="BO1292" s="24">
        <f>AL1292+AN1292+AP1292+AR1292+AT1292+AV1292+AX1292+AZ1292+BB1292+BD1292+BF1292+BH1292+BJ1292+BL1292+BN1292</f>
        <v>0</v>
      </c>
      <c r="BP1292" s="28">
        <f>AJ1292-BO1292</f>
        <v>-120712.3655</v>
      </c>
      <c r="BQ1292" s="2">
        <v>45963</v>
      </c>
    </row>
    <row r="1293" spans="1:73">
      <c r="D1293" s="9" t="s">
        <v>13</v>
      </c>
      <c r="E1293" s="2">
        <v>45964</v>
      </c>
      <c r="F1293" s="38"/>
      <c r="G1293" s="126"/>
      <c r="H1293" s="4">
        <f>F616*50%</f>
        <v>1888</v>
      </c>
      <c r="I1293" s="120"/>
      <c r="J1293" s="4">
        <f>(G1293+H1293)-I1293</f>
        <v>1888</v>
      </c>
      <c r="K1293" s="4">
        <f>J1293+O1292</f>
        <v>633011.515</v>
      </c>
      <c r="L1293" s="3"/>
      <c r="M1293" s="3"/>
      <c r="N1293" s="33">
        <f>I1293+M1293</f>
        <v>0</v>
      </c>
      <c r="O1293" s="28">
        <f>K1293-M1293</f>
        <v>633011.515</v>
      </c>
      <c r="P1293" s="9" t="s">
        <v>13</v>
      </c>
      <c r="Q1293" s="2">
        <v>45964</v>
      </c>
      <c r="R1293" s="38"/>
      <c r="S1293" s="52"/>
      <c r="T1293" s="4">
        <f>R616*45%</f>
        <v>3049.2</v>
      </c>
      <c r="U1293" s="5"/>
      <c r="V1293" s="4">
        <f>(S1293+T1293)-U1293</f>
        <v>3049.2</v>
      </c>
      <c r="W1293" s="4">
        <f>V1293+AA1292</f>
        <v>550344.385</v>
      </c>
      <c r="X1293" s="3"/>
      <c r="Y1293" s="3"/>
      <c r="Z1293" s="25">
        <f>U1293+Y1293</f>
        <v>0</v>
      </c>
      <c r="AA1293" s="76">
        <f>W1293-Y1293</f>
        <v>550344.385</v>
      </c>
      <c r="AB1293" s="9" t="s">
        <v>13</v>
      </c>
      <c r="AC1293" s="19">
        <v>45964</v>
      </c>
      <c r="AD1293" s="41"/>
      <c r="AE1293" s="42"/>
      <c r="AF1293" s="4">
        <f>AD616-H1293-T1293</f>
        <v>5614.8</v>
      </c>
      <c r="AG1293" s="3"/>
      <c r="AH1293" s="8"/>
      <c r="AI1293" s="4">
        <f>(AE1293+AF1293)-AH1293</f>
        <v>5614.8</v>
      </c>
      <c r="AJ1293" s="4">
        <f>AI1293+BP1292</f>
        <v>-115097.5655</v>
      </c>
      <c r="AK1293" s="8"/>
      <c r="AL1293" s="8"/>
      <c r="AM1293" s="47"/>
      <c r="AN1293" s="47"/>
      <c r="AO1293" s="8"/>
      <c r="AP1293" s="8"/>
      <c r="AQ1293" s="47"/>
      <c r="AR1293" s="47"/>
      <c r="AS1293" s="8"/>
      <c r="AT1293" s="8"/>
      <c r="AU1293" s="47"/>
      <c r="AV1293" s="47"/>
      <c r="AW1293" s="8"/>
      <c r="AX1293" s="8"/>
      <c r="AY1293" s="47"/>
      <c r="AZ1293" s="47"/>
      <c r="BA1293" s="8"/>
      <c r="BB1293" s="8"/>
      <c r="BC1293" s="47"/>
      <c r="BD1293" s="47"/>
      <c r="BE1293" s="8"/>
      <c r="BF1293" s="8"/>
      <c r="BG1293" s="47"/>
      <c r="BH1293" s="47"/>
      <c r="BI1293" s="8"/>
      <c r="BJ1293" s="3"/>
      <c r="BK1293" s="47"/>
      <c r="BL1293" s="47"/>
      <c r="BM1293" s="46"/>
      <c r="BN1293" s="46"/>
      <c r="BO1293" s="24">
        <f>AL1293+AN1293+AP1293+AR1293+AT1293+AV1293+AX1293+AZ1293+BB1293+BD1293+BF1293+BH1293+BJ1293+BL1293+BN1293</f>
        <v>0</v>
      </c>
      <c r="BP1293" s="28">
        <f>AJ1293-BO1293</f>
        <v>-115097.5655</v>
      </c>
      <c r="BQ1293" s="2">
        <v>45964</v>
      </c>
    </row>
    <row r="1294" spans="1:73">
      <c r="D1294" s="9" t="s">
        <v>14</v>
      </c>
      <c r="E1294" s="2">
        <v>45965</v>
      </c>
      <c r="F1294" s="38"/>
      <c r="G1294" s="126"/>
      <c r="H1294" s="4">
        <f>F617*50%</f>
        <v>1888.5</v>
      </c>
      <c r="I1294" s="120"/>
      <c r="J1294" s="4">
        <f>(G1294+H1294)-I1294</f>
        <v>1888.5</v>
      </c>
      <c r="K1294" s="4">
        <f>J1294+O1293</f>
        <v>634900.015</v>
      </c>
      <c r="L1294" s="3"/>
      <c r="M1294" s="3"/>
      <c r="N1294" s="33">
        <f>I1294+M1294</f>
        <v>0</v>
      </c>
      <c r="O1294" s="28">
        <f>K1294-M1294</f>
        <v>634900.015</v>
      </c>
      <c r="P1294" s="9" t="s">
        <v>14</v>
      </c>
      <c r="Q1294" s="2">
        <v>45965</v>
      </c>
      <c r="R1294" s="38"/>
      <c r="S1294" s="52"/>
      <c r="T1294" s="4">
        <f>R617*45%</f>
        <v>3049.65</v>
      </c>
      <c r="U1294" s="5"/>
      <c r="V1294" s="4">
        <f>(S1294+T1294)-U1294</f>
        <v>3049.65</v>
      </c>
      <c r="W1294" s="4">
        <f>V1294+AA1293</f>
        <v>553394.035</v>
      </c>
      <c r="X1294" s="3"/>
      <c r="Y1294" s="3"/>
      <c r="Z1294" s="25">
        <f>U1294+Y1294</f>
        <v>0</v>
      </c>
      <c r="AA1294" s="76">
        <f>W1294-Y1294</f>
        <v>553394.035</v>
      </c>
      <c r="AB1294" s="9" t="s">
        <v>14</v>
      </c>
      <c r="AC1294" s="19">
        <v>45965</v>
      </c>
      <c r="AD1294" s="41"/>
      <c r="AE1294" s="42"/>
      <c r="AF1294" s="4">
        <f>AD617-H1294-T1294</f>
        <v>5615.85</v>
      </c>
      <c r="AG1294" s="3"/>
      <c r="AH1294" s="8"/>
      <c r="AI1294" s="4">
        <f>(AE1294+AF1294)-AH1294</f>
        <v>5615.85</v>
      </c>
      <c r="AJ1294" s="4">
        <f>AI1294+BP1293</f>
        <v>-109481.7155</v>
      </c>
      <c r="AK1294" s="8"/>
      <c r="AL1294" s="8"/>
      <c r="AM1294" s="47"/>
      <c r="AN1294" s="47"/>
      <c r="AO1294" s="8"/>
      <c r="AP1294" s="8"/>
      <c r="AQ1294" s="47"/>
      <c r="AR1294" s="47"/>
      <c r="AS1294" s="8"/>
      <c r="AT1294" s="8"/>
      <c r="AU1294" s="47"/>
      <c r="AV1294" s="47"/>
      <c r="AW1294" s="8"/>
      <c r="AX1294" s="8"/>
      <c r="AY1294" s="47"/>
      <c r="AZ1294" s="47"/>
      <c r="BA1294" s="8"/>
      <c r="BB1294" s="8"/>
      <c r="BC1294" s="47"/>
      <c r="BD1294" s="47"/>
      <c r="BE1294" s="8"/>
      <c r="BF1294" s="8"/>
      <c r="BG1294" s="47"/>
      <c r="BH1294" s="47"/>
      <c r="BI1294" s="8"/>
      <c r="BJ1294" s="3"/>
      <c r="BK1294" s="47"/>
      <c r="BL1294" s="47"/>
      <c r="BM1294" s="46"/>
      <c r="BN1294" s="46"/>
      <c r="BO1294" s="24">
        <f>AL1294+AN1294+AP1294+AR1294+AT1294+AV1294+AX1294+AZ1294+BB1294+BD1294+BF1294+BH1294+BJ1294+BL1294+BN1294</f>
        <v>0</v>
      </c>
      <c r="BP1294" s="28">
        <f>AJ1294-BO1294</f>
        <v>-109481.7155</v>
      </c>
      <c r="BQ1294" s="2">
        <v>45965</v>
      </c>
    </row>
    <row r="1295" spans="1:73">
      <c r="D1295" s="9" t="s">
        <v>15</v>
      </c>
      <c r="E1295" s="2">
        <v>45966</v>
      </c>
      <c r="F1295" s="38"/>
      <c r="G1295" s="126"/>
      <c r="H1295" s="4">
        <f>F618*50%</f>
        <v>1889</v>
      </c>
      <c r="I1295" s="120"/>
      <c r="J1295" s="4">
        <f>(G1295+H1295)-I1295</f>
        <v>1889</v>
      </c>
      <c r="K1295" s="4">
        <f>J1295+O1294</f>
        <v>636789.015</v>
      </c>
      <c r="L1295" s="3"/>
      <c r="M1295" s="3"/>
      <c r="N1295" s="33">
        <f>I1295+M1295</f>
        <v>0</v>
      </c>
      <c r="O1295" s="28">
        <f>K1295-M1295</f>
        <v>636789.015</v>
      </c>
      <c r="P1295" s="9" t="s">
        <v>15</v>
      </c>
      <c r="Q1295" s="2">
        <v>45966</v>
      </c>
      <c r="R1295" s="38"/>
      <c r="S1295" s="52"/>
      <c r="T1295" s="4">
        <f>R618*45%</f>
        <v>3050.1</v>
      </c>
      <c r="U1295" s="5"/>
      <c r="V1295" s="4">
        <f>(S1295+T1295)-U1295</f>
        <v>3050.1</v>
      </c>
      <c r="W1295" s="4">
        <f>V1295+AA1294</f>
        <v>556444.135</v>
      </c>
      <c r="X1295" s="3"/>
      <c r="Y1295" s="3"/>
      <c r="Z1295" s="25">
        <f>U1295+Y1295</f>
        <v>0</v>
      </c>
      <c r="AA1295" s="76">
        <f>W1295-Y1295</f>
        <v>556444.135</v>
      </c>
      <c r="AB1295" s="9" t="s">
        <v>15</v>
      </c>
      <c r="AC1295" s="19">
        <v>45966</v>
      </c>
      <c r="AD1295" s="41"/>
      <c r="AE1295" s="42"/>
      <c r="AF1295" s="4">
        <f>AD618-H1295-T1295</f>
        <v>5616.9</v>
      </c>
      <c r="AG1295" s="3"/>
      <c r="AH1295" s="8"/>
      <c r="AI1295" s="4">
        <f>(AE1295+AF1295)-AH1295</f>
        <v>5616.9</v>
      </c>
      <c r="AJ1295" s="4">
        <f>AI1295+BP1294</f>
        <v>-103864.8155</v>
      </c>
      <c r="AK1295" s="8"/>
      <c r="AL1295" s="8"/>
      <c r="AM1295" s="47"/>
      <c r="AN1295" s="47"/>
      <c r="AO1295" s="8"/>
      <c r="AP1295" s="8"/>
      <c r="AQ1295" s="47"/>
      <c r="AR1295" s="47"/>
      <c r="AS1295" s="8"/>
      <c r="AT1295" s="8"/>
      <c r="AU1295" s="47"/>
      <c r="AV1295" s="47"/>
      <c r="AW1295" s="8"/>
      <c r="AX1295" s="8"/>
      <c r="AY1295" s="47"/>
      <c r="AZ1295" s="47"/>
      <c r="BA1295" s="8"/>
      <c r="BB1295" s="8"/>
      <c r="BC1295" s="47"/>
      <c r="BD1295" s="47"/>
      <c r="BE1295" s="8"/>
      <c r="BF1295" s="8"/>
      <c r="BG1295" s="47"/>
      <c r="BH1295" s="47"/>
      <c r="BI1295" s="8"/>
      <c r="BJ1295" s="3"/>
      <c r="BK1295" s="47"/>
      <c r="BL1295" s="47"/>
      <c r="BM1295" s="46"/>
      <c r="BN1295" s="46"/>
      <c r="BO1295" s="24">
        <f>AL1295+AN1295+AP1295+AR1295+AT1295+AV1295+AX1295+AZ1295+BB1295+BD1295+BF1295+BH1295+BJ1295+BL1295+BN1295</f>
        <v>0</v>
      </c>
      <c r="BP1295" s="28">
        <f>AJ1295-BO1295</f>
        <v>-103864.8155</v>
      </c>
      <c r="BQ1295" s="2">
        <v>45966</v>
      </c>
    </row>
    <row r="1296" spans="1:73">
      <c r="D1296" s="9" t="s">
        <v>16</v>
      </c>
      <c r="E1296" s="2">
        <v>45967</v>
      </c>
      <c r="F1296" s="38"/>
      <c r="G1296" s="126"/>
      <c r="H1296" s="4">
        <f>F619*50%</f>
        <v>1889.5</v>
      </c>
      <c r="I1296" s="120"/>
      <c r="J1296" s="4">
        <f>(G1296+H1296)-I1296</f>
        <v>1889.5</v>
      </c>
      <c r="K1296" s="4">
        <f>J1296+O1295</f>
        <v>638678.515</v>
      </c>
      <c r="L1296" s="3"/>
      <c r="M1296" s="3"/>
      <c r="N1296" s="33">
        <f>I1296+M1296</f>
        <v>0</v>
      </c>
      <c r="O1296" s="28">
        <f>K1296-M1296</f>
        <v>638678.515</v>
      </c>
      <c r="P1296" s="9" t="s">
        <v>16</v>
      </c>
      <c r="Q1296" s="2">
        <v>45967</v>
      </c>
      <c r="R1296" s="38"/>
      <c r="S1296" s="52"/>
      <c r="T1296" s="4">
        <f>R619*45%</f>
        <v>3050.55</v>
      </c>
      <c r="U1296" s="5"/>
      <c r="V1296" s="4">
        <f>(S1296+T1296)-U1296</f>
        <v>3050.55</v>
      </c>
      <c r="W1296" s="4">
        <f>V1296+AA1295</f>
        <v>559494.685</v>
      </c>
      <c r="X1296" s="3"/>
      <c r="Y1296" s="3"/>
      <c r="Z1296" s="25">
        <f>U1296+Y1296</f>
        <v>0</v>
      </c>
      <c r="AA1296" s="76">
        <f>W1296-Y1296</f>
        <v>559494.685</v>
      </c>
      <c r="AB1296" s="9" t="s">
        <v>16</v>
      </c>
      <c r="AC1296" s="19">
        <v>45967</v>
      </c>
      <c r="AD1296" s="41"/>
      <c r="AE1296" s="42"/>
      <c r="AF1296" s="4">
        <f>AD619-H1296-T1296</f>
        <v>5617.95</v>
      </c>
      <c r="AG1296" s="3"/>
      <c r="AH1296" s="8"/>
      <c r="AI1296" s="4">
        <f>(AE1296+AF1296)-AH1296</f>
        <v>5617.95</v>
      </c>
      <c r="AJ1296" s="4">
        <f>AI1296+BP1295</f>
        <v>-98246.8655</v>
      </c>
      <c r="AK1296" s="8"/>
      <c r="AL1296" s="8"/>
      <c r="AM1296" s="47"/>
      <c r="AN1296" s="47"/>
      <c r="AO1296" s="8"/>
      <c r="AP1296" s="8"/>
      <c r="AQ1296" s="47"/>
      <c r="AR1296" s="47"/>
      <c r="AS1296" s="8"/>
      <c r="AT1296" s="8"/>
      <c r="AU1296" s="47"/>
      <c r="AV1296" s="47"/>
      <c r="AW1296" s="8"/>
      <c r="AX1296" s="8"/>
      <c r="AY1296" s="47"/>
      <c r="AZ1296" s="47"/>
      <c r="BA1296" s="8"/>
      <c r="BB1296" s="8"/>
      <c r="BC1296" s="47"/>
      <c r="BD1296" s="47"/>
      <c r="BE1296" s="8"/>
      <c r="BF1296" s="8"/>
      <c r="BG1296" s="47"/>
      <c r="BH1296" s="47"/>
      <c r="BI1296" s="8"/>
      <c r="BJ1296" s="3"/>
      <c r="BK1296" s="47"/>
      <c r="BL1296" s="47"/>
      <c r="BM1296" s="46"/>
      <c r="BN1296" s="46"/>
      <c r="BO1296" s="24">
        <f>AL1296+AN1296+AP1296+AR1296+AT1296+AV1296+AX1296+AZ1296+BB1296+BD1296+BF1296+BH1296+BJ1296+BL1296+BN1296</f>
        <v>0</v>
      </c>
      <c r="BP1296" s="28">
        <f>AJ1296-BO1296</f>
        <v>-98246.8655</v>
      </c>
      <c r="BQ1296" s="2">
        <v>45967</v>
      </c>
    </row>
    <row r="1297" spans="1:73">
      <c r="D1297" s="9" t="s">
        <v>10</v>
      </c>
      <c r="E1297" s="2">
        <v>45968</v>
      </c>
      <c r="F1297" s="38"/>
      <c r="G1297" s="126"/>
      <c r="H1297" s="4">
        <f>F620*50%</f>
        <v>1890</v>
      </c>
      <c r="I1297" s="120"/>
      <c r="J1297" s="4">
        <f>(G1297+H1297)-I1297</f>
        <v>1890</v>
      </c>
      <c r="K1297" s="4">
        <f>J1297+O1296</f>
        <v>640568.515</v>
      </c>
      <c r="L1297" s="3"/>
      <c r="M1297" s="3"/>
      <c r="N1297" s="33">
        <f>I1297+M1297</f>
        <v>0</v>
      </c>
      <c r="O1297" s="28">
        <f>K1297-M1297</f>
        <v>640568.515</v>
      </c>
      <c r="P1297" s="9" t="s">
        <v>10</v>
      </c>
      <c r="Q1297" s="2">
        <v>45968</v>
      </c>
      <c r="R1297" s="38"/>
      <c r="S1297" s="52"/>
      <c r="T1297" s="4">
        <f>R620*45%</f>
        <v>3051</v>
      </c>
      <c r="U1297" s="5"/>
      <c r="V1297" s="4">
        <f>(S1297+T1297)-U1297</f>
        <v>3051</v>
      </c>
      <c r="W1297" s="4">
        <f>V1297+AA1296</f>
        <v>562545.685</v>
      </c>
      <c r="X1297" s="3"/>
      <c r="Y1297" s="3"/>
      <c r="Z1297" s="25">
        <f>U1297+Y1297</f>
        <v>0</v>
      </c>
      <c r="AA1297" s="76">
        <f>W1297-Y1297</f>
        <v>562545.685</v>
      </c>
      <c r="AB1297" s="9" t="s">
        <v>10</v>
      </c>
      <c r="AC1297" s="19">
        <v>45968</v>
      </c>
      <c r="AD1297" s="41"/>
      <c r="AE1297" s="42"/>
      <c r="AF1297" s="4">
        <f>AD620-H1297-T1297</f>
        <v>5619</v>
      </c>
      <c r="AG1297" s="3"/>
      <c r="AH1297" s="8"/>
      <c r="AI1297" s="4">
        <f>(AE1297+AF1297)-AH1297</f>
        <v>5619</v>
      </c>
      <c r="AJ1297" s="4">
        <f>AI1297+BP1296</f>
        <v>-92627.8655</v>
      </c>
      <c r="AK1297" s="8"/>
      <c r="AL1297" s="8"/>
      <c r="AM1297" s="47"/>
      <c r="AN1297" s="47"/>
      <c r="AO1297" s="8"/>
      <c r="AP1297" s="8"/>
      <c r="AQ1297" s="47"/>
      <c r="AR1297" s="47"/>
      <c r="AS1297" s="8"/>
      <c r="AT1297" s="8"/>
      <c r="AU1297" s="47"/>
      <c r="AV1297" s="47"/>
      <c r="AW1297" s="8"/>
      <c r="AX1297" s="8"/>
      <c r="AY1297" s="47"/>
      <c r="AZ1297" s="47"/>
      <c r="BA1297" s="8"/>
      <c r="BB1297" s="8"/>
      <c r="BC1297" s="47"/>
      <c r="BD1297" s="47"/>
      <c r="BE1297" s="8"/>
      <c r="BF1297" s="8"/>
      <c r="BG1297" s="47"/>
      <c r="BH1297" s="47"/>
      <c r="BI1297" s="8"/>
      <c r="BJ1297" s="3"/>
      <c r="BK1297" s="47"/>
      <c r="BL1297" s="47"/>
      <c r="BM1297" s="46"/>
      <c r="BN1297" s="46"/>
      <c r="BO1297" s="24">
        <f>AL1297+AN1297+AP1297+AR1297+AT1297+AV1297+AX1297+AZ1297+BB1297+BD1297+BF1297+BH1297+BJ1297+BL1297+BN1297</f>
        <v>0</v>
      </c>
      <c r="BP1297" s="28">
        <f>AJ1297-BO1297</f>
        <v>-92627.8655</v>
      </c>
      <c r="BQ1297" s="2">
        <v>45968</v>
      </c>
    </row>
    <row r="1298" spans="1:73">
      <c r="D1298" s="9" t="s">
        <v>11</v>
      </c>
      <c r="E1298" s="2">
        <v>45969</v>
      </c>
      <c r="F1298" s="38"/>
      <c r="G1298" s="126"/>
      <c r="H1298" s="4">
        <f>F621*50%</f>
        <v>1890.5</v>
      </c>
      <c r="I1298" s="120"/>
      <c r="J1298" s="4">
        <f>(G1298+H1298)-I1298</f>
        <v>1890.5</v>
      </c>
      <c r="K1298" s="4">
        <f>J1298+O1297</f>
        <v>642459.015</v>
      </c>
      <c r="L1298" s="3"/>
      <c r="M1298" s="3"/>
      <c r="N1298" s="33">
        <f>I1298+M1298</f>
        <v>0</v>
      </c>
      <c r="O1298" s="28">
        <f>K1298-M1298</f>
        <v>642459.015</v>
      </c>
      <c r="P1298" s="9" t="s">
        <v>11</v>
      </c>
      <c r="Q1298" s="2">
        <v>45969</v>
      </c>
      <c r="R1298" s="38"/>
      <c r="S1298" s="52"/>
      <c r="T1298" s="4">
        <f>R621*45%</f>
        <v>3051.45</v>
      </c>
      <c r="U1298" s="5"/>
      <c r="V1298" s="4">
        <f>(S1298+T1298)-U1298</f>
        <v>3051.45</v>
      </c>
      <c r="W1298" s="4">
        <f>V1298+AA1297</f>
        <v>565597.135</v>
      </c>
      <c r="X1298" s="3"/>
      <c r="Y1298" s="3"/>
      <c r="Z1298" s="25">
        <f>U1298+Y1298</f>
        <v>0</v>
      </c>
      <c r="AA1298" s="76">
        <f>W1298-Y1298</f>
        <v>565597.135</v>
      </c>
      <c r="AB1298" s="9" t="s">
        <v>11</v>
      </c>
      <c r="AC1298" s="19">
        <v>45969</v>
      </c>
      <c r="AD1298" s="41"/>
      <c r="AE1298" s="42"/>
      <c r="AF1298" s="4">
        <f>AD621-H1298-T1298</f>
        <v>5620.05</v>
      </c>
      <c r="AG1298" s="3"/>
      <c r="AH1298" s="8"/>
      <c r="AI1298" s="4">
        <f>(AE1298+AF1298)-AH1298</f>
        <v>5620.05</v>
      </c>
      <c r="AJ1298" s="4">
        <f>AI1298+BP1297</f>
        <v>-87007.8155</v>
      </c>
      <c r="AK1298" s="8"/>
      <c r="AL1298" s="8"/>
      <c r="AM1298" s="47"/>
      <c r="AN1298" s="47"/>
      <c r="AO1298" s="8"/>
      <c r="AP1298" s="8"/>
      <c r="AQ1298" s="47"/>
      <c r="AR1298" s="47"/>
      <c r="AS1298" s="8"/>
      <c r="AT1298" s="8"/>
      <c r="AU1298" s="47"/>
      <c r="AV1298" s="47"/>
      <c r="AW1298" s="8"/>
      <c r="AX1298" s="8"/>
      <c r="AY1298" s="47"/>
      <c r="AZ1298" s="47"/>
      <c r="BA1298" s="8"/>
      <c r="BB1298" s="8"/>
      <c r="BC1298" s="47"/>
      <c r="BD1298" s="47"/>
      <c r="BE1298" s="8"/>
      <c r="BF1298" s="8"/>
      <c r="BG1298" s="47"/>
      <c r="BH1298" s="47"/>
      <c r="BI1298" s="8"/>
      <c r="BJ1298" s="3"/>
      <c r="BK1298" s="47"/>
      <c r="BL1298" s="47"/>
      <c r="BM1298" s="46"/>
      <c r="BN1298" s="46"/>
      <c r="BO1298" s="24">
        <f>AL1298+AN1298+AP1298+AR1298+AT1298+AV1298+AX1298+AZ1298+BB1298+BD1298+BF1298+BH1298+BJ1298+BL1298+BN1298</f>
        <v>0</v>
      </c>
      <c r="BP1298" s="28">
        <f>AJ1298-BO1298</f>
        <v>-87007.8155</v>
      </c>
      <c r="BQ1298" s="2">
        <v>45969</v>
      </c>
    </row>
    <row r="1299" spans="1:73">
      <c r="D1299" s="9" t="s">
        <v>12</v>
      </c>
      <c r="E1299" s="2">
        <v>45970</v>
      </c>
      <c r="F1299" s="38"/>
      <c r="G1299" s="126"/>
      <c r="H1299" s="4">
        <f>F622*50%</f>
        <v>1891</v>
      </c>
      <c r="I1299" s="120"/>
      <c r="J1299" s="4">
        <f>(G1299+H1299)-I1299</f>
        <v>1891</v>
      </c>
      <c r="K1299" s="4">
        <f>J1299+O1298</f>
        <v>644350.015</v>
      </c>
      <c r="L1299" s="3"/>
      <c r="M1299" s="3"/>
      <c r="N1299" s="33">
        <f>I1299+M1299</f>
        <v>0</v>
      </c>
      <c r="O1299" s="28">
        <f>K1299-M1299</f>
        <v>644350.015</v>
      </c>
      <c r="P1299" s="9" t="s">
        <v>12</v>
      </c>
      <c r="Q1299" s="2">
        <v>45970</v>
      </c>
      <c r="R1299" s="38"/>
      <c r="S1299" s="52"/>
      <c r="T1299" s="4">
        <f>R622*45%</f>
        <v>3051.9</v>
      </c>
      <c r="U1299" s="5"/>
      <c r="V1299" s="4">
        <f>(S1299+T1299)-U1299</f>
        <v>3051.9</v>
      </c>
      <c r="W1299" s="4">
        <f>V1299+AA1298</f>
        <v>568649.035</v>
      </c>
      <c r="X1299" s="3"/>
      <c r="Y1299" s="3"/>
      <c r="Z1299" s="25">
        <f>U1299+Y1299</f>
        <v>0</v>
      </c>
      <c r="AA1299" s="76">
        <f>W1299-Y1299</f>
        <v>568649.035</v>
      </c>
      <c r="AB1299" s="9" t="s">
        <v>12</v>
      </c>
      <c r="AC1299" s="19">
        <v>45970</v>
      </c>
      <c r="AD1299" s="41"/>
      <c r="AE1299" s="42"/>
      <c r="AF1299" s="4">
        <f>AD622-H1299-T1299</f>
        <v>5621.1</v>
      </c>
      <c r="AG1299" s="3"/>
      <c r="AH1299" s="8"/>
      <c r="AI1299" s="4">
        <f>(AE1299+AF1299)-AH1299</f>
        <v>5621.1</v>
      </c>
      <c r="AJ1299" s="4">
        <f>AI1299+BP1298</f>
        <v>-81386.7155</v>
      </c>
      <c r="AK1299" s="8"/>
      <c r="AL1299" s="8"/>
      <c r="AM1299" s="47"/>
      <c r="AN1299" s="47"/>
      <c r="AO1299" s="8"/>
      <c r="AP1299" s="8"/>
      <c r="AQ1299" s="47"/>
      <c r="AR1299" s="47"/>
      <c r="AS1299" s="8"/>
      <c r="AT1299" s="8"/>
      <c r="AU1299" s="47"/>
      <c r="AV1299" s="47"/>
      <c r="AW1299" s="8"/>
      <c r="AX1299" s="8"/>
      <c r="AY1299" s="47"/>
      <c r="AZ1299" s="47"/>
      <c r="BA1299" s="8"/>
      <c r="BB1299" s="8"/>
      <c r="BC1299" s="47"/>
      <c r="BD1299" s="47"/>
      <c r="BE1299" s="8"/>
      <c r="BF1299" s="8"/>
      <c r="BG1299" s="47"/>
      <c r="BH1299" s="47"/>
      <c r="BI1299" s="8"/>
      <c r="BJ1299" s="3"/>
      <c r="BK1299" s="47"/>
      <c r="BL1299" s="47"/>
      <c r="BM1299" s="46"/>
      <c r="BN1299" s="46"/>
      <c r="BO1299" s="24">
        <f>AL1299+AN1299+AP1299+AR1299+AT1299+AV1299+AX1299+AZ1299+BB1299+BD1299+BF1299+BH1299+BJ1299+BL1299+BN1299</f>
        <v>0</v>
      </c>
      <c r="BP1299" s="28">
        <f>AJ1299-BO1299</f>
        <v>-81386.7155</v>
      </c>
      <c r="BQ1299" s="2">
        <v>45970</v>
      </c>
    </row>
    <row r="1300" spans="1:73">
      <c r="D1300" s="9" t="s">
        <v>13</v>
      </c>
      <c r="E1300" s="2">
        <v>45971</v>
      </c>
      <c r="F1300" s="38"/>
      <c r="G1300" s="126"/>
      <c r="H1300" s="4">
        <f>F623*50%</f>
        <v>1891.5</v>
      </c>
      <c r="I1300" s="120"/>
      <c r="J1300" s="4">
        <f>(G1300+H1300)-I1300</f>
        <v>1891.5</v>
      </c>
      <c r="K1300" s="4">
        <f>J1300+O1299</f>
        <v>646241.515</v>
      </c>
      <c r="L1300" s="3"/>
      <c r="M1300" s="3"/>
      <c r="N1300" s="33">
        <f>I1300+M1300</f>
        <v>0</v>
      </c>
      <c r="O1300" s="28">
        <f>K1300-M1300</f>
        <v>646241.515</v>
      </c>
      <c r="P1300" s="9" t="s">
        <v>13</v>
      </c>
      <c r="Q1300" s="2">
        <v>45971</v>
      </c>
      <c r="R1300" s="38"/>
      <c r="S1300" s="52"/>
      <c r="T1300" s="4">
        <f>R623*45%</f>
        <v>3052.35</v>
      </c>
      <c r="U1300" s="5"/>
      <c r="V1300" s="4">
        <f>(S1300+T1300)-U1300</f>
        <v>3052.35</v>
      </c>
      <c r="W1300" s="4">
        <f>V1300+AA1299</f>
        <v>571701.385</v>
      </c>
      <c r="X1300" s="3"/>
      <c r="Y1300" s="3"/>
      <c r="Z1300" s="25">
        <f>U1300+Y1300</f>
        <v>0</v>
      </c>
      <c r="AA1300" s="76">
        <f>W1300-Y1300</f>
        <v>571701.385</v>
      </c>
      <c r="AB1300" s="9" t="s">
        <v>13</v>
      </c>
      <c r="AC1300" s="19">
        <v>45971</v>
      </c>
      <c r="AD1300" s="41"/>
      <c r="AE1300" s="42"/>
      <c r="AF1300" s="4">
        <f>AD623-H1300-T1300</f>
        <v>5622.15</v>
      </c>
      <c r="AG1300" s="3"/>
      <c r="AH1300" s="8"/>
      <c r="AI1300" s="4">
        <f>(AE1300+AF1300)-AH1300</f>
        <v>5622.15</v>
      </c>
      <c r="AJ1300" s="4">
        <f>AI1300+BP1299</f>
        <v>-75764.5655</v>
      </c>
      <c r="AK1300" s="8"/>
      <c r="AL1300" s="8"/>
      <c r="AM1300" s="47"/>
      <c r="AN1300" s="47"/>
      <c r="AO1300" s="8"/>
      <c r="AP1300" s="8"/>
      <c r="AQ1300" s="47"/>
      <c r="AR1300" s="47"/>
      <c r="AS1300" s="8"/>
      <c r="AT1300" s="8"/>
      <c r="AU1300" s="47"/>
      <c r="AV1300" s="47"/>
      <c r="AW1300" s="8"/>
      <c r="AX1300" s="8"/>
      <c r="AY1300" s="47"/>
      <c r="AZ1300" s="47"/>
      <c r="BA1300" s="8"/>
      <c r="BB1300" s="8"/>
      <c r="BC1300" s="47"/>
      <c r="BD1300" s="47"/>
      <c r="BE1300" s="8"/>
      <c r="BF1300" s="8"/>
      <c r="BG1300" s="47"/>
      <c r="BH1300" s="47"/>
      <c r="BI1300" s="8"/>
      <c r="BJ1300" s="3"/>
      <c r="BK1300" s="47"/>
      <c r="BL1300" s="47"/>
      <c r="BM1300" s="46"/>
      <c r="BN1300" s="46"/>
      <c r="BO1300" s="24">
        <f>AL1300+AN1300+AP1300+AR1300+AT1300+AV1300+AX1300+AZ1300+BB1300+BD1300+BF1300+BH1300+BJ1300+BL1300+BN1300</f>
        <v>0</v>
      </c>
      <c r="BP1300" s="28">
        <f>AJ1300-BO1300</f>
        <v>-75764.5655</v>
      </c>
      <c r="BQ1300" s="2">
        <v>45971</v>
      </c>
    </row>
    <row r="1301" spans="1:73">
      <c r="D1301" s="9" t="s">
        <v>14</v>
      </c>
      <c r="E1301" s="2">
        <v>45972</v>
      </c>
      <c r="F1301" s="38"/>
      <c r="G1301" s="126"/>
      <c r="H1301" s="4">
        <f>F624*50%</f>
        <v>1892</v>
      </c>
      <c r="I1301" s="120"/>
      <c r="J1301" s="4">
        <f>(G1301+H1301)-I1301</f>
        <v>1892</v>
      </c>
      <c r="K1301" s="4">
        <f>J1301+O1300</f>
        <v>648133.515</v>
      </c>
      <c r="L1301" s="3"/>
      <c r="M1301" s="3"/>
      <c r="N1301" s="33">
        <f>I1301+M1301</f>
        <v>0</v>
      </c>
      <c r="O1301" s="28">
        <f>K1301-M1301</f>
        <v>648133.515</v>
      </c>
      <c r="P1301" s="9" t="s">
        <v>14</v>
      </c>
      <c r="Q1301" s="2">
        <v>45972</v>
      </c>
      <c r="R1301" s="38"/>
      <c r="S1301" s="52"/>
      <c r="T1301" s="4">
        <f>R624*45%</f>
        <v>3052.8</v>
      </c>
      <c r="U1301" s="5"/>
      <c r="V1301" s="4">
        <f>(S1301+T1301)-U1301</f>
        <v>3052.8</v>
      </c>
      <c r="W1301" s="4">
        <f>V1301+AA1300</f>
        <v>574754.185</v>
      </c>
      <c r="X1301" s="3"/>
      <c r="Y1301" s="3"/>
      <c r="Z1301" s="25">
        <f>U1301+Y1301</f>
        <v>0</v>
      </c>
      <c r="AA1301" s="76">
        <f>W1301-Y1301</f>
        <v>574754.185</v>
      </c>
      <c r="AB1301" s="9" t="s">
        <v>14</v>
      </c>
      <c r="AC1301" s="19">
        <v>45972</v>
      </c>
      <c r="AD1301" s="41"/>
      <c r="AE1301" s="42"/>
      <c r="AF1301" s="4">
        <f>AD624-H1301-T1301</f>
        <v>5623.2</v>
      </c>
      <c r="AG1301" s="3"/>
      <c r="AH1301" s="8"/>
      <c r="AI1301" s="4">
        <f>(AE1301+AF1301)-AH1301</f>
        <v>5623.2</v>
      </c>
      <c r="AJ1301" s="4">
        <f>AI1301+BP1300</f>
        <v>-70141.3655</v>
      </c>
      <c r="AK1301" s="8"/>
      <c r="AL1301" s="8"/>
      <c r="AM1301" s="47"/>
      <c r="AN1301" s="47"/>
      <c r="AO1301" s="8"/>
      <c r="AP1301" s="8"/>
      <c r="AQ1301" s="47"/>
      <c r="AR1301" s="47"/>
      <c r="AS1301" s="8"/>
      <c r="AT1301" s="8"/>
      <c r="AU1301" s="47"/>
      <c r="AV1301" s="47"/>
      <c r="AW1301" s="8"/>
      <c r="AX1301" s="8"/>
      <c r="AY1301" s="47"/>
      <c r="AZ1301" s="47"/>
      <c r="BA1301" s="8"/>
      <c r="BB1301" s="8"/>
      <c r="BC1301" s="47"/>
      <c r="BD1301" s="47"/>
      <c r="BE1301" s="8"/>
      <c r="BF1301" s="8"/>
      <c r="BG1301" s="47"/>
      <c r="BH1301" s="47"/>
      <c r="BI1301" s="8"/>
      <c r="BJ1301" s="3"/>
      <c r="BK1301" s="47"/>
      <c r="BL1301" s="47"/>
      <c r="BM1301" s="46"/>
      <c r="BN1301" s="46"/>
      <c r="BO1301" s="24">
        <f>AL1301+AN1301+AP1301+AR1301+AT1301+AV1301+AX1301+AZ1301+BB1301+BD1301+BF1301+BH1301+BJ1301+BL1301+BN1301</f>
        <v>0</v>
      </c>
      <c r="BP1301" s="28">
        <f>AJ1301-BO1301</f>
        <v>-70141.3655</v>
      </c>
      <c r="BQ1301" s="2">
        <v>45972</v>
      </c>
    </row>
    <row r="1302" spans="1:73">
      <c r="D1302" s="9" t="s">
        <v>15</v>
      </c>
      <c r="E1302" s="2">
        <v>45973</v>
      </c>
      <c r="F1302" s="38"/>
      <c r="G1302" s="126"/>
      <c r="H1302" s="4">
        <f>F625*50%</f>
        <v>1892.5</v>
      </c>
      <c r="I1302" s="120"/>
      <c r="J1302" s="4">
        <f>(G1302+H1302)-I1302</f>
        <v>1892.5</v>
      </c>
      <c r="K1302" s="4">
        <f>J1302+O1301</f>
        <v>650026.015</v>
      </c>
      <c r="L1302" s="3"/>
      <c r="M1302" s="3"/>
      <c r="N1302" s="33">
        <f>I1302+M1302</f>
        <v>0</v>
      </c>
      <c r="O1302" s="28">
        <f>K1302-M1302</f>
        <v>650026.015</v>
      </c>
      <c r="P1302" s="9" t="s">
        <v>15</v>
      </c>
      <c r="Q1302" s="2">
        <v>45973</v>
      </c>
      <c r="R1302" s="38"/>
      <c r="S1302" s="52"/>
      <c r="T1302" s="4">
        <f>R625*45%</f>
        <v>3053.25</v>
      </c>
      <c r="U1302" s="5"/>
      <c r="V1302" s="4">
        <f>(S1302+T1302)-U1302</f>
        <v>3053.25</v>
      </c>
      <c r="W1302" s="4">
        <f>V1302+AA1301</f>
        <v>577807.435</v>
      </c>
      <c r="X1302" s="3"/>
      <c r="Y1302" s="3"/>
      <c r="Z1302" s="25">
        <f>U1302+Y1302</f>
        <v>0</v>
      </c>
      <c r="AA1302" s="76">
        <f>W1302-Y1302</f>
        <v>577807.435</v>
      </c>
      <c r="AB1302" s="9" t="s">
        <v>15</v>
      </c>
      <c r="AC1302" s="19">
        <v>45973</v>
      </c>
      <c r="AD1302" s="41"/>
      <c r="AE1302" s="42"/>
      <c r="AF1302" s="4">
        <f>AD625-H1302-T1302</f>
        <v>5624.25</v>
      </c>
      <c r="AG1302" s="3"/>
      <c r="AH1302" s="8"/>
      <c r="AI1302" s="4">
        <f>(AE1302+AF1302)-AH1302</f>
        <v>5624.25</v>
      </c>
      <c r="AJ1302" s="4">
        <f>AI1302+BP1301</f>
        <v>-64517.1155</v>
      </c>
      <c r="AK1302" s="8"/>
      <c r="AL1302" s="8"/>
      <c r="AM1302" s="47"/>
      <c r="AN1302" s="47"/>
      <c r="AO1302" s="8"/>
      <c r="AP1302" s="8"/>
      <c r="AQ1302" s="47"/>
      <c r="AR1302" s="47"/>
      <c r="AS1302" s="8"/>
      <c r="AT1302" s="8"/>
      <c r="AU1302" s="47"/>
      <c r="AV1302" s="47"/>
      <c r="AW1302" s="8"/>
      <c r="AX1302" s="8"/>
      <c r="AY1302" s="47"/>
      <c r="AZ1302" s="47"/>
      <c r="BA1302" s="8"/>
      <c r="BB1302" s="8"/>
      <c r="BC1302" s="47"/>
      <c r="BD1302" s="47"/>
      <c r="BE1302" s="8"/>
      <c r="BF1302" s="8"/>
      <c r="BG1302" s="47"/>
      <c r="BH1302" s="47"/>
      <c r="BI1302" s="8"/>
      <c r="BJ1302" s="3"/>
      <c r="BK1302" s="47"/>
      <c r="BL1302" s="47"/>
      <c r="BM1302" s="46"/>
      <c r="BN1302" s="46"/>
      <c r="BO1302" s="24">
        <f>AL1302+AN1302+AP1302+AR1302+AT1302+AV1302+AX1302+AZ1302+BB1302+BD1302+BF1302+BH1302+BJ1302+BL1302+BN1302</f>
        <v>0</v>
      </c>
      <c r="BP1302" s="28">
        <f>AJ1302-BO1302</f>
        <v>-64517.1155</v>
      </c>
      <c r="BQ1302" s="2">
        <v>45973</v>
      </c>
    </row>
    <row r="1303" spans="1:73">
      <c r="D1303" s="9" t="s">
        <v>16</v>
      </c>
      <c r="E1303" s="2">
        <v>45974</v>
      </c>
      <c r="F1303" s="38"/>
      <c r="G1303" s="126"/>
      <c r="H1303" s="4">
        <f>F626*50%</f>
        <v>1893</v>
      </c>
      <c r="I1303" s="120"/>
      <c r="J1303" s="4">
        <f>(G1303+H1303)-I1303</f>
        <v>1893</v>
      </c>
      <c r="K1303" s="4">
        <f>J1303+O1302</f>
        <v>651919.015</v>
      </c>
      <c r="L1303" s="3"/>
      <c r="M1303" s="3"/>
      <c r="N1303" s="33">
        <f>I1303+M1303</f>
        <v>0</v>
      </c>
      <c r="O1303" s="28">
        <f>K1303-M1303</f>
        <v>651919.015</v>
      </c>
      <c r="P1303" s="9" t="s">
        <v>16</v>
      </c>
      <c r="Q1303" s="2">
        <v>45974</v>
      </c>
      <c r="R1303" s="38"/>
      <c r="S1303" s="52"/>
      <c r="T1303" s="4">
        <f>R626*45%</f>
        <v>3053.7</v>
      </c>
      <c r="U1303" s="5"/>
      <c r="V1303" s="4">
        <f>(S1303+T1303)-U1303</f>
        <v>3053.7</v>
      </c>
      <c r="W1303" s="4">
        <f>V1303+AA1302</f>
        <v>580861.135</v>
      </c>
      <c r="X1303" s="3"/>
      <c r="Y1303" s="3"/>
      <c r="Z1303" s="25">
        <f>U1303+Y1303</f>
        <v>0</v>
      </c>
      <c r="AA1303" s="76">
        <f>W1303-Y1303</f>
        <v>580861.135</v>
      </c>
      <c r="AB1303" s="9" t="s">
        <v>16</v>
      </c>
      <c r="AC1303" s="19">
        <v>45974</v>
      </c>
      <c r="AD1303" s="41"/>
      <c r="AE1303" s="42"/>
      <c r="AF1303" s="4">
        <f>AD626-H1303-T1303</f>
        <v>5625.3</v>
      </c>
      <c r="AG1303" s="3"/>
      <c r="AH1303" s="8"/>
      <c r="AI1303" s="4">
        <f>(AE1303+AF1303)-AH1303</f>
        <v>5625.3</v>
      </c>
      <c r="AJ1303" s="4">
        <f>AI1303+BP1302</f>
        <v>-58891.8155</v>
      </c>
      <c r="AK1303" s="8"/>
      <c r="AL1303" s="8"/>
      <c r="AM1303" s="47"/>
      <c r="AN1303" s="47"/>
      <c r="AO1303" s="8"/>
      <c r="AP1303" s="8"/>
      <c r="AQ1303" s="47"/>
      <c r="AR1303" s="47"/>
      <c r="AS1303" s="8"/>
      <c r="AT1303" s="8"/>
      <c r="AU1303" s="47"/>
      <c r="AV1303" s="47"/>
      <c r="AW1303" s="8"/>
      <c r="AX1303" s="8"/>
      <c r="AY1303" s="47"/>
      <c r="AZ1303" s="47"/>
      <c r="BA1303" s="8"/>
      <c r="BB1303" s="8"/>
      <c r="BC1303" s="47"/>
      <c r="BD1303" s="47"/>
      <c r="BE1303" s="8"/>
      <c r="BF1303" s="8"/>
      <c r="BG1303" s="47"/>
      <c r="BH1303" s="47"/>
      <c r="BI1303" s="8"/>
      <c r="BJ1303" s="3"/>
      <c r="BK1303" s="47"/>
      <c r="BL1303" s="47"/>
      <c r="BM1303" s="46"/>
      <c r="BN1303" s="46"/>
      <c r="BO1303" s="24">
        <f>AL1303+AN1303+AP1303+AR1303+AT1303+AV1303+AX1303+AZ1303+BB1303+BD1303+BF1303+BH1303+BJ1303+BL1303+BN1303</f>
        <v>0</v>
      </c>
      <c r="BP1303" s="28">
        <f>AJ1303-BO1303</f>
        <v>-58891.8155</v>
      </c>
      <c r="BQ1303" s="2">
        <v>45974</v>
      </c>
    </row>
    <row r="1304" spans="1:73">
      <c r="D1304" s="9" t="s">
        <v>10</v>
      </c>
      <c r="E1304" s="2">
        <v>45975</v>
      </c>
      <c r="F1304" s="38"/>
      <c r="G1304" s="126"/>
      <c r="H1304" s="4">
        <f>F627*50%</f>
        <v>1893.5</v>
      </c>
      <c r="I1304" s="120"/>
      <c r="J1304" s="4">
        <f>(G1304+H1304)-I1304</f>
        <v>1893.5</v>
      </c>
      <c r="K1304" s="4">
        <f>J1304+O1303</f>
        <v>653812.515</v>
      </c>
      <c r="L1304" s="3"/>
      <c r="M1304" s="3"/>
      <c r="N1304" s="33">
        <f>I1304+M1304</f>
        <v>0</v>
      </c>
      <c r="O1304" s="28">
        <f>K1304-M1304</f>
        <v>653812.515</v>
      </c>
      <c r="P1304" s="9" t="s">
        <v>10</v>
      </c>
      <c r="Q1304" s="2">
        <v>45975</v>
      </c>
      <c r="R1304" s="38"/>
      <c r="S1304" s="52"/>
      <c r="T1304" s="4">
        <f>R627*45%</f>
        <v>3054.15</v>
      </c>
      <c r="U1304" s="5"/>
      <c r="V1304" s="4">
        <f>(S1304+T1304)-U1304</f>
        <v>3054.15</v>
      </c>
      <c r="W1304" s="4">
        <f>V1304+AA1303</f>
        <v>583915.285</v>
      </c>
      <c r="X1304" s="3"/>
      <c r="Y1304" s="3"/>
      <c r="Z1304" s="25">
        <f>U1304+Y1304</f>
        <v>0</v>
      </c>
      <c r="AA1304" s="76">
        <f>W1304-Y1304</f>
        <v>583915.285</v>
      </c>
      <c r="AB1304" s="9" t="s">
        <v>10</v>
      </c>
      <c r="AC1304" s="19">
        <v>45975</v>
      </c>
      <c r="AD1304" s="41"/>
      <c r="AE1304" s="42"/>
      <c r="AF1304" s="4">
        <f>AD627-H1304-T1304</f>
        <v>5626.35</v>
      </c>
      <c r="AG1304" s="3"/>
      <c r="AH1304" s="8"/>
      <c r="AI1304" s="4">
        <f>(AE1304+AF1304)-AH1304</f>
        <v>5626.35</v>
      </c>
      <c r="AJ1304" s="4">
        <f>AI1304+BP1303</f>
        <v>-53265.4655</v>
      </c>
      <c r="AK1304" s="8"/>
      <c r="AL1304" s="8"/>
      <c r="AM1304" s="47"/>
      <c r="AN1304" s="47"/>
      <c r="AO1304" s="8"/>
      <c r="AP1304" s="8"/>
      <c r="AQ1304" s="47"/>
      <c r="AR1304" s="47"/>
      <c r="AS1304" s="8"/>
      <c r="AT1304" s="8"/>
      <c r="AU1304" s="47"/>
      <c r="AV1304" s="47"/>
      <c r="AW1304" s="8"/>
      <c r="AX1304" s="8"/>
      <c r="AY1304" s="47"/>
      <c r="AZ1304" s="47"/>
      <c r="BA1304" s="8"/>
      <c r="BB1304" s="8"/>
      <c r="BC1304" s="47"/>
      <c r="BD1304" s="47"/>
      <c r="BE1304" s="8"/>
      <c r="BF1304" s="8"/>
      <c r="BG1304" s="47"/>
      <c r="BH1304" s="47"/>
      <c r="BI1304" s="8"/>
      <c r="BJ1304" s="3"/>
      <c r="BK1304" s="47"/>
      <c r="BL1304" s="47"/>
      <c r="BM1304" s="46"/>
      <c r="BN1304" s="46"/>
      <c r="BO1304" s="24">
        <f>AL1304+AN1304+AP1304+AR1304+AT1304+AV1304+AX1304+AZ1304+BB1304+BD1304+BF1304+BH1304+BJ1304+BL1304+BN1304</f>
        <v>0</v>
      </c>
      <c r="BP1304" s="28">
        <f>AJ1304-BO1304</f>
        <v>-53265.4655</v>
      </c>
      <c r="BQ1304" s="2">
        <v>45975</v>
      </c>
    </row>
    <row r="1305" spans="1:73">
      <c r="D1305" s="9" t="s">
        <v>11</v>
      </c>
      <c r="E1305" s="2">
        <v>45976</v>
      </c>
      <c r="F1305" s="38"/>
      <c r="G1305" s="126"/>
      <c r="H1305" s="4">
        <f>F628*50%</f>
        <v>1894</v>
      </c>
      <c r="I1305" s="120"/>
      <c r="J1305" s="4">
        <f>(G1305+H1305)-I1305</f>
        <v>1894</v>
      </c>
      <c r="K1305" s="4">
        <f>J1305+O1304</f>
        <v>655706.515</v>
      </c>
      <c r="L1305" s="113" t="s">
        <v>397</v>
      </c>
      <c r="M1305" s="3">
        <v>5190</v>
      </c>
      <c r="N1305" s="33">
        <f>I1305+M1305</f>
        <v>5190</v>
      </c>
      <c r="O1305" s="28">
        <f>K1305-M1305</f>
        <v>650516.515</v>
      </c>
      <c r="P1305" s="9" t="s">
        <v>11</v>
      </c>
      <c r="Q1305" s="2">
        <v>45976</v>
      </c>
      <c r="R1305" s="38"/>
      <c r="S1305" s="52"/>
      <c r="T1305" s="4">
        <f>R628*45%</f>
        <v>3054.6</v>
      </c>
      <c r="U1305" s="5"/>
      <c r="V1305" s="4">
        <f>(S1305+T1305)-U1305</f>
        <v>3054.6</v>
      </c>
      <c r="W1305" s="4">
        <f>V1305+AA1304</f>
        <v>586969.885</v>
      </c>
      <c r="X1305" s="3"/>
      <c r="Y1305" s="3"/>
      <c r="Z1305" s="25">
        <f>U1305+Y1305</f>
        <v>0</v>
      </c>
      <c r="AA1305" s="76">
        <f>W1305-Y1305</f>
        <v>586969.885</v>
      </c>
      <c r="AB1305" s="9" t="s">
        <v>11</v>
      </c>
      <c r="AC1305" s="19">
        <v>45976</v>
      </c>
      <c r="AD1305" s="41"/>
      <c r="AE1305" s="42"/>
      <c r="AF1305" s="4">
        <f>AD628-H1305-T1305</f>
        <v>5627.4</v>
      </c>
      <c r="AG1305" s="3"/>
      <c r="AH1305" s="8"/>
      <c r="AI1305" s="4">
        <f>(AE1305+AF1305)-AH1305</f>
        <v>5627.4</v>
      </c>
      <c r="AJ1305" s="4">
        <f>AI1305+BP1304</f>
        <v>-47638.0655</v>
      </c>
      <c r="AK1305" s="8"/>
      <c r="AL1305" s="8"/>
      <c r="AM1305" s="47"/>
      <c r="AN1305" s="47"/>
      <c r="AO1305" s="8"/>
      <c r="AP1305" s="8"/>
      <c r="AQ1305" s="47"/>
      <c r="AR1305" s="47"/>
      <c r="AS1305" s="8"/>
      <c r="AT1305" s="8"/>
      <c r="AU1305" s="47"/>
      <c r="AV1305" s="47"/>
      <c r="AW1305" s="8"/>
      <c r="AX1305" s="8"/>
      <c r="AY1305" s="47"/>
      <c r="AZ1305" s="47"/>
      <c r="BA1305" s="8"/>
      <c r="BB1305" s="8"/>
      <c r="BC1305" s="47"/>
      <c r="BD1305" s="47"/>
      <c r="BE1305" s="8"/>
      <c r="BF1305" s="8"/>
      <c r="BG1305" s="47"/>
      <c r="BH1305" s="47"/>
      <c r="BI1305" s="8"/>
      <c r="BJ1305" s="3"/>
      <c r="BK1305" s="47"/>
      <c r="BL1305" s="47"/>
      <c r="BM1305" s="46"/>
      <c r="BN1305" s="46"/>
      <c r="BO1305" s="24">
        <f>AL1305+AN1305+AP1305+AR1305+AT1305+AV1305+AX1305+AZ1305+BB1305+BD1305+BF1305+BH1305+BJ1305+BL1305+BN1305</f>
        <v>0</v>
      </c>
      <c r="BP1305" s="28">
        <f>AJ1305-BO1305</f>
        <v>-47638.0655</v>
      </c>
      <c r="BQ1305" s="2">
        <v>45976</v>
      </c>
    </row>
    <row r="1306" spans="1:73">
      <c r="D1306" s="9" t="s">
        <v>12</v>
      </c>
      <c r="E1306" s="2">
        <v>45977</v>
      </c>
      <c r="F1306" s="38"/>
      <c r="G1306" s="126"/>
      <c r="H1306" s="4">
        <f>F629*50%</f>
        <v>1894.5</v>
      </c>
      <c r="I1306" s="120"/>
      <c r="J1306" s="4">
        <f>(G1306+H1306)-I1306</f>
        <v>1894.5</v>
      </c>
      <c r="K1306" s="4">
        <f>J1306+O1305</f>
        <v>652411.015</v>
      </c>
      <c r="L1306" s="3"/>
      <c r="M1306" s="3"/>
      <c r="N1306" s="33">
        <f>I1306+M1306</f>
        <v>0</v>
      </c>
      <c r="O1306" s="28">
        <f>K1306-M1306</f>
        <v>652411.015</v>
      </c>
      <c r="P1306" s="9" t="s">
        <v>12</v>
      </c>
      <c r="Q1306" s="2">
        <v>45977</v>
      </c>
      <c r="R1306" s="38"/>
      <c r="S1306" s="52"/>
      <c r="T1306" s="4">
        <f>R629*45%</f>
        <v>3055.05</v>
      </c>
      <c r="U1306" s="5"/>
      <c r="V1306" s="4">
        <f>(S1306+T1306)-U1306</f>
        <v>3055.05</v>
      </c>
      <c r="W1306" s="4">
        <f>V1306+AA1305</f>
        <v>590024.935</v>
      </c>
      <c r="X1306" s="3"/>
      <c r="Y1306" s="3"/>
      <c r="Z1306" s="25">
        <f>U1306+Y1306</f>
        <v>0</v>
      </c>
      <c r="AA1306" s="76">
        <f>W1306-Y1306</f>
        <v>590024.935</v>
      </c>
      <c r="AB1306" s="9" t="s">
        <v>12</v>
      </c>
      <c r="AC1306" s="19">
        <v>45977</v>
      </c>
      <c r="AD1306" s="41"/>
      <c r="AE1306" s="42"/>
      <c r="AF1306" s="4">
        <f>AD629-H1306-T1306</f>
        <v>5628.45</v>
      </c>
      <c r="AG1306" s="3"/>
      <c r="AH1306" s="8"/>
      <c r="AI1306" s="4">
        <f>(AE1306+AF1306)-AH1306</f>
        <v>5628.45</v>
      </c>
      <c r="AJ1306" s="4">
        <f>AI1306+BP1305</f>
        <v>-42009.6155</v>
      </c>
      <c r="AK1306" s="8"/>
      <c r="AL1306" s="8"/>
      <c r="AM1306" s="47"/>
      <c r="AN1306" s="47"/>
      <c r="AO1306" s="8"/>
      <c r="AP1306" s="8"/>
      <c r="AQ1306" s="47"/>
      <c r="AR1306" s="47"/>
      <c r="AS1306" s="8"/>
      <c r="AT1306" s="8"/>
      <c r="AU1306" s="47"/>
      <c r="AV1306" s="47"/>
      <c r="AW1306" s="8"/>
      <c r="AX1306" s="8"/>
      <c r="AY1306" s="47"/>
      <c r="AZ1306" s="47"/>
      <c r="BA1306" s="8"/>
      <c r="BB1306" s="8"/>
      <c r="BC1306" s="47"/>
      <c r="BD1306" s="47"/>
      <c r="BE1306" s="8"/>
      <c r="BF1306" s="8"/>
      <c r="BG1306" s="47"/>
      <c r="BH1306" s="47"/>
      <c r="BI1306" s="8"/>
      <c r="BJ1306" s="3"/>
      <c r="BK1306" s="47"/>
      <c r="BL1306" s="47"/>
      <c r="BM1306" s="46"/>
      <c r="BN1306" s="46"/>
      <c r="BO1306" s="24">
        <f>AL1306+AN1306+AP1306+AR1306+AT1306+AV1306+AX1306+AZ1306+BB1306+BD1306+BF1306+BH1306+BJ1306+BL1306+BN1306</f>
        <v>0</v>
      </c>
      <c r="BP1306" s="28">
        <f>AJ1306-BO1306</f>
        <v>-42009.6155</v>
      </c>
      <c r="BQ1306" s="2">
        <v>45977</v>
      </c>
    </row>
    <row r="1307" spans="1:73">
      <c r="D1307" s="9" t="s">
        <v>13</v>
      </c>
      <c r="E1307" s="2">
        <v>45978</v>
      </c>
      <c r="F1307" s="38"/>
      <c r="G1307" s="126"/>
      <c r="H1307" s="4">
        <f>F630*50%</f>
        <v>1895</v>
      </c>
      <c r="I1307" s="120"/>
      <c r="J1307" s="4">
        <f>(G1307+H1307)-I1307</f>
        <v>1895</v>
      </c>
      <c r="K1307" s="4">
        <f>J1307+O1306</f>
        <v>654306.015</v>
      </c>
      <c r="L1307" s="3"/>
      <c r="M1307" s="3"/>
      <c r="N1307" s="33">
        <f>I1307+M1307</f>
        <v>0</v>
      </c>
      <c r="O1307" s="28">
        <f>K1307-M1307</f>
        <v>654306.015</v>
      </c>
      <c r="P1307" s="9" t="s">
        <v>13</v>
      </c>
      <c r="Q1307" s="2">
        <v>45978</v>
      </c>
      <c r="R1307" s="38"/>
      <c r="S1307" s="52"/>
      <c r="T1307" s="4">
        <f>R630*45%</f>
        <v>3055.5</v>
      </c>
      <c r="U1307" s="5"/>
      <c r="V1307" s="4">
        <f>(S1307+T1307)-U1307</f>
        <v>3055.5</v>
      </c>
      <c r="W1307" s="4">
        <f>V1307+AA1306</f>
        <v>593080.435</v>
      </c>
      <c r="X1307" s="3"/>
      <c r="Y1307" s="3"/>
      <c r="Z1307" s="25">
        <f>U1307+Y1307</f>
        <v>0</v>
      </c>
      <c r="AA1307" s="76">
        <f>W1307-Y1307</f>
        <v>593080.435</v>
      </c>
      <c r="AB1307" s="9" t="s">
        <v>13</v>
      </c>
      <c r="AC1307" s="19">
        <v>45978</v>
      </c>
      <c r="AD1307" s="41"/>
      <c r="AE1307" s="42"/>
      <c r="AF1307" s="4">
        <f>AD630-H1307-T1307</f>
        <v>5629.5</v>
      </c>
      <c r="AG1307" s="3"/>
      <c r="AH1307" s="8"/>
      <c r="AI1307" s="4">
        <f>(AE1307+AF1307)-AH1307</f>
        <v>5629.5</v>
      </c>
      <c r="AJ1307" s="4">
        <f>AI1307+BP1306</f>
        <v>-36380.1155</v>
      </c>
      <c r="AK1307" s="8"/>
      <c r="AL1307" s="8"/>
      <c r="AM1307" s="47"/>
      <c r="AN1307" s="47"/>
      <c r="AO1307" s="8"/>
      <c r="AP1307" s="8"/>
      <c r="AQ1307" s="47"/>
      <c r="AR1307" s="47"/>
      <c r="AS1307" s="8"/>
      <c r="AT1307" s="8"/>
      <c r="AU1307" s="47"/>
      <c r="AV1307" s="47"/>
      <c r="AW1307" s="8"/>
      <c r="AX1307" s="8"/>
      <c r="AY1307" s="47"/>
      <c r="AZ1307" s="47"/>
      <c r="BA1307" s="8"/>
      <c r="BB1307" s="8"/>
      <c r="BC1307" s="47"/>
      <c r="BD1307" s="47"/>
      <c r="BE1307" s="8"/>
      <c r="BF1307" s="8"/>
      <c r="BG1307" s="47"/>
      <c r="BH1307" s="47"/>
      <c r="BI1307" s="8"/>
      <c r="BJ1307" s="3"/>
      <c r="BK1307" s="47"/>
      <c r="BL1307" s="47"/>
      <c r="BM1307" s="46"/>
      <c r="BN1307" s="46"/>
      <c r="BO1307" s="24">
        <f>AL1307+AN1307+AP1307+AR1307+AT1307+AV1307+AX1307+AZ1307+BB1307+BD1307+BF1307+BH1307+BJ1307+BL1307+BN1307</f>
        <v>0</v>
      </c>
      <c r="BP1307" s="28">
        <f>AJ1307-BO1307</f>
        <v>-36380.1155</v>
      </c>
      <c r="BQ1307" s="2">
        <v>45978</v>
      </c>
    </row>
    <row r="1308" spans="1:73">
      <c r="D1308" s="9" t="s">
        <v>14</v>
      </c>
      <c r="E1308" s="2">
        <v>45979</v>
      </c>
      <c r="F1308" s="38"/>
      <c r="G1308" s="126"/>
      <c r="H1308" s="4">
        <f>F631*50%</f>
        <v>1895.5</v>
      </c>
      <c r="I1308" s="120"/>
      <c r="J1308" s="4">
        <f>(G1308+H1308)-I1308</f>
        <v>1895.5</v>
      </c>
      <c r="K1308" s="4">
        <f>J1308+O1307</f>
        <v>656201.515</v>
      </c>
      <c r="L1308" s="3"/>
      <c r="M1308" s="3"/>
      <c r="N1308" s="33">
        <f>I1308+M1308</f>
        <v>0</v>
      </c>
      <c r="O1308" s="28">
        <f>K1308-M1308</f>
        <v>656201.515</v>
      </c>
      <c r="P1308" s="9" t="s">
        <v>14</v>
      </c>
      <c r="Q1308" s="2">
        <v>45979</v>
      </c>
      <c r="R1308" s="38"/>
      <c r="S1308" s="52"/>
      <c r="T1308" s="4">
        <f>R631*45%</f>
        <v>3055.95</v>
      </c>
      <c r="U1308" s="5"/>
      <c r="V1308" s="4">
        <f>(S1308+T1308)-U1308</f>
        <v>3055.95</v>
      </c>
      <c r="W1308" s="4">
        <f>V1308+AA1307</f>
        <v>596136.385</v>
      </c>
      <c r="X1308" s="3"/>
      <c r="Y1308" s="3"/>
      <c r="Z1308" s="25">
        <f>U1308+Y1308</f>
        <v>0</v>
      </c>
      <c r="AA1308" s="76">
        <f>W1308-Y1308</f>
        <v>596136.385</v>
      </c>
      <c r="AB1308" s="9" t="s">
        <v>14</v>
      </c>
      <c r="AC1308" s="19">
        <v>45979</v>
      </c>
      <c r="AD1308" s="41"/>
      <c r="AE1308" s="42"/>
      <c r="AF1308" s="4">
        <f>AD631-H1308-T1308</f>
        <v>5630.55</v>
      </c>
      <c r="AG1308" s="3"/>
      <c r="AH1308" s="8"/>
      <c r="AI1308" s="4">
        <f>(AE1308+AF1308)-AH1308</f>
        <v>5630.55</v>
      </c>
      <c r="AJ1308" s="4">
        <f>AI1308+BP1307</f>
        <v>-30749.5655</v>
      </c>
      <c r="AK1308" s="8"/>
      <c r="AL1308" s="8"/>
      <c r="AM1308" s="47"/>
      <c r="AN1308" s="47"/>
      <c r="AO1308" s="8"/>
      <c r="AP1308" s="8"/>
      <c r="AQ1308" s="47"/>
      <c r="AR1308" s="47"/>
      <c r="AS1308" s="8"/>
      <c r="AT1308" s="8"/>
      <c r="AU1308" s="47"/>
      <c r="AV1308" s="47"/>
      <c r="AW1308" s="8"/>
      <c r="AX1308" s="8"/>
      <c r="AY1308" s="47"/>
      <c r="AZ1308" s="47"/>
      <c r="BA1308" s="8"/>
      <c r="BB1308" s="8"/>
      <c r="BC1308" s="47"/>
      <c r="BD1308" s="47"/>
      <c r="BE1308" s="8"/>
      <c r="BF1308" s="8"/>
      <c r="BG1308" s="47"/>
      <c r="BH1308" s="47"/>
      <c r="BI1308" s="8"/>
      <c r="BJ1308" s="3"/>
      <c r="BK1308" s="47"/>
      <c r="BL1308" s="47"/>
      <c r="BM1308" s="46"/>
      <c r="BN1308" s="46"/>
      <c r="BO1308" s="24">
        <f>AL1308+AN1308+AP1308+AR1308+AT1308+AV1308+AX1308+AZ1308+BB1308+BD1308+BF1308+BH1308+BJ1308+BL1308+BN1308</f>
        <v>0</v>
      </c>
      <c r="BP1308" s="28">
        <f>AJ1308-BO1308</f>
        <v>-30749.5655</v>
      </c>
      <c r="BQ1308" s="2">
        <v>45979</v>
      </c>
    </row>
    <row r="1309" spans="1:73">
      <c r="D1309" s="9" t="s">
        <v>15</v>
      </c>
      <c r="E1309" s="2">
        <v>45980</v>
      </c>
      <c r="F1309" s="38"/>
      <c r="G1309" s="126"/>
      <c r="H1309" s="4">
        <f>F632*50%</f>
        <v>1896</v>
      </c>
      <c r="I1309" s="120"/>
      <c r="J1309" s="4">
        <f>(G1309+H1309)-I1309</f>
        <v>1896</v>
      </c>
      <c r="K1309" s="4">
        <f>J1309+O1308</f>
        <v>658097.515</v>
      </c>
      <c r="L1309" s="3"/>
      <c r="M1309" s="3"/>
      <c r="N1309" s="33">
        <f>I1309+M1309</f>
        <v>0</v>
      </c>
      <c r="O1309" s="28">
        <f>K1309-M1309</f>
        <v>658097.515</v>
      </c>
      <c r="P1309" s="9" t="s">
        <v>15</v>
      </c>
      <c r="Q1309" s="2">
        <v>45980</v>
      </c>
      <c r="R1309" s="38"/>
      <c r="S1309" s="52"/>
      <c r="T1309" s="4">
        <f>R632*45%</f>
        <v>3056.4</v>
      </c>
      <c r="U1309" s="5"/>
      <c r="V1309" s="4">
        <f>(S1309+T1309)-U1309</f>
        <v>3056.4</v>
      </c>
      <c r="W1309" s="4">
        <f>V1309+AA1308</f>
        <v>599192.785</v>
      </c>
      <c r="X1309" s="3"/>
      <c r="Y1309" s="3"/>
      <c r="Z1309" s="25">
        <f>U1309+Y1309</f>
        <v>0</v>
      </c>
      <c r="AA1309" s="76">
        <f>W1309-Y1309</f>
        <v>599192.785</v>
      </c>
      <c r="AB1309" s="9" t="s">
        <v>15</v>
      </c>
      <c r="AC1309" s="19">
        <v>45980</v>
      </c>
      <c r="AD1309" s="41"/>
      <c r="AE1309" s="42"/>
      <c r="AF1309" s="4">
        <f>AD632-H1309-T1309</f>
        <v>5631.6</v>
      </c>
      <c r="AG1309" s="3"/>
      <c r="AH1309" s="8"/>
      <c r="AI1309" s="4">
        <f>(AE1309+AF1309)-AH1309</f>
        <v>5631.6</v>
      </c>
      <c r="AJ1309" s="4">
        <f>AI1309+BP1308</f>
        <v>-25117.9655</v>
      </c>
      <c r="AK1309" s="8"/>
      <c r="AL1309" s="8"/>
      <c r="AM1309" s="47"/>
      <c r="AN1309" s="47"/>
      <c r="AO1309" s="8"/>
      <c r="AP1309" s="8"/>
      <c r="AQ1309" s="47"/>
      <c r="AR1309" s="47"/>
      <c r="AS1309" s="8"/>
      <c r="AT1309" s="8"/>
      <c r="AU1309" s="47"/>
      <c r="AV1309" s="47"/>
      <c r="AW1309" s="8"/>
      <c r="AX1309" s="8"/>
      <c r="AY1309" s="47"/>
      <c r="AZ1309" s="47"/>
      <c r="BA1309" s="8"/>
      <c r="BB1309" s="8"/>
      <c r="BC1309" s="47"/>
      <c r="BD1309" s="47"/>
      <c r="BE1309" s="8"/>
      <c r="BF1309" s="8"/>
      <c r="BG1309" s="47"/>
      <c r="BH1309" s="47"/>
      <c r="BI1309" s="8"/>
      <c r="BJ1309" s="3"/>
      <c r="BK1309" s="47"/>
      <c r="BL1309" s="47"/>
      <c r="BM1309" s="46"/>
      <c r="BN1309" s="46"/>
      <c r="BO1309" s="24">
        <f>AL1309+AN1309+AP1309+AR1309+AT1309+AV1309+AX1309+AZ1309+BB1309+BD1309+BF1309+BH1309+BJ1309+BL1309+BN1309</f>
        <v>0</v>
      </c>
      <c r="BP1309" s="28">
        <f>AJ1309-BO1309</f>
        <v>-25117.9655</v>
      </c>
      <c r="BQ1309" s="2">
        <v>45980</v>
      </c>
    </row>
    <row r="1310" spans="1:73">
      <c r="D1310" s="9" t="s">
        <v>16</v>
      </c>
      <c r="E1310" s="2">
        <v>45981</v>
      </c>
      <c r="F1310" s="38"/>
      <c r="G1310" s="126"/>
      <c r="H1310" s="4">
        <f>F633*50%</f>
        <v>1896.5</v>
      </c>
      <c r="I1310" s="120"/>
      <c r="J1310" s="4">
        <f>(G1310+H1310)-I1310</f>
        <v>1896.5</v>
      </c>
      <c r="K1310" s="4">
        <f>J1310+O1309</f>
        <v>659994.015</v>
      </c>
      <c r="L1310" s="3"/>
      <c r="M1310" s="3"/>
      <c r="N1310" s="33">
        <f>I1310+M1310</f>
        <v>0</v>
      </c>
      <c r="O1310" s="28">
        <f>K1310-M1310</f>
        <v>659994.015</v>
      </c>
      <c r="P1310" s="9" t="s">
        <v>16</v>
      </c>
      <c r="Q1310" s="2">
        <v>45981</v>
      </c>
      <c r="R1310" s="38"/>
      <c r="S1310" s="52"/>
      <c r="T1310" s="4">
        <f>R633*45%</f>
        <v>3056.85</v>
      </c>
      <c r="U1310" s="5"/>
      <c r="V1310" s="4">
        <f>(S1310+T1310)-U1310</f>
        <v>3056.85</v>
      </c>
      <c r="W1310" s="4">
        <f>V1310+AA1309</f>
        <v>602249.635</v>
      </c>
      <c r="X1310" s="3"/>
      <c r="Y1310" s="3"/>
      <c r="Z1310" s="25">
        <f>U1310+Y1310</f>
        <v>0</v>
      </c>
      <c r="AA1310" s="76">
        <f>W1310-Y1310</f>
        <v>602249.635</v>
      </c>
      <c r="AB1310" s="9" t="s">
        <v>16</v>
      </c>
      <c r="AC1310" s="19">
        <v>45981</v>
      </c>
      <c r="AD1310" s="41"/>
      <c r="AE1310" s="42"/>
      <c r="AF1310" s="4">
        <f>AD633-H1310-T1310</f>
        <v>5632.65</v>
      </c>
      <c r="AG1310" s="3"/>
      <c r="AH1310" s="8"/>
      <c r="AI1310" s="4">
        <f>(AE1310+AF1310)-AH1310</f>
        <v>5632.65</v>
      </c>
      <c r="AJ1310" s="4">
        <f>AI1310+BP1309</f>
        <v>-19485.3155</v>
      </c>
      <c r="AK1310" s="8"/>
      <c r="AL1310" s="8"/>
      <c r="AM1310" s="47"/>
      <c r="AN1310" s="47"/>
      <c r="AO1310" s="8"/>
      <c r="AP1310" s="8"/>
      <c r="AQ1310" s="47"/>
      <c r="AR1310" s="47"/>
      <c r="AS1310" s="8"/>
      <c r="AT1310" s="8"/>
      <c r="AU1310" s="47"/>
      <c r="AV1310" s="47"/>
      <c r="AW1310" s="8"/>
      <c r="AX1310" s="8"/>
      <c r="AY1310" s="47"/>
      <c r="AZ1310" s="47"/>
      <c r="BA1310" s="8"/>
      <c r="BB1310" s="8"/>
      <c r="BC1310" s="47"/>
      <c r="BD1310" s="47"/>
      <c r="BE1310" s="8"/>
      <c r="BF1310" s="8"/>
      <c r="BG1310" s="47"/>
      <c r="BH1310" s="47"/>
      <c r="BI1310" s="8"/>
      <c r="BJ1310" s="3"/>
      <c r="BK1310" s="47"/>
      <c r="BL1310" s="47"/>
      <c r="BM1310" s="46"/>
      <c r="BN1310" s="46"/>
      <c r="BO1310" s="24">
        <f>AL1310+AN1310+AP1310+AR1310+AT1310+AV1310+AX1310+AZ1310+BB1310+BD1310+BF1310+BH1310+BJ1310+BL1310+BN1310</f>
        <v>0</v>
      </c>
      <c r="BP1310" s="28">
        <f>AJ1310-BO1310</f>
        <v>-19485.3155</v>
      </c>
      <c r="BQ1310" s="2">
        <v>45981</v>
      </c>
    </row>
    <row r="1311" spans="1:73">
      <c r="D1311" s="9" t="s">
        <v>10</v>
      </c>
      <c r="E1311" s="2">
        <v>45982</v>
      </c>
      <c r="F1311" s="38"/>
      <c r="G1311" s="126"/>
      <c r="H1311" s="4">
        <f>F634*50%</f>
        <v>1897</v>
      </c>
      <c r="I1311" s="120"/>
      <c r="J1311" s="4">
        <f>(G1311+H1311)-I1311</f>
        <v>1897</v>
      </c>
      <c r="K1311" s="4">
        <f>J1311+O1310</f>
        <v>661891.015</v>
      </c>
      <c r="L1311" s="3"/>
      <c r="M1311" s="3"/>
      <c r="N1311" s="33">
        <f>I1311+M1311</f>
        <v>0</v>
      </c>
      <c r="O1311" s="28">
        <f>K1311-M1311</f>
        <v>661891.015</v>
      </c>
      <c r="P1311" s="9" t="s">
        <v>10</v>
      </c>
      <c r="Q1311" s="2">
        <v>45982</v>
      </c>
      <c r="R1311" s="38"/>
      <c r="S1311" s="52"/>
      <c r="T1311" s="4">
        <f>R634*45%</f>
        <v>3057.3</v>
      </c>
      <c r="U1311" s="5"/>
      <c r="V1311" s="4">
        <f>(S1311+T1311)-U1311</f>
        <v>3057.3</v>
      </c>
      <c r="W1311" s="4">
        <f>V1311+AA1310</f>
        <v>605306.935</v>
      </c>
      <c r="X1311" s="3"/>
      <c r="Y1311" s="3"/>
      <c r="Z1311" s="25">
        <f>U1311+Y1311</f>
        <v>0</v>
      </c>
      <c r="AA1311" s="76">
        <f>W1311-Y1311</f>
        <v>605306.935</v>
      </c>
      <c r="AB1311" s="9" t="s">
        <v>10</v>
      </c>
      <c r="AC1311" s="19">
        <v>45982</v>
      </c>
      <c r="AD1311" s="41"/>
      <c r="AE1311" s="42"/>
      <c r="AF1311" s="4">
        <f>AD634-H1311-T1311</f>
        <v>5633.7</v>
      </c>
      <c r="AG1311" s="3"/>
      <c r="AH1311" s="8"/>
      <c r="AI1311" s="4">
        <f>(AE1311+AF1311)-AH1311</f>
        <v>5633.7</v>
      </c>
      <c r="AJ1311" s="4">
        <f>AI1311+BP1310</f>
        <v>-13851.6155</v>
      </c>
      <c r="AK1311" s="8"/>
      <c r="AL1311" s="8"/>
      <c r="AM1311" s="47"/>
      <c r="AN1311" s="47"/>
      <c r="AO1311" s="8"/>
      <c r="AP1311" s="8"/>
      <c r="AQ1311" s="47"/>
      <c r="AR1311" s="47"/>
      <c r="AS1311" s="8"/>
      <c r="AT1311" s="8"/>
      <c r="AU1311" s="47"/>
      <c r="AV1311" s="47"/>
      <c r="AW1311" s="8"/>
      <c r="AX1311" s="8"/>
      <c r="AY1311" s="47"/>
      <c r="AZ1311" s="47"/>
      <c r="BA1311" s="8"/>
      <c r="BB1311" s="8"/>
      <c r="BC1311" s="47"/>
      <c r="BD1311" s="47"/>
      <c r="BE1311" s="8"/>
      <c r="BF1311" s="8"/>
      <c r="BG1311" s="47"/>
      <c r="BH1311" s="47"/>
      <c r="BI1311" s="8"/>
      <c r="BJ1311" s="3"/>
      <c r="BK1311" s="47"/>
      <c r="BL1311" s="47"/>
      <c r="BM1311" s="46"/>
      <c r="BN1311" s="46"/>
      <c r="BO1311" s="24">
        <f>AL1311+AN1311+AP1311+AR1311+AT1311+AV1311+AX1311+AZ1311+BB1311+BD1311+BF1311+BH1311+BJ1311+BL1311+BN1311</f>
        <v>0</v>
      </c>
      <c r="BP1311" s="28">
        <f>AJ1311-BO1311</f>
        <v>-13851.6155</v>
      </c>
      <c r="BQ1311" s="2">
        <v>45982</v>
      </c>
    </row>
    <row r="1312" spans="1:73">
      <c r="D1312" s="9" t="s">
        <v>11</v>
      </c>
      <c r="E1312" s="2">
        <v>45983</v>
      </c>
      <c r="F1312" s="38"/>
      <c r="G1312" s="126"/>
      <c r="H1312" s="4">
        <f>F635*50%</f>
        <v>1897.5</v>
      </c>
      <c r="I1312" s="120"/>
      <c r="J1312" s="4">
        <f>(G1312+H1312)-I1312</f>
        <v>1897.5</v>
      </c>
      <c r="K1312" s="4">
        <f>J1312+O1311</f>
        <v>663788.515</v>
      </c>
      <c r="L1312" s="3"/>
      <c r="M1312" s="3"/>
      <c r="N1312" s="33">
        <f>I1312+M1312</f>
        <v>0</v>
      </c>
      <c r="O1312" s="28">
        <f>K1312-M1312</f>
        <v>663788.515</v>
      </c>
      <c r="P1312" s="9" t="s">
        <v>11</v>
      </c>
      <c r="Q1312" s="2">
        <v>45983</v>
      </c>
      <c r="R1312" s="38"/>
      <c r="S1312" s="52"/>
      <c r="T1312" s="4">
        <f>R635*45%</f>
        <v>3057.75</v>
      </c>
      <c r="U1312" s="5"/>
      <c r="V1312" s="4">
        <f>(S1312+T1312)-U1312</f>
        <v>3057.75</v>
      </c>
      <c r="W1312" s="4">
        <f>V1312+AA1311</f>
        <v>608364.685</v>
      </c>
      <c r="X1312" s="3"/>
      <c r="Y1312" s="3"/>
      <c r="Z1312" s="25">
        <f>U1312+Y1312</f>
        <v>0</v>
      </c>
      <c r="AA1312" s="76">
        <f>W1312-Y1312</f>
        <v>608364.685</v>
      </c>
      <c r="AB1312" s="9" t="s">
        <v>11</v>
      </c>
      <c r="AC1312" s="19">
        <v>45983</v>
      </c>
      <c r="AD1312" s="41"/>
      <c r="AE1312" s="42"/>
      <c r="AF1312" s="4">
        <f>AD635-H1312-T1312</f>
        <v>5634.75</v>
      </c>
      <c r="AG1312" s="3"/>
      <c r="AH1312" s="8"/>
      <c r="AI1312" s="4">
        <f>(AE1312+AF1312)-AH1312</f>
        <v>5634.75</v>
      </c>
      <c r="AJ1312" s="4">
        <f>AI1312+BP1311</f>
        <v>-8216.8654999998</v>
      </c>
      <c r="AK1312" s="8"/>
      <c r="AL1312" s="8"/>
      <c r="AM1312" s="47"/>
      <c r="AN1312" s="47"/>
      <c r="AO1312" s="8"/>
      <c r="AP1312" s="8"/>
      <c r="AQ1312" s="47"/>
      <c r="AR1312" s="47"/>
      <c r="AS1312" s="8"/>
      <c r="AT1312" s="8"/>
      <c r="AU1312" s="47"/>
      <c r="AV1312" s="47"/>
      <c r="AW1312" s="8"/>
      <c r="AX1312" s="8"/>
      <c r="AY1312" s="47"/>
      <c r="AZ1312" s="47"/>
      <c r="BA1312" s="8"/>
      <c r="BB1312" s="8"/>
      <c r="BC1312" s="47"/>
      <c r="BD1312" s="47"/>
      <c r="BE1312" s="8"/>
      <c r="BF1312" s="8"/>
      <c r="BG1312" s="47"/>
      <c r="BH1312" s="47"/>
      <c r="BI1312" s="8"/>
      <c r="BJ1312" s="3"/>
      <c r="BK1312" s="47"/>
      <c r="BL1312" s="47"/>
      <c r="BM1312" s="46"/>
      <c r="BN1312" s="46"/>
      <c r="BO1312" s="24">
        <f>AL1312+AN1312+AP1312+AR1312+AT1312+AV1312+AX1312+AZ1312+BB1312+BD1312+BF1312+BH1312+BJ1312+BL1312+BN1312</f>
        <v>0</v>
      </c>
      <c r="BP1312" s="28">
        <f>AJ1312-BO1312</f>
        <v>-8216.8654999998</v>
      </c>
      <c r="BQ1312" s="2">
        <v>45983</v>
      </c>
    </row>
    <row r="1313" spans="1:73">
      <c r="D1313" s="9" t="s">
        <v>12</v>
      </c>
      <c r="E1313" s="2">
        <v>45984</v>
      </c>
      <c r="F1313" s="38"/>
      <c r="G1313" s="126"/>
      <c r="H1313" s="4">
        <f>F636*50%</f>
        <v>1898</v>
      </c>
      <c r="I1313" s="120"/>
      <c r="J1313" s="4">
        <f>(G1313+H1313)-I1313</f>
        <v>1898</v>
      </c>
      <c r="K1313" s="4">
        <f>J1313+O1312</f>
        <v>665686.515</v>
      </c>
      <c r="L1313" s="3"/>
      <c r="M1313" s="3"/>
      <c r="N1313" s="33">
        <f>I1313+M1313</f>
        <v>0</v>
      </c>
      <c r="O1313" s="28">
        <f>K1313-M1313</f>
        <v>665686.515</v>
      </c>
      <c r="P1313" s="9" t="s">
        <v>12</v>
      </c>
      <c r="Q1313" s="2">
        <v>45984</v>
      </c>
      <c r="R1313" s="38"/>
      <c r="S1313" s="52"/>
      <c r="T1313" s="4">
        <f>R636*45%</f>
        <v>3058.2</v>
      </c>
      <c r="U1313" s="5"/>
      <c r="V1313" s="4">
        <f>(S1313+T1313)-U1313</f>
        <v>3058.2</v>
      </c>
      <c r="W1313" s="4">
        <f>V1313+AA1312</f>
        <v>611422.885</v>
      </c>
      <c r="X1313" s="3"/>
      <c r="Y1313" s="3"/>
      <c r="Z1313" s="25">
        <f>U1313+Y1313</f>
        <v>0</v>
      </c>
      <c r="AA1313" s="76">
        <f>W1313-Y1313</f>
        <v>611422.885</v>
      </c>
      <c r="AB1313" s="9" t="s">
        <v>12</v>
      </c>
      <c r="AC1313" s="19">
        <v>45984</v>
      </c>
      <c r="AD1313" s="41"/>
      <c r="AE1313" s="42"/>
      <c r="AF1313" s="4">
        <f>AD636-H1313-T1313</f>
        <v>5635.8</v>
      </c>
      <c r="AG1313" s="3"/>
      <c r="AH1313" s="8"/>
      <c r="AI1313" s="4">
        <f>(AE1313+AF1313)-AH1313</f>
        <v>5635.8</v>
      </c>
      <c r="AJ1313" s="4">
        <f>AI1313+BP1312</f>
        <v>-2581.0654999998</v>
      </c>
      <c r="AK1313" s="8"/>
      <c r="AL1313" s="8"/>
      <c r="AM1313" s="47"/>
      <c r="AN1313" s="47"/>
      <c r="AO1313" s="8"/>
      <c r="AP1313" s="8"/>
      <c r="AQ1313" s="47"/>
      <c r="AR1313" s="47"/>
      <c r="AS1313" s="8"/>
      <c r="AT1313" s="8"/>
      <c r="AU1313" s="47"/>
      <c r="AV1313" s="47"/>
      <c r="AW1313" s="8"/>
      <c r="AX1313" s="8"/>
      <c r="AY1313" s="47"/>
      <c r="AZ1313" s="47"/>
      <c r="BA1313" s="8"/>
      <c r="BB1313" s="8"/>
      <c r="BC1313" s="47"/>
      <c r="BD1313" s="47"/>
      <c r="BE1313" s="8"/>
      <c r="BF1313" s="8"/>
      <c r="BG1313" s="47"/>
      <c r="BH1313" s="47"/>
      <c r="BI1313" s="8"/>
      <c r="BJ1313" s="3"/>
      <c r="BK1313" s="47"/>
      <c r="BL1313" s="47"/>
      <c r="BM1313" s="46"/>
      <c r="BN1313" s="46"/>
      <c r="BO1313" s="24">
        <f>AL1313+AN1313+AP1313+AR1313+AT1313+AV1313+AX1313+AZ1313+BB1313+BD1313+BF1313+BH1313+BJ1313+BL1313+BN1313</f>
        <v>0</v>
      </c>
      <c r="BP1313" s="28">
        <f>AJ1313-BO1313</f>
        <v>-2581.0654999998</v>
      </c>
      <c r="BQ1313" s="2">
        <v>45984</v>
      </c>
    </row>
    <row r="1314" spans="1:73">
      <c r="D1314" s="9" t="s">
        <v>13</v>
      </c>
      <c r="E1314" s="2">
        <v>45985</v>
      </c>
      <c r="F1314" s="38"/>
      <c r="G1314" s="126"/>
      <c r="H1314" s="4">
        <f>F637*50%</f>
        <v>1898.5</v>
      </c>
      <c r="I1314" s="120"/>
      <c r="J1314" s="4">
        <f>(G1314+H1314)-I1314</f>
        <v>1898.5</v>
      </c>
      <c r="K1314" s="4">
        <f>J1314+O1313</f>
        <v>667585.015</v>
      </c>
      <c r="L1314" s="3"/>
      <c r="M1314" s="3"/>
      <c r="N1314" s="33">
        <f>I1314+M1314</f>
        <v>0</v>
      </c>
      <c r="O1314" s="28">
        <f>K1314-M1314</f>
        <v>667585.015</v>
      </c>
      <c r="P1314" s="9" t="s">
        <v>13</v>
      </c>
      <c r="Q1314" s="2">
        <v>45985</v>
      </c>
      <c r="R1314" s="38"/>
      <c r="S1314" s="52"/>
      <c r="T1314" s="4">
        <f>R637*45%</f>
        <v>3058.65</v>
      </c>
      <c r="U1314" s="5"/>
      <c r="V1314" s="4">
        <f>(S1314+T1314)-U1314</f>
        <v>3058.65</v>
      </c>
      <c r="W1314" s="4">
        <f>V1314+AA1313</f>
        <v>614481.535</v>
      </c>
      <c r="X1314" s="3"/>
      <c r="Y1314" s="3"/>
      <c r="Z1314" s="25">
        <f>U1314+Y1314</f>
        <v>0</v>
      </c>
      <c r="AA1314" s="76">
        <f>W1314-Y1314</f>
        <v>614481.535</v>
      </c>
      <c r="AB1314" s="9" t="s">
        <v>13</v>
      </c>
      <c r="AC1314" s="19">
        <v>45985</v>
      </c>
      <c r="AD1314" s="41"/>
      <c r="AE1314" s="42"/>
      <c r="AF1314" s="4">
        <f>AD637-H1314-T1314</f>
        <v>5636.85</v>
      </c>
      <c r="AG1314" s="3"/>
      <c r="AH1314" s="8"/>
      <c r="AI1314" s="4">
        <f>(AE1314+AF1314)-AH1314</f>
        <v>5636.85</v>
      </c>
      <c r="AJ1314" s="4">
        <f>AI1314+BP1313</f>
        <v>3055.7845000002</v>
      </c>
      <c r="AK1314" s="8"/>
      <c r="AL1314" s="8"/>
      <c r="AM1314" s="47"/>
      <c r="AN1314" s="47"/>
      <c r="AO1314" s="8"/>
      <c r="AP1314" s="8"/>
      <c r="AQ1314" s="47"/>
      <c r="AR1314" s="47"/>
      <c r="AS1314" s="8"/>
      <c r="AT1314" s="8"/>
      <c r="AU1314" s="47"/>
      <c r="AV1314" s="47"/>
      <c r="AW1314" s="8"/>
      <c r="AX1314" s="8"/>
      <c r="AY1314" s="47"/>
      <c r="AZ1314" s="47"/>
      <c r="BA1314" s="8"/>
      <c r="BB1314" s="8"/>
      <c r="BC1314" s="47"/>
      <c r="BD1314" s="47"/>
      <c r="BE1314" s="8"/>
      <c r="BF1314" s="8"/>
      <c r="BG1314" s="47"/>
      <c r="BH1314" s="47"/>
      <c r="BI1314" s="8"/>
      <c r="BJ1314" s="3"/>
      <c r="BK1314" s="47"/>
      <c r="BL1314" s="47"/>
      <c r="BM1314" s="46"/>
      <c r="BN1314" s="46"/>
      <c r="BO1314" s="24">
        <f>AL1314+AN1314+AP1314+AR1314+AT1314+AV1314+AX1314+AZ1314+BB1314+BD1314+BF1314+BH1314+BJ1314+BL1314+BN1314</f>
        <v>0</v>
      </c>
      <c r="BP1314" s="28">
        <f>AJ1314-BO1314</f>
        <v>3055.7845000002</v>
      </c>
      <c r="BQ1314" s="2">
        <v>45985</v>
      </c>
    </row>
    <row r="1315" spans="1:73">
      <c r="D1315" s="9" t="s">
        <v>14</v>
      </c>
      <c r="E1315" s="2">
        <v>45986</v>
      </c>
      <c r="F1315" s="38"/>
      <c r="G1315" s="126"/>
      <c r="H1315" s="4">
        <f>F638*50%</f>
        <v>1899</v>
      </c>
      <c r="I1315" s="120"/>
      <c r="J1315" s="4">
        <f>(G1315+H1315)-I1315</f>
        <v>1899</v>
      </c>
      <c r="K1315" s="4">
        <f>J1315+O1314</f>
        <v>669484.015</v>
      </c>
      <c r="L1315" s="3"/>
      <c r="M1315" s="3"/>
      <c r="N1315" s="33">
        <f>I1315+M1315</f>
        <v>0</v>
      </c>
      <c r="O1315" s="28">
        <f>K1315-M1315</f>
        <v>669484.015</v>
      </c>
      <c r="P1315" s="9" t="s">
        <v>14</v>
      </c>
      <c r="Q1315" s="2">
        <v>45986</v>
      </c>
      <c r="R1315" s="38"/>
      <c r="S1315" s="52"/>
      <c r="T1315" s="4">
        <f>R638*45%</f>
        <v>3059.1</v>
      </c>
      <c r="U1315" s="5"/>
      <c r="V1315" s="4">
        <f>(S1315+T1315)-U1315</f>
        <v>3059.1</v>
      </c>
      <c r="W1315" s="4">
        <f>V1315+AA1314</f>
        <v>617540.635</v>
      </c>
      <c r="X1315" s="3"/>
      <c r="Y1315" s="3"/>
      <c r="Z1315" s="25">
        <f>U1315+Y1315</f>
        <v>0</v>
      </c>
      <c r="AA1315" s="76">
        <f>W1315-Y1315</f>
        <v>617540.635</v>
      </c>
      <c r="AB1315" s="9" t="s">
        <v>14</v>
      </c>
      <c r="AC1315" s="19">
        <v>45986</v>
      </c>
      <c r="AD1315" s="41"/>
      <c r="AE1315" s="42"/>
      <c r="AF1315" s="4">
        <f>AD638-H1315-T1315</f>
        <v>5637.9</v>
      </c>
      <c r="AG1315" s="3"/>
      <c r="AH1315" s="8"/>
      <c r="AI1315" s="4">
        <f>(AE1315+AF1315)-AH1315</f>
        <v>5637.9</v>
      </c>
      <c r="AJ1315" s="4">
        <f>AI1315+BP1314</f>
        <v>8693.6845000002</v>
      </c>
      <c r="AK1315" s="8"/>
      <c r="AL1315" s="8"/>
      <c r="AM1315" s="47"/>
      <c r="AN1315" s="47"/>
      <c r="AO1315" s="8"/>
      <c r="AP1315" s="8"/>
      <c r="AQ1315" s="47"/>
      <c r="AR1315" s="47"/>
      <c r="AS1315" s="8"/>
      <c r="AT1315" s="8"/>
      <c r="AU1315" s="47"/>
      <c r="AV1315" s="47"/>
      <c r="AW1315" s="8"/>
      <c r="AX1315" s="8"/>
      <c r="AY1315" s="47"/>
      <c r="AZ1315" s="47"/>
      <c r="BA1315" s="8"/>
      <c r="BB1315" s="8"/>
      <c r="BC1315" s="47"/>
      <c r="BD1315" s="47"/>
      <c r="BE1315" s="8"/>
      <c r="BF1315" s="8"/>
      <c r="BG1315" s="47"/>
      <c r="BH1315" s="47"/>
      <c r="BI1315" s="8"/>
      <c r="BJ1315" s="3"/>
      <c r="BK1315" s="47"/>
      <c r="BL1315" s="47"/>
      <c r="BM1315" s="46"/>
      <c r="BN1315" s="46"/>
      <c r="BO1315" s="24">
        <f>AL1315+AN1315+AP1315+AR1315+AT1315+AV1315+AX1315+AZ1315+BB1315+BD1315+BF1315+BH1315+BJ1315+BL1315+BN1315</f>
        <v>0</v>
      </c>
      <c r="BP1315" s="28">
        <f>AJ1315-BO1315</f>
        <v>8693.6845000002</v>
      </c>
      <c r="BQ1315" s="2">
        <v>45986</v>
      </c>
    </row>
    <row r="1316" spans="1:73">
      <c r="D1316" s="9" t="s">
        <v>15</v>
      </c>
      <c r="E1316" s="2">
        <v>45987</v>
      </c>
      <c r="F1316" s="38"/>
      <c r="G1316" s="126"/>
      <c r="H1316" s="4">
        <f>F639*50%</f>
        <v>1899.5</v>
      </c>
      <c r="I1316" s="120"/>
      <c r="J1316" s="4">
        <f>(G1316+H1316)-I1316</f>
        <v>1899.5</v>
      </c>
      <c r="K1316" s="4">
        <f>J1316+O1315</f>
        <v>671383.515</v>
      </c>
      <c r="L1316" s="3"/>
      <c r="M1316" s="3"/>
      <c r="N1316" s="33">
        <f>I1316+M1316</f>
        <v>0</v>
      </c>
      <c r="O1316" s="28">
        <f>K1316-M1316</f>
        <v>671383.515</v>
      </c>
      <c r="P1316" s="9" t="s">
        <v>15</v>
      </c>
      <c r="Q1316" s="2">
        <v>45987</v>
      </c>
      <c r="R1316" s="38"/>
      <c r="S1316" s="52"/>
      <c r="T1316" s="4">
        <f>R639*45%</f>
        <v>3059.55</v>
      </c>
      <c r="U1316" s="5"/>
      <c r="V1316" s="4">
        <f>(S1316+T1316)-U1316</f>
        <v>3059.55</v>
      </c>
      <c r="W1316" s="4">
        <f>V1316+AA1315</f>
        <v>620600.185</v>
      </c>
      <c r="X1316" s="3"/>
      <c r="Y1316" s="3"/>
      <c r="Z1316" s="25">
        <f>U1316+Y1316</f>
        <v>0</v>
      </c>
      <c r="AA1316" s="76">
        <f>W1316-Y1316</f>
        <v>620600.185</v>
      </c>
      <c r="AB1316" s="9" t="s">
        <v>15</v>
      </c>
      <c r="AC1316" s="19">
        <v>45987</v>
      </c>
      <c r="AD1316" s="41"/>
      <c r="AE1316" s="42"/>
      <c r="AF1316" s="4">
        <f>AD639-H1316-T1316</f>
        <v>5638.95</v>
      </c>
      <c r="AG1316" s="3"/>
      <c r="AH1316" s="8"/>
      <c r="AI1316" s="4">
        <f>(AE1316+AF1316)-AH1316</f>
        <v>5638.95</v>
      </c>
      <c r="AJ1316" s="4">
        <f>AI1316+BP1315</f>
        <v>14332.6345</v>
      </c>
      <c r="AK1316" s="8"/>
      <c r="AL1316" s="8"/>
      <c r="AM1316" s="47"/>
      <c r="AN1316" s="47"/>
      <c r="AO1316" s="8"/>
      <c r="AP1316" s="8"/>
      <c r="AQ1316" s="47"/>
      <c r="AR1316" s="47"/>
      <c r="AS1316" s="8"/>
      <c r="AT1316" s="8"/>
      <c r="AU1316" s="47"/>
      <c r="AV1316" s="47"/>
      <c r="AW1316" s="8"/>
      <c r="AX1316" s="8"/>
      <c r="AY1316" s="47"/>
      <c r="AZ1316" s="47"/>
      <c r="BA1316" s="8"/>
      <c r="BB1316" s="8"/>
      <c r="BC1316" s="47"/>
      <c r="BD1316" s="47"/>
      <c r="BE1316" s="8"/>
      <c r="BF1316" s="8"/>
      <c r="BG1316" s="47"/>
      <c r="BH1316" s="47"/>
      <c r="BI1316" s="8"/>
      <c r="BJ1316" s="3"/>
      <c r="BK1316" s="47"/>
      <c r="BL1316" s="47"/>
      <c r="BM1316" s="46"/>
      <c r="BN1316" s="46"/>
      <c r="BO1316" s="24">
        <f>AL1316+AN1316+AP1316+AR1316+AT1316+AV1316+AX1316+AZ1316+BB1316+BD1316+BF1316+BH1316+BJ1316+BL1316+BN1316</f>
        <v>0</v>
      </c>
      <c r="BP1316" s="28">
        <f>AJ1316-BO1316</f>
        <v>14332.6345</v>
      </c>
      <c r="BQ1316" s="2">
        <v>45987</v>
      </c>
    </row>
    <row r="1317" spans="1:73">
      <c r="D1317" s="9" t="s">
        <v>16</v>
      </c>
      <c r="E1317" s="2">
        <v>45988</v>
      </c>
      <c r="F1317" s="38"/>
      <c r="G1317" s="126"/>
      <c r="H1317" s="4">
        <f>F640*50%</f>
        <v>1900</v>
      </c>
      <c r="I1317" s="120"/>
      <c r="J1317" s="4">
        <f>(G1317+H1317)-I1317</f>
        <v>1900</v>
      </c>
      <c r="K1317" s="4">
        <f>J1317+O1316</f>
        <v>673283.515</v>
      </c>
      <c r="L1317" s="3"/>
      <c r="M1317" s="3"/>
      <c r="N1317" s="33">
        <f>I1317+M1317</f>
        <v>0</v>
      </c>
      <c r="O1317" s="28">
        <f>K1317-M1317</f>
        <v>673283.515</v>
      </c>
      <c r="P1317" s="9" t="s">
        <v>16</v>
      </c>
      <c r="Q1317" s="2">
        <v>45988</v>
      </c>
      <c r="R1317" s="38"/>
      <c r="S1317" s="52"/>
      <c r="T1317" s="4">
        <f>R640*45%</f>
        <v>3060</v>
      </c>
      <c r="U1317" s="5"/>
      <c r="V1317" s="4">
        <f>(S1317+T1317)-U1317</f>
        <v>3060</v>
      </c>
      <c r="W1317" s="4">
        <f>V1317+AA1316</f>
        <v>623660.185</v>
      </c>
      <c r="X1317" s="3"/>
      <c r="Y1317" s="3"/>
      <c r="Z1317" s="25">
        <f>U1317+Y1317</f>
        <v>0</v>
      </c>
      <c r="AA1317" s="76">
        <f>W1317-Y1317</f>
        <v>623660.185</v>
      </c>
      <c r="AB1317" s="9" t="s">
        <v>16</v>
      </c>
      <c r="AC1317" s="19">
        <v>45988</v>
      </c>
      <c r="AD1317" s="41"/>
      <c r="AE1317" s="42"/>
      <c r="AF1317" s="4">
        <f>AD640-H1317-T1317</f>
        <v>5640</v>
      </c>
      <c r="AG1317" s="3"/>
      <c r="AH1317" s="8"/>
      <c r="AI1317" s="4">
        <f>(AE1317+AF1317)-AH1317</f>
        <v>5640</v>
      </c>
      <c r="AJ1317" s="4">
        <f>AI1317+BP1316</f>
        <v>19972.6345</v>
      </c>
      <c r="AK1317" s="8"/>
      <c r="AL1317" s="8"/>
      <c r="AM1317" s="47"/>
      <c r="AN1317" s="47"/>
      <c r="AO1317" s="8"/>
      <c r="AP1317" s="8"/>
      <c r="AQ1317" s="47"/>
      <c r="AR1317" s="47"/>
      <c r="AS1317" s="8"/>
      <c r="AT1317" s="8"/>
      <c r="AU1317" s="47"/>
      <c r="AV1317" s="47"/>
      <c r="AW1317" s="8"/>
      <c r="AX1317" s="8"/>
      <c r="AY1317" s="47"/>
      <c r="AZ1317" s="47"/>
      <c r="BA1317" s="8"/>
      <c r="BB1317" s="8"/>
      <c r="BC1317" s="47"/>
      <c r="BD1317" s="47"/>
      <c r="BE1317" s="8"/>
      <c r="BF1317" s="8"/>
      <c r="BG1317" s="47"/>
      <c r="BH1317" s="47"/>
      <c r="BI1317" s="8"/>
      <c r="BJ1317" s="3"/>
      <c r="BK1317" s="47"/>
      <c r="BL1317" s="47"/>
      <c r="BM1317" s="46"/>
      <c r="BN1317" s="46"/>
      <c r="BO1317" s="24">
        <f>AL1317+AN1317+AP1317+AR1317+AT1317+AV1317+AX1317+AZ1317+BB1317+BD1317+BF1317+BH1317+BJ1317+BL1317+BN1317</f>
        <v>0</v>
      </c>
      <c r="BP1317" s="28">
        <f>AJ1317-BO1317</f>
        <v>19972.6345</v>
      </c>
      <c r="BQ1317" s="2">
        <v>45988</v>
      </c>
    </row>
    <row r="1318" spans="1:73">
      <c r="D1318" s="9" t="s">
        <v>10</v>
      </c>
      <c r="E1318" s="2">
        <v>45989</v>
      </c>
      <c r="F1318" s="38"/>
      <c r="G1318" s="126"/>
      <c r="H1318" s="4">
        <f>F641*50%</f>
        <v>1900.5</v>
      </c>
      <c r="I1318" s="120"/>
      <c r="J1318" s="4">
        <f>(G1318+H1318)-I1318</f>
        <v>1900.5</v>
      </c>
      <c r="K1318" s="4">
        <f>J1318+O1317</f>
        <v>675184.015</v>
      </c>
      <c r="L1318" s="3"/>
      <c r="M1318" s="3"/>
      <c r="N1318" s="33">
        <f>I1318+M1318</f>
        <v>0</v>
      </c>
      <c r="O1318" s="28">
        <f>K1318-M1318</f>
        <v>675184.015</v>
      </c>
      <c r="P1318" s="9" t="s">
        <v>10</v>
      </c>
      <c r="Q1318" s="2">
        <v>45989</v>
      </c>
      <c r="R1318" s="38"/>
      <c r="S1318" s="52"/>
      <c r="T1318" s="4">
        <f>R641*45%</f>
        <v>3060.45</v>
      </c>
      <c r="U1318" s="5"/>
      <c r="V1318" s="4">
        <f>(S1318+T1318)-U1318</f>
        <v>3060.45</v>
      </c>
      <c r="W1318" s="4">
        <f>V1318+AA1317</f>
        <v>626720.635</v>
      </c>
      <c r="X1318" s="3"/>
      <c r="Y1318" s="3"/>
      <c r="Z1318" s="25">
        <f>U1318+Y1318</f>
        <v>0</v>
      </c>
      <c r="AA1318" s="76">
        <f>W1318-Y1318</f>
        <v>626720.635</v>
      </c>
      <c r="AB1318" s="9" t="s">
        <v>10</v>
      </c>
      <c r="AC1318" s="19">
        <v>45989</v>
      </c>
      <c r="AD1318" s="41"/>
      <c r="AE1318" s="42"/>
      <c r="AF1318" s="4">
        <f>AD641-H1318-T1318</f>
        <v>5641.05</v>
      </c>
      <c r="AG1318" s="3"/>
      <c r="AH1318" s="8"/>
      <c r="AI1318" s="4">
        <f>(AE1318+AF1318)-AH1318</f>
        <v>5641.05</v>
      </c>
      <c r="AJ1318" s="4">
        <f>AI1318+BP1317</f>
        <v>25613.6845</v>
      </c>
      <c r="AK1318" s="8"/>
      <c r="AL1318" s="8"/>
      <c r="AM1318" s="47"/>
      <c r="AN1318" s="47"/>
      <c r="AO1318" s="8"/>
      <c r="AP1318" s="8"/>
      <c r="AQ1318" s="47"/>
      <c r="AR1318" s="47"/>
      <c r="AS1318" s="8"/>
      <c r="AT1318" s="8"/>
      <c r="AU1318" s="47"/>
      <c r="AV1318" s="47"/>
      <c r="AW1318" s="8"/>
      <c r="AX1318" s="8"/>
      <c r="AY1318" s="47"/>
      <c r="AZ1318" s="47"/>
      <c r="BA1318" s="8"/>
      <c r="BB1318" s="8"/>
      <c r="BC1318" s="47"/>
      <c r="BD1318" s="47"/>
      <c r="BE1318" s="8"/>
      <c r="BF1318" s="8"/>
      <c r="BG1318" s="47"/>
      <c r="BH1318" s="47"/>
      <c r="BI1318" s="8"/>
      <c r="BJ1318" s="3"/>
      <c r="BK1318" s="47"/>
      <c r="BL1318" s="47"/>
      <c r="BM1318" s="46"/>
      <c r="BN1318" s="46"/>
      <c r="BO1318" s="24">
        <f>AL1318+AN1318+AP1318+AR1318+AT1318+AV1318+AX1318+AZ1318+BB1318+BD1318+BF1318+BH1318+BJ1318+BL1318+BN1318</f>
        <v>0</v>
      </c>
      <c r="BP1318" s="28">
        <f>AJ1318-BO1318</f>
        <v>25613.6845</v>
      </c>
      <c r="BQ1318" s="2">
        <v>45989</v>
      </c>
    </row>
    <row r="1319" spans="1:73">
      <c r="D1319" s="9" t="s">
        <v>11</v>
      </c>
      <c r="E1319" s="2">
        <v>45990</v>
      </c>
      <c r="F1319" s="38"/>
      <c r="G1319" s="126"/>
      <c r="H1319" s="4">
        <f>F642*50%</f>
        <v>1901</v>
      </c>
      <c r="I1319" s="120"/>
      <c r="J1319" s="4">
        <f>(G1319+H1319)-I1319</f>
        <v>1901</v>
      </c>
      <c r="K1319" s="4">
        <f>J1319+O1318</f>
        <v>677085.015</v>
      </c>
      <c r="L1319" s="3"/>
      <c r="M1319" s="3"/>
      <c r="N1319" s="33">
        <f>I1319+M1319</f>
        <v>0</v>
      </c>
      <c r="O1319" s="28">
        <f>K1319-M1319</f>
        <v>677085.015</v>
      </c>
      <c r="P1319" s="9" t="s">
        <v>11</v>
      </c>
      <c r="Q1319" s="2">
        <v>45990</v>
      </c>
      <c r="R1319" s="38"/>
      <c r="S1319" s="52"/>
      <c r="T1319" s="4">
        <f>R642*45%</f>
        <v>3060.9</v>
      </c>
      <c r="U1319" s="5"/>
      <c r="V1319" s="4">
        <f>(S1319+T1319)-U1319</f>
        <v>3060.9</v>
      </c>
      <c r="W1319" s="4">
        <f>V1319+AA1318</f>
        <v>629781.535</v>
      </c>
      <c r="X1319" s="3"/>
      <c r="Y1319" s="3"/>
      <c r="Z1319" s="25">
        <f>U1319+Y1319</f>
        <v>0</v>
      </c>
      <c r="AA1319" s="76">
        <f>W1319-Y1319</f>
        <v>629781.535</v>
      </c>
      <c r="AB1319" s="9" t="s">
        <v>11</v>
      </c>
      <c r="AC1319" s="19">
        <v>45990</v>
      </c>
      <c r="AD1319" s="41"/>
      <c r="AE1319" s="42"/>
      <c r="AF1319" s="4">
        <f>AD642-H1319-T1319</f>
        <v>5642.1</v>
      </c>
      <c r="AG1319" s="3"/>
      <c r="AH1319" s="8"/>
      <c r="AI1319" s="4">
        <f>(AE1319+AF1319)-AH1319</f>
        <v>5642.1</v>
      </c>
      <c r="AJ1319" s="4">
        <f>AI1319+BP1318</f>
        <v>31255.7845</v>
      </c>
      <c r="AK1319" s="8"/>
      <c r="AL1319" s="8"/>
      <c r="AM1319" s="47"/>
      <c r="AN1319" s="47"/>
      <c r="AO1319" s="8"/>
      <c r="AP1319" s="8"/>
      <c r="AQ1319" s="47"/>
      <c r="AR1319" s="47"/>
      <c r="AS1319" s="8"/>
      <c r="AT1319" s="8"/>
      <c r="AU1319" s="47"/>
      <c r="AV1319" s="47"/>
      <c r="AW1319" s="8"/>
      <c r="AX1319" s="8"/>
      <c r="AY1319" s="47"/>
      <c r="AZ1319" s="47"/>
      <c r="BA1319" s="8"/>
      <c r="BB1319" s="8"/>
      <c r="BC1319" s="47"/>
      <c r="BD1319" s="47"/>
      <c r="BE1319" s="8"/>
      <c r="BF1319" s="8"/>
      <c r="BG1319" s="47"/>
      <c r="BH1319" s="47"/>
      <c r="BI1319" s="8"/>
      <c r="BJ1319" s="3"/>
      <c r="BK1319" s="47"/>
      <c r="BL1319" s="47"/>
      <c r="BM1319" s="46"/>
      <c r="BN1319" s="46"/>
      <c r="BO1319" s="24">
        <f>AL1319+AN1319+AP1319+AR1319+AT1319+AV1319+AX1319+AZ1319+BB1319+BD1319+BF1319+BH1319+BJ1319+BL1319+BN1319</f>
        <v>0</v>
      </c>
      <c r="BP1319" s="28">
        <f>AJ1319-BO1319</f>
        <v>31255.7845</v>
      </c>
      <c r="BQ1319" s="2">
        <v>45990</v>
      </c>
    </row>
    <row r="1320" spans="1:73">
      <c r="D1320" s="9" t="s">
        <v>12</v>
      </c>
      <c r="E1320" s="2">
        <v>45991</v>
      </c>
      <c r="F1320" s="38"/>
      <c r="G1320" s="126"/>
      <c r="H1320" s="4">
        <f>F643*50%</f>
        <v>1901.5</v>
      </c>
      <c r="I1320" s="120"/>
      <c r="J1320" s="4">
        <f>(G1320+H1320)-I1320</f>
        <v>1901.5</v>
      </c>
      <c r="K1320" s="4">
        <f>J1320+O1319</f>
        <v>678986.515</v>
      </c>
      <c r="L1320" s="3"/>
      <c r="M1320" s="3"/>
      <c r="N1320" s="33">
        <f>I1320+M1320</f>
        <v>0</v>
      </c>
      <c r="O1320" s="28">
        <f>K1320-M1320</f>
        <v>678986.515</v>
      </c>
      <c r="P1320" s="9" t="s">
        <v>12</v>
      </c>
      <c r="Q1320" s="2">
        <v>45991</v>
      </c>
      <c r="R1320" s="38"/>
      <c r="S1320" s="52"/>
      <c r="T1320" s="4">
        <f>R643*45%</f>
        <v>3061.35</v>
      </c>
      <c r="U1320" s="5"/>
      <c r="V1320" s="4">
        <f>(S1320+T1320)-U1320</f>
        <v>3061.35</v>
      </c>
      <c r="W1320" s="4">
        <f>V1320+AA1319</f>
        <v>632842.885</v>
      </c>
      <c r="X1320" s="3"/>
      <c r="Y1320" s="3"/>
      <c r="Z1320" s="25">
        <f>U1320+Y1320</f>
        <v>0</v>
      </c>
      <c r="AA1320" s="76">
        <f>W1320-Y1320</f>
        <v>632842.885</v>
      </c>
      <c r="AB1320" s="9" t="s">
        <v>12</v>
      </c>
      <c r="AC1320" s="19">
        <v>45991</v>
      </c>
      <c r="AD1320" s="41"/>
      <c r="AE1320" s="42"/>
      <c r="AF1320" s="4">
        <f>AD643-H1320-T1320</f>
        <v>5643.15</v>
      </c>
      <c r="AG1320" s="3"/>
      <c r="AH1320" s="8"/>
      <c r="AI1320" s="4">
        <f>(AE1320+AF1320)-AH1320</f>
        <v>5643.15</v>
      </c>
      <c r="AJ1320" s="4">
        <f>AI1320+BP1319</f>
        <v>36898.9345</v>
      </c>
      <c r="AK1320" s="8"/>
      <c r="AL1320" s="8"/>
      <c r="AM1320" s="47"/>
      <c r="AN1320" s="47"/>
      <c r="AO1320" s="8"/>
      <c r="AP1320" s="8"/>
      <c r="AQ1320" s="47"/>
      <c r="AR1320" s="47"/>
      <c r="AS1320" s="8"/>
      <c r="AT1320" s="8"/>
      <c r="AU1320" s="47"/>
      <c r="AV1320" s="47"/>
      <c r="AW1320" s="8"/>
      <c r="AX1320" s="8"/>
      <c r="AY1320" s="47"/>
      <c r="AZ1320" s="47"/>
      <c r="BA1320" s="8"/>
      <c r="BB1320" s="8"/>
      <c r="BC1320" s="47"/>
      <c r="BD1320" s="47"/>
      <c r="BE1320" s="8"/>
      <c r="BF1320" s="8"/>
      <c r="BG1320" s="47"/>
      <c r="BH1320" s="47"/>
      <c r="BI1320" s="8"/>
      <c r="BJ1320" s="3"/>
      <c r="BK1320" s="47"/>
      <c r="BL1320" s="47"/>
      <c r="BM1320" s="46"/>
      <c r="BN1320" s="46"/>
      <c r="BO1320" s="24">
        <f>AL1320+AN1320+AP1320+AR1320+AT1320+AV1320+AX1320+AZ1320+BB1320+BD1320+BF1320+BH1320+BJ1320+BL1320+BN1320</f>
        <v>0</v>
      </c>
      <c r="BP1320" s="28">
        <f>AJ1320-BO1320</f>
        <v>36898.9345</v>
      </c>
      <c r="BQ1320" s="2">
        <v>45991</v>
      </c>
    </row>
    <row r="1321" spans="1:73">
      <c r="D1321" s="9" t="s">
        <v>13</v>
      </c>
      <c r="E1321" s="2">
        <v>45992</v>
      </c>
      <c r="F1321" s="38"/>
      <c r="G1321" s="126"/>
      <c r="H1321" s="4">
        <f>F644*50%</f>
        <v>1902</v>
      </c>
      <c r="I1321" s="120"/>
      <c r="J1321" s="4">
        <f>(G1321+H1321)-I1321</f>
        <v>1902</v>
      </c>
      <c r="K1321" s="4">
        <f>J1321+O1320</f>
        <v>680888.515</v>
      </c>
      <c r="L1321" s="3"/>
      <c r="M1321" s="3"/>
      <c r="N1321" s="33">
        <f>I1321+M1321</f>
        <v>0</v>
      </c>
      <c r="O1321" s="28">
        <f>K1321-M1321</f>
        <v>680888.515</v>
      </c>
      <c r="P1321" s="9" t="s">
        <v>13</v>
      </c>
      <c r="Q1321" s="2">
        <v>45992</v>
      </c>
      <c r="R1321" s="38"/>
      <c r="S1321" s="52"/>
      <c r="T1321" s="4">
        <f>R644*45%</f>
        <v>3061.8</v>
      </c>
      <c r="U1321" s="5"/>
      <c r="V1321" s="4">
        <f>(S1321+T1321)-U1321</f>
        <v>3061.8</v>
      </c>
      <c r="W1321" s="4">
        <f>V1321+AA1320</f>
        <v>635904.685</v>
      </c>
      <c r="X1321" s="3"/>
      <c r="Y1321" s="3"/>
      <c r="Z1321" s="25">
        <f>U1321+Y1321</f>
        <v>0</v>
      </c>
      <c r="AA1321" s="76">
        <f>W1321-Y1321</f>
        <v>635904.685</v>
      </c>
      <c r="AB1321" s="9" t="s">
        <v>13</v>
      </c>
      <c r="AC1321" s="19">
        <v>45992</v>
      </c>
      <c r="AD1321" s="41"/>
      <c r="AE1321" s="42"/>
      <c r="AF1321" s="4">
        <f>AD644-H1321-T1321</f>
        <v>5644.2</v>
      </c>
      <c r="AG1321" s="3"/>
      <c r="AH1321" s="8"/>
      <c r="AI1321" s="4">
        <f>(AE1321+AF1321)-AH1321</f>
        <v>5644.2</v>
      </c>
      <c r="AJ1321" s="4">
        <f>AI1321+BP1320</f>
        <v>42543.1345</v>
      </c>
      <c r="AK1321" s="8"/>
      <c r="AL1321" s="8"/>
      <c r="AM1321" s="47"/>
      <c r="AN1321" s="47"/>
      <c r="AO1321" s="8"/>
      <c r="AP1321" s="8"/>
      <c r="AQ1321" s="47"/>
      <c r="AR1321" s="47"/>
      <c r="AS1321" s="8"/>
      <c r="AT1321" s="8"/>
      <c r="AU1321" s="47"/>
      <c r="AV1321" s="47"/>
      <c r="AW1321" s="8"/>
      <c r="AX1321" s="8"/>
      <c r="AY1321" s="47"/>
      <c r="AZ1321" s="47"/>
      <c r="BA1321" s="8"/>
      <c r="BB1321" s="8"/>
      <c r="BC1321" s="47"/>
      <c r="BD1321" s="47"/>
      <c r="BE1321" s="8"/>
      <c r="BF1321" s="8"/>
      <c r="BG1321" s="47"/>
      <c r="BH1321" s="47"/>
      <c r="BI1321" s="8"/>
      <c r="BJ1321" s="3"/>
      <c r="BK1321" s="47"/>
      <c r="BL1321" s="47"/>
      <c r="BM1321" s="46"/>
      <c r="BN1321" s="46"/>
      <c r="BO1321" s="24">
        <f>AL1321+AN1321+AP1321+AR1321+AT1321+AV1321+AX1321+AZ1321+BB1321+BD1321+BF1321+BH1321+BJ1321+BL1321+BN1321</f>
        <v>0</v>
      </c>
      <c r="BP1321" s="28">
        <f>AJ1321-BO1321</f>
        <v>42543.1345</v>
      </c>
      <c r="BQ1321" s="2">
        <v>45992</v>
      </c>
    </row>
    <row r="1322" spans="1:73">
      <c r="D1322" s="9" t="s">
        <v>14</v>
      </c>
      <c r="E1322" s="2">
        <v>45993</v>
      </c>
      <c r="F1322" s="38"/>
      <c r="G1322" s="126"/>
      <c r="H1322" s="4">
        <f>F645*50%</f>
        <v>1902.5</v>
      </c>
      <c r="I1322" s="120"/>
      <c r="J1322" s="4">
        <f>(G1322+H1322)-I1322</f>
        <v>1902.5</v>
      </c>
      <c r="K1322" s="4">
        <f>J1322+O1321</f>
        <v>682791.015</v>
      </c>
      <c r="L1322" s="3"/>
      <c r="M1322" s="3"/>
      <c r="N1322" s="33">
        <f>I1322+M1322</f>
        <v>0</v>
      </c>
      <c r="O1322" s="28">
        <f>K1322-M1322</f>
        <v>682791.015</v>
      </c>
      <c r="P1322" s="9" t="s">
        <v>14</v>
      </c>
      <c r="Q1322" s="2">
        <v>45993</v>
      </c>
      <c r="R1322" s="38"/>
      <c r="S1322" s="52"/>
      <c r="T1322" s="4">
        <f>R645*45%</f>
        <v>3062.25</v>
      </c>
      <c r="U1322" s="5"/>
      <c r="V1322" s="4">
        <f>(S1322+T1322)-U1322</f>
        <v>3062.25</v>
      </c>
      <c r="W1322" s="4">
        <f>V1322+AA1321</f>
        <v>638966.935</v>
      </c>
      <c r="X1322" s="3"/>
      <c r="Y1322" s="3"/>
      <c r="Z1322" s="25">
        <f>U1322+Y1322</f>
        <v>0</v>
      </c>
      <c r="AA1322" s="76">
        <f>W1322-Y1322</f>
        <v>638966.935</v>
      </c>
      <c r="AB1322" s="9" t="s">
        <v>14</v>
      </c>
      <c r="AC1322" s="19">
        <v>45993</v>
      </c>
      <c r="AD1322" s="41"/>
      <c r="AE1322" s="42"/>
      <c r="AF1322" s="4">
        <f>AD645-H1322-T1322</f>
        <v>5645.25</v>
      </c>
      <c r="AG1322" s="3"/>
      <c r="AH1322" s="8"/>
      <c r="AI1322" s="4">
        <f>(AE1322+AF1322)-AH1322</f>
        <v>5645.25</v>
      </c>
      <c r="AJ1322" s="4">
        <f>AI1322+BP1321</f>
        <v>48188.3845</v>
      </c>
      <c r="AK1322" s="8"/>
      <c r="AL1322" s="8"/>
      <c r="AM1322" s="47"/>
      <c r="AN1322" s="47"/>
      <c r="AO1322" s="8"/>
      <c r="AP1322" s="8"/>
      <c r="AQ1322" s="47"/>
      <c r="AR1322" s="47"/>
      <c r="AS1322" s="8"/>
      <c r="AT1322" s="8"/>
      <c r="AU1322" s="47"/>
      <c r="AV1322" s="47"/>
      <c r="AW1322" s="8"/>
      <c r="AX1322" s="8"/>
      <c r="AY1322" s="47"/>
      <c r="AZ1322" s="47"/>
      <c r="BA1322" s="8"/>
      <c r="BB1322" s="8"/>
      <c r="BC1322" s="47"/>
      <c r="BD1322" s="47"/>
      <c r="BE1322" s="8"/>
      <c r="BF1322" s="8"/>
      <c r="BG1322" s="47"/>
      <c r="BH1322" s="47"/>
      <c r="BI1322" s="8"/>
      <c r="BJ1322" s="3"/>
      <c r="BK1322" s="47"/>
      <c r="BL1322" s="47"/>
      <c r="BM1322" s="46"/>
      <c r="BN1322" s="46"/>
      <c r="BO1322" s="24">
        <f>AL1322+AN1322+AP1322+AR1322+AT1322+AV1322+AX1322+AZ1322+BB1322+BD1322+BF1322+BH1322+BJ1322+BL1322+BN1322</f>
        <v>0</v>
      </c>
      <c r="BP1322" s="28">
        <f>AJ1322-BO1322</f>
        <v>48188.3845</v>
      </c>
      <c r="BQ1322" s="2">
        <v>45993</v>
      </c>
    </row>
    <row r="1323" spans="1:73">
      <c r="D1323" s="9" t="s">
        <v>15</v>
      </c>
      <c r="E1323" s="2">
        <v>45994</v>
      </c>
      <c r="F1323" s="38"/>
      <c r="G1323" s="126"/>
      <c r="H1323" s="4">
        <f>F646*50%</f>
        <v>1903</v>
      </c>
      <c r="I1323" s="120"/>
      <c r="J1323" s="4">
        <f>(G1323+H1323)-I1323</f>
        <v>1903</v>
      </c>
      <c r="K1323" s="4">
        <f>J1323+O1322</f>
        <v>684694.015</v>
      </c>
      <c r="L1323" s="3"/>
      <c r="M1323" s="3"/>
      <c r="N1323" s="33">
        <f>I1323+M1323</f>
        <v>0</v>
      </c>
      <c r="O1323" s="28">
        <f>K1323-M1323</f>
        <v>684694.015</v>
      </c>
      <c r="P1323" s="9" t="s">
        <v>15</v>
      </c>
      <c r="Q1323" s="2">
        <v>45994</v>
      </c>
      <c r="R1323" s="38"/>
      <c r="S1323" s="52"/>
      <c r="T1323" s="4">
        <f>R646*45%</f>
        <v>3062.7</v>
      </c>
      <c r="U1323" s="5"/>
      <c r="V1323" s="4">
        <f>(S1323+T1323)-U1323</f>
        <v>3062.7</v>
      </c>
      <c r="W1323" s="4">
        <f>V1323+AA1322</f>
        <v>642029.635</v>
      </c>
      <c r="X1323" s="3"/>
      <c r="Y1323" s="3"/>
      <c r="Z1323" s="25">
        <f>U1323+Y1323</f>
        <v>0</v>
      </c>
      <c r="AA1323" s="76">
        <f>W1323-Y1323</f>
        <v>642029.635</v>
      </c>
      <c r="AB1323" s="9" t="s">
        <v>15</v>
      </c>
      <c r="AC1323" s="19">
        <v>45994</v>
      </c>
      <c r="AD1323" s="41"/>
      <c r="AE1323" s="42"/>
      <c r="AF1323" s="4">
        <f>AD646-H1323-T1323</f>
        <v>5646.3</v>
      </c>
      <c r="AG1323" s="3"/>
      <c r="AH1323" s="8"/>
      <c r="AI1323" s="4">
        <f>(AE1323+AF1323)-AH1323</f>
        <v>5646.3</v>
      </c>
      <c r="AJ1323" s="4">
        <f>AI1323+BP1322</f>
        <v>53834.6845</v>
      </c>
      <c r="AK1323" s="8"/>
      <c r="AL1323" s="8"/>
      <c r="AM1323" s="47"/>
      <c r="AN1323" s="47"/>
      <c r="AO1323" s="8"/>
      <c r="AP1323" s="8"/>
      <c r="AQ1323" s="47"/>
      <c r="AR1323" s="47"/>
      <c r="AS1323" s="8"/>
      <c r="AT1323" s="8"/>
      <c r="AU1323" s="47"/>
      <c r="AV1323" s="47"/>
      <c r="AW1323" s="8"/>
      <c r="AX1323" s="8"/>
      <c r="AY1323" s="47"/>
      <c r="AZ1323" s="47"/>
      <c r="BA1323" s="8"/>
      <c r="BB1323" s="8"/>
      <c r="BC1323" s="47"/>
      <c r="BD1323" s="47"/>
      <c r="BE1323" s="8"/>
      <c r="BF1323" s="8"/>
      <c r="BG1323" s="47"/>
      <c r="BH1323" s="47"/>
      <c r="BI1323" s="8"/>
      <c r="BJ1323" s="3"/>
      <c r="BK1323" s="47"/>
      <c r="BL1323" s="47"/>
      <c r="BM1323" s="46"/>
      <c r="BN1323" s="46"/>
      <c r="BO1323" s="24">
        <f>AL1323+AN1323+AP1323+AR1323+AT1323+AV1323+AX1323+AZ1323+BB1323+BD1323+BF1323+BH1323+BJ1323+BL1323+BN1323</f>
        <v>0</v>
      </c>
      <c r="BP1323" s="28">
        <f>AJ1323-BO1323</f>
        <v>53834.6845</v>
      </c>
      <c r="BQ1323" s="2">
        <v>45994</v>
      </c>
    </row>
    <row r="1324" spans="1:73">
      <c r="D1324" s="9" t="s">
        <v>16</v>
      </c>
      <c r="E1324" s="2">
        <v>45995</v>
      </c>
      <c r="F1324" s="38"/>
      <c r="G1324" s="126"/>
      <c r="H1324" s="4">
        <f>F647*50%</f>
        <v>1903.5</v>
      </c>
      <c r="I1324" s="120"/>
      <c r="J1324" s="4">
        <f>(G1324+H1324)-I1324</f>
        <v>1903.5</v>
      </c>
      <c r="K1324" s="4">
        <f>J1324+O1323</f>
        <v>686597.515</v>
      </c>
      <c r="L1324" s="3"/>
      <c r="M1324" s="3"/>
      <c r="N1324" s="33">
        <f>I1324+M1324</f>
        <v>0</v>
      </c>
      <c r="O1324" s="28">
        <f>K1324-M1324</f>
        <v>686597.515</v>
      </c>
      <c r="P1324" s="9" t="s">
        <v>16</v>
      </c>
      <c r="Q1324" s="2">
        <v>45995</v>
      </c>
      <c r="R1324" s="38"/>
      <c r="S1324" s="52"/>
      <c r="T1324" s="4">
        <f>R647*45%</f>
        <v>3063.15</v>
      </c>
      <c r="U1324" s="5"/>
      <c r="V1324" s="4">
        <f>(S1324+T1324)-U1324</f>
        <v>3063.15</v>
      </c>
      <c r="W1324" s="4">
        <f>V1324+AA1323</f>
        <v>645092.785</v>
      </c>
      <c r="X1324" s="3"/>
      <c r="Y1324" s="3"/>
      <c r="Z1324" s="25">
        <f>U1324+Y1324</f>
        <v>0</v>
      </c>
      <c r="AA1324" s="76">
        <f>W1324-Y1324</f>
        <v>645092.785</v>
      </c>
      <c r="AB1324" s="9" t="s">
        <v>16</v>
      </c>
      <c r="AC1324" s="19">
        <v>45995</v>
      </c>
      <c r="AD1324" s="41"/>
      <c r="AE1324" s="42"/>
      <c r="AF1324" s="4">
        <f>AD647-H1324-T1324</f>
        <v>5647.35</v>
      </c>
      <c r="AG1324" s="3"/>
      <c r="AH1324" s="8"/>
      <c r="AI1324" s="4">
        <f>(AE1324+AF1324)-AH1324</f>
        <v>5647.35</v>
      </c>
      <c r="AJ1324" s="4">
        <f>AI1324+BP1323</f>
        <v>59482.0345</v>
      </c>
      <c r="AK1324" s="8"/>
      <c r="AL1324" s="8"/>
      <c r="AM1324" s="47"/>
      <c r="AN1324" s="47"/>
      <c r="AO1324" s="8"/>
      <c r="AP1324" s="8"/>
      <c r="AQ1324" s="47"/>
      <c r="AR1324" s="47"/>
      <c r="AS1324" s="8"/>
      <c r="AT1324" s="8"/>
      <c r="AU1324" s="47"/>
      <c r="AV1324" s="47"/>
      <c r="AW1324" s="8"/>
      <c r="AX1324" s="8"/>
      <c r="AY1324" s="47"/>
      <c r="AZ1324" s="47"/>
      <c r="BA1324" s="8"/>
      <c r="BB1324" s="8"/>
      <c r="BC1324" s="47"/>
      <c r="BD1324" s="47"/>
      <c r="BE1324" s="8"/>
      <c r="BF1324" s="8"/>
      <c r="BG1324" s="47"/>
      <c r="BH1324" s="47"/>
      <c r="BI1324" s="8"/>
      <c r="BJ1324" s="3"/>
      <c r="BK1324" s="47"/>
      <c r="BL1324" s="47"/>
      <c r="BM1324" s="46"/>
      <c r="BN1324" s="46"/>
      <c r="BO1324" s="24">
        <f>AL1324+AN1324+AP1324+AR1324+AT1324+AV1324+AX1324+AZ1324+BB1324+BD1324+BF1324+BH1324+BJ1324+BL1324+BN1324</f>
        <v>0</v>
      </c>
      <c r="BP1324" s="28">
        <f>AJ1324-BO1324</f>
        <v>59482.0345</v>
      </c>
      <c r="BQ1324" s="2">
        <v>45995</v>
      </c>
    </row>
    <row r="1325" spans="1:73">
      <c r="D1325" s="9" t="s">
        <v>10</v>
      </c>
      <c r="E1325" s="2">
        <v>45996</v>
      </c>
      <c r="F1325" s="38"/>
      <c r="G1325" s="126"/>
      <c r="H1325" s="4">
        <f>F648*50%</f>
        <v>1904</v>
      </c>
      <c r="I1325" s="120"/>
      <c r="J1325" s="4">
        <f>(G1325+H1325)-I1325</f>
        <v>1904</v>
      </c>
      <c r="K1325" s="4">
        <f>J1325+O1324</f>
        <v>688501.515</v>
      </c>
      <c r="L1325" s="3"/>
      <c r="M1325" s="3"/>
      <c r="N1325" s="33">
        <f>I1325+M1325</f>
        <v>0</v>
      </c>
      <c r="O1325" s="28">
        <f>K1325-M1325</f>
        <v>688501.515</v>
      </c>
      <c r="P1325" s="9" t="s">
        <v>10</v>
      </c>
      <c r="Q1325" s="2">
        <v>45996</v>
      </c>
      <c r="R1325" s="38"/>
      <c r="S1325" s="52"/>
      <c r="T1325" s="4">
        <f>R648*45%</f>
        <v>3063.6</v>
      </c>
      <c r="U1325" s="5"/>
      <c r="V1325" s="4">
        <f>(S1325+T1325)-U1325</f>
        <v>3063.6</v>
      </c>
      <c r="W1325" s="4">
        <f>V1325+AA1324</f>
        <v>648156.385</v>
      </c>
      <c r="X1325" s="3"/>
      <c r="Y1325" s="3"/>
      <c r="Z1325" s="25">
        <f>U1325+Y1325</f>
        <v>0</v>
      </c>
      <c r="AA1325" s="76">
        <f>W1325-Y1325</f>
        <v>648156.385</v>
      </c>
      <c r="AB1325" s="9" t="s">
        <v>10</v>
      </c>
      <c r="AC1325" s="19">
        <v>45996</v>
      </c>
      <c r="AD1325" s="41"/>
      <c r="AE1325" s="42"/>
      <c r="AF1325" s="4">
        <f>AD648-H1325-T1325</f>
        <v>5648.4</v>
      </c>
      <c r="AG1325" s="3"/>
      <c r="AH1325" s="8"/>
      <c r="AI1325" s="4">
        <f>(AE1325+AF1325)-AH1325</f>
        <v>5648.4</v>
      </c>
      <c r="AJ1325" s="4">
        <f>AI1325+BP1324</f>
        <v>65130.4345</v>
      </c>
      <c r="AK1325" s="8"/>
      <c r="AL1325" s="8"/>
      <c r="AM1325" s="47"/>
      <c r="AN1325" s="47"/>
      <c r="AO1325" s="8"/>
      <c r="AP1325" s="8"/>
      <c r="AQ1325" s="47"/>
      <c r="AR1325" s="47"/>
      <c r="AS1325" s="8"/>
      <c r="AT1325" s="8"/>
      <c r="AU1325" s="47"/>
      <c r="AV1325" s="47"/>
      <c r="AW1325" s="8"/>
      <c r="AX1325" s="8"/>
      <c r="AY1325" s="47"/>
      <c r="AZ1325" s="47"/>
      <c r="BA1325" s="8"/>
      <c r="BB1325" s="8"/>
      <c r="BC1325" s="47"/>
      <c r="BD1325" s="47"/>
      <c r="BE1325" s="8"/>
      <c r="BF1325" s="8"/>
      <c r="BG1325" s="47"/>
      <c r="BH1325" s="47"/>
      <c r="BI1325" s="8"/>
      <c r="BJ1325" s="3"/>
      <c r="BK1325" s="47"/>
      <c r="BL1325" s="47"/>
      <c r="BM1325" s="46"/>
      <c r="BN1325" s="46"/>
      <c r="BO1325" s="24">
        <f>AL1325+AN1325+AP1325+AR1325+AT1325+AV1325+AX1325+AZ1325+BB1325+BD1325+BF1325+BH1325+BJ1325+BL1325+BN1325</f>
        <v>0</v>
      </c>
      <c r="BP1325" s="28">
        <f>AJ1325-BO1325</f>
        <v>65130.4345</v>
      </c>
      <c r="BQ1325" s="2">
        <v>45996</v>
      </c>
    </row>
    <row r="1326" spans="1:73">
      <c r="D1326" s="9" t="s">
        <v>11</v>
      </c>
      <c r="E1326" s="2">
        <v>45997</v>
      </c>
      <c r="F1326" s="38"/>
      <c r="G1326" s="126"/>
      <c r="H1326" s="4">
        <f>F649*50%</f>
        <v>1904.5</v>
      </c>
      <c r="I1326" s="120"/>
      <c r="J1326" s="4">
        <f>(G1326+H1326)-I1326</f>
        <v>1904.5</v>
      </c>
      <c r="K1326" s="4">
        <f>J1326+O1325</f>
        <v>690406.015</v>
      </c>
      <c r="L1326" s="3"/>
      <c r="M1326" s="3"/>
      <c r="N1326" s="33">
        <f>I1326+M1326</f>
        <v>0</v>
      </c>
      <c r="O1326" s="28">
        <f>K1326-M1326</f>
        <v>690406.015</v>
      </c>
      <c r="P1326" s="9" t="s">
        <v>11</v>
      </c>
      <c r="Q1326" s="2">
        <v>45997</v>
      </c>
      <c r="R1326" s="38"/>
      <c r="S1326" s="52"/>
      <c r="T1326" s="4">
        <f>R649*45%</f>
        <v>3064.05</v>
      </c>
      <c r="U1326" s="5"/>
      <c r="V1326" s="4">
        <f>(S1326+T1326)-U1326</f>
        <v>3064.05</v>
      </c>
      <c r="W1326" s="4">
        <f>V1326+AA1325</f>
        <v>651220.435</v>
      </c>
      <c r="X1326" s="3"/>
      <c r="Y1326" s="3"/>
      <c r="Z1326" s="25">
        <f>U1326+Y1326</f>
        <v>0</v>
      </c>
      <c r="AA1326" s="76">
        <f>W1326-Y1326</f>
        <v>651220.435</v>
      </c>
      <c r="AB1326" s="9" t="s">
        <v>11</v>
      </c>
      <c r="AC1326" s="19">
        <v>45997</v>
      </c>
      <c r="AD1326" s="41"/>
      <c r="AE1326" s="42"/>
      <c r="AF1326" s="4">
        <f>AD649-H1326-T1326</f>
        <v>5649.45</v>
      </c>
      <c r="AG1326" s="3"/>
      <c r="AH1326" s="8"/>
      <c r="AI1326" s="4">
        <f>(AE1326+AF1326)-AH1326</f>
        <v>5649.45</v>
      </c>
      <c r="AJ1326" s="4">
        <f>AI1326+BP1325</f>
        <v>70779.8845</v>
      </c>
      <c r="AK1326" s="8"/>
      <c r="AL1326" s="8"/>
      <c r="AM1326" s="47"/>
      <c r="AN1326" s="47"/>
      <c r="AO1326" s="8"/>
      <c r="AP1326" s="8"/>
      <c r="AQ1326" s="47"/>
      <c r="AR1326" s="47"/>
      <c r="AS1326" s="8"/>
      <c r="AT1326" s="8"/>
      <c r="AU1326" s="47"/>
      <c r="AV1326" s="47"/>
      <c r="AW1326" s="8"/>
      <c r="AX1326" s="8"/>
      <c r="AY1326" s="47"/>
      <c r="AZ1326" s="47"/>
      <c r="BA1326" s="8"/>
      <c r="BB1326" s="8"/>
      <c r="BC1326" s="47"/>
      <c r="BD1326" s="47"/>
      <c r="BE1326" s="8"/>
      <c r="BF1326" s="8"/>
      <c r="BG1326" s="47"/>
      <c r="BH1326" s="47"/>
      <c r="BI1326" s="8"/>
      <c r="BJ1326" s="3"/>
      <c r="BK1326" s="47"/>
      <c r="BL1326" s="47"/>
      <c r="BM1326" s="46"/>
      <c r="BN1326" s="46"/>
      <c r="BO1326" s="24">
        <f>AL1326+AN1326+AP1326+AR1326+AT1326+AV1326+AX1326+AZ1326+BB1326+BD1326+BF1326+BH1326+BJ1326+BL1326+BN1326</f>
        <v>0</v>
      </c>
      <c r="BP1326" s="28">
        <f>AJ1326-BO1326</f>
        <v>70779.8845</v>
      </c>
      <c r="BQ1326" s="2">
        <v>45997</v>
      </c>
    </row>
    <row r="1327" spans="1:73">
      <c r="D1327" s="9" t="s">
        <v>12</v>
      </c>
      <c r="E1327" s="2">
        <v>45998</v>
      </c>
      <c r="F1327" s="38"/>
      <c r="G1327" s="126"/>
      <c r="H1327" s="4">
        <f>F650*50%</f>
        <v>1905</v>
      </c>
      <c r="I1327" s="120"/>
      <c r="J1327" s="4">
        <f>(G1327+H1327)-I1327</f>
        <v>1905</v>
      </c>
      <c r="K1327" s="4">
        <f>J1327+O1326</f>
        <v>692311.015</v>
      </c>
      <c r="L1327" s="3"/>
      <c r="M1327" s="3"/>
      <c r="N1327" s="33">
        <f>I1327+M1327</f>
        <v>0</v>
      </c>
      <c r="O1327" s="28">
        <f>K1327-M1327</f>
        <v>692311.015</v>
      </c>
      <c r="P1327" s="9" t="s">
        <v>12</v>
      </c>
      <c r="Q1327" s="2">
        <v>45998</v>
      </c>
      <c r="R1327" s="38"/>
      <c r="S1327" s="52"/>
      <c r="T1327" s="4">
        <f>R650*45%</f>
        <v>3064.5</v>
      </c>
      <c r="U1327" s="5"/>
      <c r="V1327" s="4">
        <f>(S1327+T1327)-U1327</f>
        <v>3064.5</v>
      </c>
      <c r="W1327" s="4">
        <f>V1327+AA1326</f>
        <v>654284.935</v>
      </c>
      <c r="X1327" s="3"/>
      <c r="Y1327" s="3"/>
      <c r="Z1327" s="25">
        <f>U1327+Y1327</f>
        <v>0</v>
      </c>
      <c r="AA1327" s="76">
        <f>W1327-Y1327</f>
        <v>654284.935</v>
      </c>
      <c r="AB1327" s="9" t="s">
        <v>12</v>
      </c>
      <c r="AC1327" s="19">
        <v>45998</v>
      </c>
      <c r="AD1327" s="41"/>
      <c r="AE1327" s="42"/>
      <c r="AF1327" s="4">
        <f>AD650-H1327-T1327</f>
        <v>5650.5</v>
      </c>
      <c r="AG1327" s="3"/>
      <c r="AH1327" s="8"/>
      <c r="AI1327" s="4">
        <f>(AE1327+AF1327)-AH1327</f>
        <v>5650.5</v>
      </c>
      <c r="AJ1327" s="4">
        <f>AI1327+BP1326</f>
        <v>76430.3845</v>
      </c>
      <c r="AK1327" s="8"/>
      <c r="AL1327" s="8"/>
      <c r="AM1327" s="47"/>
      <c r="AN1327" s="47"/>
      <c r="AO1327" s="8"/>
      <c r="AP1327" s="8"/>
      <c r="AQ1327" s="47"/>
      <c r="AR1327" s="47"/>
      <c r="AS1327" s="8"/>
      <c r="AT1327" s="8"/>
      <c r="AU1327" s="47"/>
      <c r="AV1327" s="47"/>
      <c r="AW1327" s="8"/>
      <c r="AX1327" s="8"/>
      <c r="AY1327" s="47"/>
      <c r="AZ1327" s="47"/>
      <c r="BA1327" s="8"/>
      <c r="BB1327" s="8"/>
      <c r="BC1327" s="47"/>
      <c r="BD1327" s="47"/>
      <c r="BE1327" s="8"/>
      <c r="BF1327" s="8"/>
      <c r="BG1327" s="47"/>
      <c r="BH1327" s="47"/>
      <c r="BI1327" s="8"/>
      <c r="BJ1327" s="3"/>
      <c r="BK1327" s="47"/>
      <c r="BL1327" s="47"/>
      <c r="BM1327" s="46"/>
      <c r="BN1327" s="46"/>
      <c r="BO1327" s="24">
        <f>AL1327+AN1327+AP1327+AR1327+AT1327+AV1327+AX1327+AZ1327+BB1327+BD1327+BF1327+BH1327+BJ1327+BL1327+BN1327</f>
        <v>0</v>
      </c>
      <c r="BP1327" s="28">
        <f>AJ1327-BO1327</f>
        <v>76430.3845</v>
      </c>
      <c r="BQ1327" s="2">
        <v>45998</v>
      </c>
    </row>
    <row r="1328" spans="1:73">
      <c r="D1328" s="9" t="s">
        <v>13</v>
      </c>
      <c r="E1328" s="2">
        <v>45999</v>
      </c>
      <c r="F1328" s="38"/>
      <c r="G1328" s="126"/>
      <c r="H1328" s="4">
        <f>F651*50%</f>
        <v>1905.5</v>
      </c>
      <c r="I1328" s="120"/>
      <c r="J1328" s="4">
        <f>(G1328+H1328)-I1328</f>
        <v>1905.5</v>
      </c>
      <c r="K1328" s="4">
        <f>J1328+O1327</f>
        <v>694216.515</v>
      </c>
      <c r="L1328" s="3"/>
      <c r="M1328" s="3"/>
      <c r="N1328" s="33">
        <f>I1328+M1328</f>
        <v>0</v>
      </c>
      <c r="O1328" s="28">
        <f>K1328-M1328</f>
        <v>694216.515</v>
      </c>
      <c r="P1328" s="9" t="s">
        <v>13</v>
      </c>
      <c r="Q1328" s="2">
        <v>45999</v>
      </c>
      <c r="R1328" s="38"/>
      <c r="S1328" s="52"/>
      <c r="T1328" s="4">
        <f>R651*45%</f>
        <v>3064.95</v>
      </c>
      <c r="U1328" s="5"/>
      <c r="V1328" s="4">
        <f>(S1328+T1328)-U1328</f>
        <v>3064.95</v>
      </c>
      <c r="W1328" s="4">
        <f>V1328+AA1327</f>
        <v>657349.885</v>
      </c>
      <c r="X1328" s="3"/>
      <c r="Y1328" s="3"/>
      <c r="Z1328" s="25">
        <f>U1328+Y1328</f>
        <v>0</v>
      </c>
      <c r="AA1328" s="76">
        <f>W1328-Y1328</f>
        <v>657349.885</v>
      </c>
      <c r="AB1328" s="9" t="s">
        <v>13</v>
      </c>
      <c r="AC1328" s="19">
        <v>45999</v>
      </c>
      <c r="AD1328" s="41"/>
      <c r="AE1328" s="42"/>
      <c r="AF1328" s="4">
        <f>AD651-H1328-T1328</f>
        <v>5651.55</v>
      </c>
      <c r="AG1328" s="3"/>
      <c r="AH1328" s="8"/>
      <c r="AI1328" s="4">
        <f>(AE1328+AF1328)-AH1328</f>
        <v>5651.55</v>
      </c>
      <c r="AJ1328" s="4">
        <f>AI1328+BP1327</f>
        <v>82081.9345</v>
      </c>
      <c r="AK1328" s="8"/>
      <c r="AL1328" s="8"/>
      <c r="AM1328" s="47"/>
      <c r="AN1328" s="47"/>
      <c r="AO1328" s="8"/>
      <c r="AP1328" s="8"/>
      <c r="AQ1328" s="47"/>
      <c r="AR1328" s="47"/>
      <c r="AS1328" s="8"/>
      <c r="AT1328" s="8"/>
      <c r="AU1328" s="47"/>
      <c r="AV1328" s="47"/>
      <c r="AW1328" s="8"/>
      <c r="AX1328" s="8"/>
      <c r="AY1328" s="47"/>
      <c r="AZ1328" s="47"/>
      <c r="BA1328" s="8"/>
      <c r="BB1328" s="8"/>
      <c r="BC1328" s="47"/>
      <c r="BD1328" s="47"/>
      <c r="BE1328" s="8"/>
      <c r="BF1328" s="8"/>
      <c r="BG1328" s="47"/>
      <c r="BH1328" s="47"/>
      <c r="BI1328" s="8"/>
      <c r="BJ1328" s="3"/>
      <c r="BK1328" s="47"/>
      <c r="BL1328" s="47"/>
      <c r="BM1328" s="46"/>
      <c r="BN1328" s="46"/>
      <c r="BO1328" s="24">
        <f>AL1328+AN1328+AP1328+AR1328+AT1328+AV1328+AX1328+AZ1328+BB1328+BD1328+BF1328+BH1328+BJ1328+BL1328+BN1328</f>
        <v>0</v>
      </c>
      <c r="BP1328" s="28">
        <f>AJ1328-BO1328</f>
        <v>82081.9345</v>
      </c>
      <c r="BQ1328" s="2">
        <v>45999</v>
      </c>
    </row>
    <row r="1329" spans="1:73">
      <c r="D1329" s="9" t="s">
        <v>14</v>
      </c>
      <c r="E1329" s="2">
        <v>46000</v>
      </c>
      <c r="F1329" s="38"/>
      <c r="G1329" s="126"/>
      <c r="H1329" s="4">
        <f>F652*50%</f>
        <v>1906</v>
      </c>
      <c r="I1329" s="120"/>
      <c r="J1329" s="4">
        <f>(G1329+H1329)-I1329</f>
        <v>1906</v>
      </c>
      <c r="K1329" s="4">
        <f>J1329+O1328</f>
        <v>696122.515</v>
      </c>
      <c r="L1329" s="3"/>
      <c r="M1329" s="3"/>
      <c r="N1329" s="33">
        <f>I1329+M1329</f>
        <v>0</v>
      </c>
      <c r="O1329" s="28">
        <f>K1329-M1329</f>
        <v>696122.515</v>
      </c>
      <c r="P1329" s="9" t="s">
        <v>14</v>
      </c>
      <c r="Q1329" s="2">
        <v>46000</v>
      </c>
      <c r="R1329" s="38"/>
      <c r="S1329" s="52"/>
      <c r="T1329" s="4">
        <f>R652*45%</f>
        <v>3065.4</v>
      </c>
      <c r="U1329" s="5"/>
      <c r="V1329" s="4">
        <f>(S1329+T1329)-U1329</f>
        <v>3065.4</v>
      </c>
      <c r="W1329" s="4">
        <f>V1329+AA1328</f>
        <v>660415.285</v>
      </c>
      <c r="X1329" s="3"/>
      <c r="Y1329" s="3"/>
      <c r="Z1329" s="25">
        <f>U1329+Y1329</f>
        <v>0</v>
      </c>
      <c r="AA1329" s="76">
        <f>W1329-Y1329</f>
        <v>660415.285</v>
      </c>
      <c r="AB1329" s="9" t="s">
        <v>14</v>
      </c>
      <c r="AC1329" s="19">
        <v>46000</v>
      </c>
      <c r="AD1329" s="41"/>
      <c r="AE1329" s="42"/>
      <c r="AF1329" s="4">
        <f>AD652-H1329-T1329</f>
        <v>5652.6</v>
      </c>
      <c r="AG1329" s="3"/>
      <c r="AH1329" s="8"/>
      <c r="AI1329" s="4">
        <f>(AE1329+AF1329)-AH1329</f>
        <v>5652.6</v>
      </c>
      <c r="AJ1329" s="4">
        <f>AI1329+BP1328</f>
        <v>87734.5345</v>
      </c>
      <c r="AK1329" s="8"/>
      <c r="AL1329" s="8"/>
      <c r="AM1329" s="47"/>
      <c r="AN1329" s="47"/>
      <c r="AO1329" s="8"/>
      <c r="AP1329" s="8"/>
      <c r="AQ1329" s="47"/>
      <c r="AR1329" s="47"/>
      <c r="AS1329" s="8"/>
      <c r="AT1329" s="8"/>
      <c r="AU1329" s="47"/>
      <c r="AV1329" s="47"/>
      <c r="AW1329" s="8"/>
      <c r="AX1329" s="8"/>
      <c r="AY1329" s="47"/>
      <c r="AZ1329" s="47"/>
      <c r="BA1329" s="8"/>
      <c r="BB1329" s="8"/>
      <c r="BC1329" s="47"/>
      <c r="BD1329" s="47"/>
      <c r="BE1329" s="8"/>
      <c r="BF1329" s="8"/>
      <c r="BG1329" s="47"/>
      <c r="BH1329" s="47"/>
      <c r="BI1329" s="8"/>
      <c r="BJ1329" s="3"/>
      <c r="BK1329" s="47"/>
      <c r="BL1329" s="47"/>
      <c r="BM1329" s="46"/>
      <c r="BN1329" s="46"/>
      <c r="BO1329" s="24">
        <f>AL1329+AN1329+AP1329+AR1329+AT1329+AV1329+AX1329+AZ1329+BB1329+BD1329+BF1329+BH1329+BJ1329+BL1329+BN1329</f>
        <v>0</v>
      </c>
      <c r="BP1329" s="28">
        <f>AJ1329-BO1329</f>
        <v>87734.5345</v>
      </c>
      <c r="BQ1329" s="2">
        <v>46000</v>
      </c>
    </row>
    <row r="1330" spans="1:73">
      <c r="D1330" s="9" t="s">
        <v>15</v>
      </c>
      <c r="E1330" s="2">
        <v>46001</v>
      </c>
      <c r="F1330" s="38"/>
      <c r="G1330" s="126"/>
      <c r="H1330" s="4">
        <f>F653*50%</f>
        <v>1906.5</v>
      </c>
      <c r="I1330" s="120"/>
      <c r="J1330" s="4">
        <f>(G1330+H1330)-I1330</f>
        <v>1906.5</v>
      </c>
      <c r="K1330" s="4">
        <f>J1330+O1329</f>
        <v>698029.015</v>
      </c>
      <c r="L1330" s="3"/>
      <c r="M1330" s="3"/>
      <c r="N1330" s="33">
        <f>I1330+M1330</f>
        <v>0</v>
      </c>
      <c r="O1330" s="28">
        <f>K1330-M1330</f>
        <v>698029.015</v>
      </c>
      <c r="P1330" s="9" t="s">
        <v>15</v>
      </c>
      <c r="Q1330" s="2">
        <v>46001</v>
      </c>
      <c r="R1330" s="38"/>
      <c r="S1330" s="52"/>
      <c r="T1330" s="4">
        <f>R653*45%</f>
        <v>3065.85</v>
      </c>
      <c r="U1330" s="5"/>
      <c r="V1330" s="4">
        <f>(S1330+T1330)-U1330</f>
        <v>3065.85</v>
      </c>
      <c r="W1330" s="4">
        <f>V1330+AA1329</f>
        <v>663481.135</v>
      </c>
      <c r="X1330" s="3"/>
      <c r="Y1330" s="3"/>
      <c r="Z1330" s="25">
        <f>U1330+Y1330</f>
        <v>0</v>
      </c>
      <c r="AA1330" s="76">
        <f>W1330-Y1330</f>
        <v>663481.135</v>
      </c>
      <c r="AB1330" s="9" t="s">
        <v>15</v>
      </c>
      <c r="AC1330" s="19">
        <v>46001</v>
      </c>
      <c r="AD1330" s="41"/>
      <c r="AE1330" s="42"/>
      <c r="AF1330" s="4">
        <f>AD653-H1330-T1330</f>
        <v>5653.65</v>
      </c>
      <c r="AG1330" s="3"/>
      <c r="AH1330" s="8"/>
      <c r="AI1330" s="4">
        <f>(AE1330+AF1330)-AH1330</f>
        <v>5653.65</v>
      </c>
      <c r="AJ1330" s="4">
        <f>AI1330+BP1329</f>
        <v>93388.1845</v>
      </c>
      <c r="AK1330" s="8"/>
      <c r="AL1330" s="8"/>
      <c r="AM1330" s="47"/>
      <c r="AN1330" s="47"/>
      <c r="AO1330" s="8"/>
      <c r="AP1330" s="8"/>
      <c r="AQ1330" s="47"/>
      <c r="AR1330" s="47"/>
      <c r="AS1330" s="8"/>
      <c r="AT1330" s="8"/>
      <c r="AU1330" s="47"/>
      <c r="AV1330" s="47"/>
      <c r="AW1330" s="8"/>
      <c r="AX1330" s="8"/>
      <c r="AY1330" s="47"/>
      <c r="AZ1330" s="47"/>
      <c r="BA1330" s="8"/>
      <c r="BB1330" s="8"/>
      <c r="BC1330" s="47"/>
      <c r="BD1330" s="47"/>
      <c r="BE1330" s="8"/>
      <c r="BF1330" s="8"/>
      <c r="BG1330" s="47"/>
      <c r="BH1330" s="47"/>
      <c r="BI1330" s="8"/>
      <c r="BJ1330" s="3"/>
      <c r="BK1330" s="47"/>
      <c r="BL1330" s="47"/>
      <c r="BM1330" s="46"/>
      <c r="BN1330" s="46"/>
      <c r="BO1330" s="24">
        <f>AL1330+AN1330+AP1330+AR1330+AT1330+AV1330+AX1330+AZ1330+BB1330+BD1330+BF1330+BH1330+BJ1330+BL1330+BN1330</f>
        <v>0</v>
      </c>
      <c r="BP1330" s="28">
        <f>AJ1330-BO1330</f>
        <v>93388.1845</v>
      </c>
      <c r="BQ1330" s="2">
        <v>46001</v>
      </c>
    </row>
    <row r="1331" spans="1:73">
      <c r="D1331" s="9" t="s">
        <v>16</v>
      </c>
      <c r="E1331" s="2">
        <v>46002</v>
      </c>
      <c r="F1331" s="38"/>
      <c r="G1331" s="126"/>
      <c r="H1331" s="4">
        <f>F654*50%</f>
        <v>1907</v>
      </c>
      <c r="I1331" s="120"/>
      <c r="J1331" s="4">
        <f>(G1331+H1331)-I1331</f>
        <v>1907</v>
      </c>
      <c r="K1331" s="4">
        <f>J1331+O1330</f>
        <v>699936.015</v>
      </c>
      <c r="L1331" s="3"/>
      <c r="M1331" s="3"/>
      <c r="N1331" s="33">
        <f>I1331+M1331</f>
        <v>0</v>
      </c>
      <c r="O1331" s="28">
        <f>K1331-M1331</f>
        <v>699936.015</v>
      </c>
      <c r="P1331" s="9" t="s">
        <v>16</v>
      </c>
      <c r="Q1331" s="2">
        <v>46002</v>
      </c>
      <c r="R1331" s="38"/>
      <c r="S1331" s="52"/>
      <c r="T1331" s="4">
        <f>R654*45%</f>
        <v>3066.3</v>
      </c>
      <c r="U1331" s="5"/>
      <c r="V1331" s="4">
        <f>(S1331+T1331)-U1331</f>
        <v>3066.3</v>
      </c>
      <c r="W1331" s="4">
        <f>V1331+AA1330</f>
        <v>666547.435</v>
      </c>
      <c r="X1331" s="3"/>
      <c r="Y1331" s="3"/>
      <c r="Z1331" s="25">
        <f>U1331+Y1331</f>
        <v>0</v>
      </c>
      <c r="AA1331" s="76">
        <f>W1331-Y1331</f>
        <v>666547.435</v>
      </c>
      <c r="AB1331" s="9" t="s">
        <v>16</v>
      </c>
      <c r="AC1331" s="19">
        <v>46002</v>
      </c>
      <c r="AD1331" s="41"/>
      <c r="AE1331" s="42"/>
      <c r="AF1331" s="4">
        <f>AD654-H1331-T1331</f>
        <v>5654.7</v>
      </c>
      <c r="AG1331" s="3"/>
      <c r="AH1331" s="8"/>
      <c r="AI1331" s="4">
        <f>(AE1331+AF1331)-AH1331</f>
        <v>5654.7</v>
      </c>
      <c r="AJ1331" s="4">
        <f>AI1331+BP1330</f>
        <v>99042.8845</v>
      </c>
      <c r="AK1331" s="8"/>
      <c r="AL1331" s="8"/>
      <c r="AM1331" s="47"/>
      <c r="AN1331" s="47"/>
      <c r="AO1331" s="8"/>
      <c r="AP1331" s="8"/>
      <c r="AQ1331" s="47"/>
      <c r="AR1331" s="47"/>
      <c r="AS1331" s="8"/>
      <c r="AT1331" s="8"/>
      <c r="AU1331" s="47"/>
      <c r="AV1331" s="47"/>
      <c r="AW1331" s="8"/>
      <c r="AX1331" s="8"/>
      <c r="AY1331" s="47"/>
      <c r="AZ1331" s="47"/>
      <c r="BA1331" s="8"/>
      <c r="BB1331" s="8"/>
      <c r="BC1331" s="47"/>
      <c r="BD1331" s="47"/>
      <c r="BE1331" s="8"/>
      <c r="BF1331" s="8"/>
      <c r="BG1331" s="47"/>
      <c r="BH1331" s="47"/>
      <c r="BI1331" s="8"/>
      <c r="BJ1331" s="3"/>
      <c r="BK1331" s="47"/>
      <c r="BL1331" s="47"/>
      <c r="BM1331" s="46"/>
      <c r="BN1331" s="46"/>
      <c r="BO1331" s="24">
        <f>AL1331+AN1331+AP1331+AR1331+AT1331+AV1331+AX1331+AZ1331+BB1331+BD1331+BF1331+BH1331+BJ1331+BL1331+BN1331</f>
        <v>0</v>
      </c>
      <c r="BP1331" s="28">
        <f>AJ1331-BO1331</f>
        <v>99042.8845</v>
      </c>
      <c r="BQ1331" s="2">
        <v>46002</v>
      </c>
    </row>
    <row r="1332" spans="1:73">
      <c r="D1332" s="9" t="s">
        <v>10</v>
      </c>
      <c r="E1332" s="2">
        <v>46003</v>
      </c>
      <c r="F1332" s="38"/>
      <c r="G1332" s="126"/>
      <c r="H1332" s="4">
        <f>F655*50%</f>
        <v>1907.5</v>
      </c>
      <c r="I1332" s="120"/>
      <c r="J1332" s="4">
        <f>(G1332+H1332)-I1332</f>
        <v>1907.5</v>
      </c>
      <c r="K1332" s="4">
        <f>J1332+O1331</f>
        <v>701843.515</v>
      </c>
      <c r="L1332" s="3"/>
      <c r="M1332" s="3"/>
      <c r="N1332" s="33">
        <f>I1332+M1332</f>
        <v>0</v>
      </c>
      <c r="O1332" s="28">
        <f>K1332-M1332</f>
        <v>701843.515</v>
      </c>
      <c r="P1332" s="9" t="s">
        <v>10</v>
      </c>
      <c r="Q1332" s="2">
        <v>46003</v>
      </c>
      <c r="R1332" s="38"/>
      <c r="S1332" s="52"/>
      <c r="T1332" s="4">
        <f>R655*45%</f>
        <v>3066.75</v>
      </c>
      <c r="U1332" s="5"/>
      <c r="V1332" s="4">
        <f>(S1332+T1332)-U1332</f>
        <v>3066.75</v>
      </c>
      <c r="W1332" s="4">
        <f>V1332+AA1331</f>
        <v>669614.185</v>
      </c>
      <c r="X1332" s="3"/>
      <c r="Y1332" s="3"/>
      <c r="Z1332" s="25">
        <f>U1332+Y1332</f>
        <v>0</v>
      </c>
      <c r="AA1332" s="76">
        <f>W1332-Y1332</f>
        <v>669614.185</v>
      </c>
      <c r="AB1332" s="9" t="s">
        <v>10</v>
      </c>
      <c r="AC1332" s="19">
        <v>46003</v>
      </c>
      <c r="AD1332" s="41"/>
      <c r="AE1332" s="42"/>
      <c r="AF1332" s="4">
        <f>AD655-H1332-T1332</f>
        <v>5655.75</v>
      </c>
      <c r="AG1332" s="3"/>
      <c r="AH1332" s="8"/>
      <c r="AI1332" s="4">
        <f>(AE1332+AF1332)-AH1332</f>
        <v>5655.75</v>
      </c>
      <c r="AJ1332" s="4">
        <f>AI1332+BP1331</f>
        <v>104698.6345</v>
      </c>
      <c r="AK1332" s="8"/>
      <c r="AL1332" s="8"/>
      <c r="AM1332" s="47"/>
      <c r="AN1332" s="47"/>
      <c r="AO1332" s="8"/>
      <c r="AP1332" s="8"/>
      <c r="AQ1332" s="47"/>
      <c r="AR1332" s="47"/>
      <c r="AS1332" s="8"/>
      <c r="AT1332" s="8"/>
      <c r="AU1332" s="47"/>
      <c r="AV1332" s="47"/>
      <c r="AW1332" s="8"/>
      <c r="AX1332" s="8"/>
      <c r="AY1332" s="47"/>
      <c r="AZ1332" s="47"/>
      <c r="BA1332" s="8"/>
      <c r="BB1332" s="8"/>
      <c r="BC1332" s="47"/>
      <c r="BD1332" s="47"/>
      <c r="BE1332" s="8"/>
      <c r="BF1332" s="8"/>
      <c r="BG1332" s="47"/>
      <c r="BH1332" s="47"/>
      <c r="BI1332" s="8"/>
      <c r="BJ1332" s="3"/>
      <c r="BK1332" s="47"/>
      <c r="BL1332" s="47"/>
      <c r="BM1332" s="46"/>
      <c r="BN1332" s="46"/>
      <c r="BO1332" s="24">
        <f>AL1332+AN1332+AP1332+AR1332+AT1332+AV1332+AX1332+AZ1332+BB1332+BD1332+BF1332+BH1332+BJ1332+BL1332+BN1332</f>
        <v>0</v>
      </c>
      <c r="BP1332" s="28">
        <f>AJ1332-BO1332</f>
        <v>104698.6345</v>
      </c>
      <c r="BQ1332" s="2">
        <v>46003</v>
      </c>
    </row>
    <row r="1333" spans="1:73">
      <c r="D1333" s="9" t="s">
        <v>11</v>
      </c>
      <c r="E1333" s="2">
        <v>46004</v>
      </c>
      <c r="F1333" s="38"/>
      <c r="G1333" s="126"/>
      <c r="H1333" s="4">
        <f>F656*50%</f>
        <v>1908</v>
      </c>
      <c r="I1333" s="120"/>
      <c r="J1333" s="4">
        <f>(G1333+H1333)-I1333</f>
        <v>1908</v>
      </c>
      <c r="K1333" s="4">
        <f>J1333+O1332</f>
        <v>703751.515</v>
      </c>
      <c r="L1333" s="3"/>
      <c r="M1333" s="3"/>
      <c r="N1333" s="33">
        <f>I1333+M1333</f>
        <v>0</v>
      </c>
      <c r="O1333" s="28">
        <f>K1333-M1333</f>
        <v>703751.515</v>
      </c>
      <c r="P1333" s="9" t="s">
        <v>11</v>
      </c>
      <c r="Q1333" s="2">
        <v>46004</v>
      </c>
      <c r="R1333" s="38"/>
      <c r="S1333" s="52"/>
      <c r="T1333" s="4">
        <f>R656*45%</f>
        <v>3067.2</v>
      </c>
      <c r="U1333" s="5"/>
      <c r="V1333" s="4">
        <f>(S1333+T1333)-U1333</f>
        <v>3067.2</v>
      </c>
      <c r="W1333" s="4">
        <f>V1333+AA1332</f>
        <v>672681.385</v>
      </c>
      <c r="X1333" s="3"/>
      <c r="Y1333" s="3"/>
      <c r="Z1333" s="25">
        <f>U1333+Y1333</f>
        <v>0</v>
      </c>
      <c r="AA1333" s="76">
        <f>W1333-Y1333</f>
        <v>672681.385</v>
      </c>
      <c r="AB1333" s="9" t="s">
        <v>11</v>
      </c>
      <c r="AC1333" s="19">
        <v>46004</v>
      </c>
      <c r="AD1333" s="41"/>
      <c r="AE1333" s="42"/>
      <c r="AF1333" s="4">
        <f>AD656-H1333-T1333</f>
        <v>5656.8</v>
      </c>
      <c r="AG1333" s="3"/>
      <c r="AH1333" s="8"/>
      <c r="AI1333" s="4">
        <f>(AE1333+AF1333)-AH1333</f>
        <v>5656.8</v>
      </c>
      <c r="AJ1333" s="4">
        <f>AI1333+BP1332</f>
        <v>110355.4345</v>
      </c>
      <c r="AK1333" s="8"/>
      <c r="AL1333" s="8"/>
      <c r="AM1333" s="47"/>
      <c r="AN1333" s="47"/>
      <c r="AO1333" s="8"/>
      <c r="AP1333" s="8"/>
      <c r="AQ1333" s="47"/>
      <c r="AR1333" s="47"/>
      <c r="AS1333" s="8"/>
      <c r="AT1333" s="8"/>
      <c r="AU1333" s="47"/>
      <c r="AV1333" s="47"/>
      <c r="AW1333" s="8"/>
      <c r="AX1333" s="8"/>
      <c r="AY1333" s="47"/>
      <c r="AZ1333" s="47"/>
      <c r="BA1333" s="8"/>
      <c r="BB1333" s="8"/>
      <c r="BC1333" s="47"/>
      <c r="BD1333" s="47"/>
      <c r="BE1333" s="8"/>
      <c r="BF1333" s="8"/>
      <c r="BG1333" s="47"/>
      <c r="BH1333" s="47"/>
      <c r="BI1333" s="8"/>
      <c r="BJ1333" s="3"/>
      <c r="BK1333" s="47"/>
      <c r="BL1333" s="47"/>
      <c r="BM1333" s="46"/>
      <c r="BN1333" s="46"/>
      <c r="BO1333" s="24">
        <f>AL1333+AN1333+AP1333+AR1333+AT1333+AV1333+AX1333+AZ1333+BB1333+BD1333+BF1333+BH1333+BJ1333+BL1333+BN1333</f>
        <v>0</v>
      </c>
      <c r="BP1333" s="28">
        <f>AJ1333-BO1333</f>
        <v>110355.4345</v>
      </c>
      <c r="BQ1333" s="2">
        <v>46004</v>
      </c>
    </row>
    <row r="1334" spans="1:73">
      <c r="D1334" s="9" t="s">
        <v>12</v>
      </c>
      <c r="E1334" s="2">
        <v>46005</v>
      </c>
      <c r="F1334" s="38"/>
      <c r="G1334" s="126"/>
      <c r="H1334" s="4">
        <f>F657*50%</f>
        <v>1908.5</v>
      </c>
      <c r="I1334" s="120"/>
      <c r="J1334" s="4">
        <f>(G1334+H1334)-I1334</f>
        <v>1908.5</v>
      </c>
      <c r="K1334" s="4">
        <f>J1334+O1333</f>
        <v>705660.015</v>
      </c>
      <c r="L1334" s="3"/>
      <c r="M1334" s="3"/>
      <c r="N1334" s="33">
        <f>I1334+M1334</f>
        <v>0</v>
      </c>
      <c r="O1334" s="28">
        <f>K1334-M1334</f>
        <v>705660.015</v>
      </c>
      <c r="P1334" s="9" t="s">
        <v>12</v>
      </c>
      <c r="Q1334" s="2">
        <v>46005</v>
      </c>
      <c r="R1334" s="38"/>
      <c r="S1334" s="52"/>
      <c r="T1334" s="4">
        <f>R657*45%</f>
        <v>3067.65</v>
      </c>
      <c r="U1334" s="5"/>
      <c r="V1334" s="4">
        <f>(S1334+T1334)-U1334</f>
        <v>3067.65</v>
      </c>
      <c r="W1334" s="4">
        <f>V1334+AA1333</f>
        <v>675749.035</v>
      </c>
      <c r="X1334" s="3"/>
      <c r="Y1334" s="3"/>
      <c r="Z1334" s="25">
        <f>U1334+Y1334</f>
        <v>0</v>
      </c>
      <c r="AA1334" s="76">
        <f>W1334-Y1334</f>
        <v>675749.035</v>
      </c>
      <c r="AB1334" s="9" t="s">
        <v>12</v>
      </c>
      <c r="AC1334" s="19">
        <v>46005</v>
      </c>
      <c r="AD1334" s="41"/>
      <c r="AE1334" s="42"/>
      <c r="AF1334" s="4">
        <f>AD657-H1334-T1334</f>
        <v>5657.85</v>
      </c>
      <c r="AG1334" s="3"/>
      <c r="AH1334" s="8"/>
      <c r="AI1334" s="4">
        <f>(AE1334+AF1334)-AH1334</f>
        <v>5657.85</v>
      </c>
      <c r="AJ1334" s="4">
        <f>AI1334+BP1333</f>
        <v>116013.2845</v>
      </c>
      <c r="AK1334" s="8"/>
      <c r="AL1334" s="8"/>
      <c r="AM1334" s="47"/>
      <c r="AN1334" s="47"/>
      <c r="AO1334" s="8"/>
      <c r="AP1334" s="8"/>
      <c r="AQ1334" s="47"/>
      <c r="AR1334" s="47"/>
      <c r="AS1334" s="8"/>
      <c r="AT1334" s="8"/>
      <c r="AU1334" s="47"/>
      <c r="AV1334" s="47"/>
      <c r="AW1334" s="8"/>
      <c r="AX1334" s="8"/>
      <c r="AY1334" s="47"/>
      <c r="AZ1334" s="47"/>
      <c r="BA1334" s="8"/>
      <c r="BB1334" s="8"/>
      <c r="BC1334" s="47"/>
      <c r="BD1334" s="47"/>
      <c r="BE1334" s="8"/>
      <c r="BF1334" s="8"/>
      <c r="BG1334" s="47"/>
      <c r="BH1334" s="47"/>
      <c r="BI1334" s="8"/>
      <c r="BJ1334" s="3"/>
      <c r="BK1334" s="47"/>
      <c r="BL1334" s="47"/>
      <c r="BM1334" s="46"/>
      <c r="BN1334" s="46"/>
      <c r="BO1334" s="24">
        <f>AL1334+AN1334+AP1334+AR1334+AT1334+AV1334+AX1334+AZ1334+BB1334+BD1334+BF1334+BH1334+BJ1334+BL1334+BN1334</f>
        <v>0</v>
      </c>
      <c r="BP1334" s="28">
        <f>AJ1334-BO1334</f>
        <v>116013.2845</v>
      </c>
      <c r="BQ1334" s="2">
        <v>46005</v>
      </c>
    </row>
    <row r="1335" spans="1:73">
      <c r="D1335" s="9" t="s">
        <v>13</v>
      </c>
      <c r="E1335" s="2">
        <v>46006</v>
      </c>
      <c r="F1335" s="38"/>
      <c r="G1335" s="126"/>
      <c r="H1335" s="4">
        <f>F658*50%</f>
        <v>1909</v>
      </c>
      <c r="I1335" s="120"/>
      <c r="J1335" s="4">
        <f>(G1335+H1335)-I1335</f>
        <v>1909</v>
      </c>
      <c r="K1335" s="4">
        <f>J1335+O1334</f>
        <v>707569.015</v>
      </c>
      <c r="L1335" s="3"/>
      <c r="M1335" s="3"/>
      <c r="N1335" s="33">
        <f>I1335+M1335</f>
        <v>0</v>
      </c>
      <c r="O1335" s="28">
        <f>K1335-M1335</f>
        <v>707569.015</v>
      </c>
      <c r="P1335" s="9" t="s">
        <v>13</v>
      </c>
      <c r="Q1335" s="2">
        <v>46006</v>
      </c>
      <c r="R1335" s="38"/>
      <c r="S1335" s="52"/>
      <c r="T1335" s="4">
        <f>R658*45%</f>
        <v>3068.1</v>
      </c>
      <c r="U1335" s="5"/>
      <c r="V1335" s="4">
        <f>(S1335+T1335)-U1335</f>
        <v>3068.1</v>
      </c>
      <c r="W1335" s="4">
        <f>V1335+AA1334</f>
        <v>678817.135</v>
      </c>
      <c r="X1335" s="3"/>
      <c r="Y1335" s="3"/>
      <c r="Z1335" s="25">
        <f>U1335+Y1335</f>
        <v>0</v>
      </c>
      <c r="AA1335" s="76">
        <f>W1335-Y1335</f>
        <v>678817.135</v>
      </c>
      <c r="AB1335" s="9" t="s">
        <v>13</v>
      </c>
      <c r="AC1335" s="19">
        <v>46006</v>
      </c>
      <c r="AD1335" s="41"/>
      <c r="AE1335" s="42"/>
      <c r="AF1335" s="4">
        <f>AD658-H1335-T1335</f>
        <v>5658.9</v>
      </c>
      <c r="AG1335" s="3"/>
      <c r="AH1335" s="8"/>
      <c r="AI1335" s="4">
        <f>(AE1335+AF1335)-AH1335</f>
        <v>5658.9</v>
      </c>
      <c r="AJ1335" s="4">
        <f>AI1335+BP1334</f>
        <v>121672.1845</v>
      </c>
      <c r="AK1335" s="8"/>
      <c r="AL1335" s="8"/>
      <c r="AM1335" s="47"/>
      <c r="AN1335" s="47"/>
      <c r="AO1335" s="8"/>
      <c r="AP1335" s="8"/>
      <c r="AQ1335" s="47"/>
      <c r="AR1335" s="47"/>
      <c r="AS1335" s="8"/>
      <c r="AT1335" s="8"/>
      <c r="AU1335" s="47"/>
      <c r="AV1335" s="47"/>
      <c r="AW1335" s="8"/>
      <c r="AX1335" s="8"/>
      <c r="AY1335" s="47"/>
      <c r="AZ1335" s="47"/>
      <c r="BA1335" s="8"/>
      <c r="BB1335" s="8"/>
      <c r="BC1335" s="47"/>
      <c r="BD1335" s="47"/>
      <c r="BE1335" s="8"/>
      <c r="BF1335" s="8"/>
      <c r="BG1335" s="47"/>
      <c r="BH1335" s="47"/>
      <c r="BI1335" s="8"/>
      <c r="BJ1335" s="3"/>
      <c r="BK1335" s="47"/>
      <c r="BL1335" s="47"/>
      <c r="BM1335" s="46"/>
      <c r="BN1335" s="46"/>
      <c r="BO1335" s="24">
        <f>AL1335+AN1335+AP1335+AR1335+AT1335+AV1335+AX1335+AZ1335+BB1335+BD1335+BF1335+BH1335+BJ1335+BL1335+BN1335</f>
        <v>0</v>
      </c>
      <c r="BP1335" s="28">
        <f>AJ1335-BO1335</f>
        <v>121672.1845</v>
      </c>
      <c r="BQ1335" s="2">
        <v>46006</v>
      </c>
    </row>
    <row r="1336" spans="1:73">
      <c r="D1336" s="9" t="s">
        <v>14</v>
      </c>
      <c r="E1336" s="2">
        <v>46007</v>
      </c>
      <c r="F1336" s="38"/>
      <c r="G1336" s="126"/>
      <c r="H1336" s="4">
        <f>F659*50%</f>
        <v>1909.5</v>
      </c>
      <c r="I1336" s="120"/>
      <c r="J1336" s="4">
        <f>(G1336+H1336)-I1336</f>
        <v>1909.5</v>
      </c>
      <c r="K1336" s="4">
        <f>J1336+O1335</f>
        <v>709478.515</v>
      </c>
      <c r="L1336" s="3"/>
      <c r="M1336" s="3"/>
      <c r="N1336" s="33">
        <f>I1336+M1336</f>
        <v>0</v>
      </c>
      <c r="O1336" s="28">
        <f>K1336-M1336</f>
        <v>709478.515</v>
      </c>
      <c r="P1336" s="9" t="s">
        <v>14</v>
      </c>
      <c r="Q1336" s="2">
        <v>46007</v>
      </c>
      <c r="R1336" s="38"/>
      <c r="S1336" s="52"/>
      <c r="T1336" s="4">
        <f>R659*45%</f>
        <v>3068.55</v>
      </c>
      <c r="U1336" s="5"/>
      <c r="V1336" s="4">
        <f>(S1336+T1336)-U1336</f>
        <v>3068.55</v>
      </c>
      <c r="W1336" s="4">
        <f>V1336+AA1335</f>
        <v>681885.685</v>
      </c>
      <c r="X1336" s="3"/>
      <c r="Y1336" s="3"/>
      <c r="Z1336" s="25">
        <f>U1336+Y1336</f>
        <v>0</v>
      </c>
      <c r="AA1336" s="76">
        <f>W1336-Y1336</f>
        <v>681885.685</v>
      </c>
      <c r="AB1336" s="9" t="s">
        <v>14</v>
      </c>
      <c r="AC1336" s="19">
        <v>46007</v>
      </c>
      <c r="AD1336" s="41"/>
      <c r="AE1336" s="42"/>
      <c r="AF1336" s="4">
        <f>AD659-H1336-T1336</f>
        <v>5659.95</v>
      </c>
      <c r="AG1336" s="3"/>
      <c r="AH1336" s="8"/>
      <c r="AI1336" s="4">
        <f>(AE1336+AF1336)-AH1336</f>
        <v>5659.95</v>
      </c>
      <c r="AJ1336" s="4">
        <f>AI1336+BP1335</f>
        <v>127332.1345</v>
      </c>
      <c r="AK1336" s="8"/>
      <c r="AL1336" s="8"/>
      <c r="AM1336" s="47"/>
      <c r="AN1336" s="47"/>
      <c r="AO1336" s="8"/>
      <c r="AP1336" s="8"/>
      <c r="AQ1336" s="47"/>
      <c r="AR1336" s="47"/>
      <c r="AS1336" s="8"/>
      <c r="AT1336" s="8"/>
      <c r="AU1336" s="47"/>
      <c r="AV1336" s="47"/>
      <c r="AW1336" s="8"/>
      <c r="AX1336" s="8"/>
      <c r="AY1336" s="47"/>
      <c r="AZ1336" s="47"/>
      <c r="BA1336" s="8"/>
      <c r="BB1336" s="8"/>
      <c r="BC1336" s="47"/>
      <c r="BD1336" s="47"/>
      <c r="BE1336" s="8"/>
      <c r="BF1336" s="8"/>
      <c r="BG1336" s="47"/>
      <c r="BH1336" s="47"/>
      <c r="BI1336" s="8"/>
      <c r="BJ1336" s="3"/>
      <c r="BK1336" s="47"/>
      <c r="BL1336" s="47"/>
      <c r="BM1336" s="46"/>
      <c r="BN1336" s="46"/>
      <c r="BO1336" s="24">
        <f>AL1336+AN1336+AP1336+AR1336+AT1336+AV1336+AX1336+AZ1336+BB1336+BD1336+BF1336+BH1336+BJ1336+BL1336+BN1336</f>
        <v>0</v>
      </c>
      <c r="BP1336" s="28">
        <f>AJ1336-BO1336</f>
        <v>127332.1345</v>
      </c>
      <c r="BQ1336" s="2">
        <v>46007</v>
      </c>
    </row>
    <row r="1337" spans="1:73">
      <c r="D1337" s="9" t="s">
        <v>15</v>
      </c>
      <c r="E1337" s="2">
        <v>46008</v>
      </c>
      <c r="F1337" s="38"/>
      <c r="G1337" s="126"/>
      <c r="H1337" s="4">
        <f>F660*50%</f>
        <v>1910</v>
      </c>
      <c r="I1337" s="120"/>
      <c r="J1337" s="4">
        <f>(G1337+H1337)-I1337</f>
        <v>1910</v>
      </c>
      <c r="K1337" s="4">
        <f>J1337+O1336</f>
        <v>711388.515</v>
      </c>
      <c r="L1337" s="3"/>
      <c r="M1337" s="3"/>
      <c r="N1337" s="33">
        <f>I1337+M1337</f>
        <v>0</v>
      </c>
      <c r="O1337" s="28">
        <f>K1337-M1337</f>
        <v>711388.515</v>
      </c>
      <c r="P1337" s="9" t="s">
        <v>15</v>
      </c>
      <c r="Q1337" s="2">
        <v>46008</v>
      </c>
      <c r="R1337" s="38"/>
      <c r="S1337" s="52"/>
      <c r="T1337" s="4">
        <f>R660*45%</f>
        <v>3069</v>
      </c>
      <c r="U1337" s="5"/>
      <c r="V1337" s="4">
        <f>(S1337+T1337)-U1337</f>
        <v>3069</v>
      </c>
      <c r="W1337" s="4">
        <f>V1337+AA1336</f>
        <v>684954.685</v>
      </c>
      <c r="X1337" s="3"/>
      <c r="Y1337" s="3"/>
      <c r="Z1337" s="25">
        <f>U1337+Y1337</f>
        <v>0</v>
      </c>
      <c r="AA1337" s="76">
        <f>W1337-Y1337</f>
        <v>684954.685</v>
      </c>
      <c r="AB1337" s="9" t="s">
        <v>15</v>
      </c>
      <c r="AC1337" s="19">
        <v>46008</v>
      </c>
      <c r="AD1337" s="41"/>
      <c r="AE1337" s="42"/>
      <c r="AF1337" s="4">
        <f>AD660-H1337-T1337</f>
        <v>5661</v>
      </c>
      <c r="AG1337" s="3"/>
      <c r="AH1337" s="8"/>
      <c r="AI1337" s="4">
        <f>(AE1337+AF1337)-AH1337</f>
        <v>5661</v>
      </c>
      <c r="AJ1337" s="4">
        <f>AI1337+BP1336</f>
        <v>132993.1345</v>
      </c>
      <c r="AK1337" s="8"/>
      <c r="AL1337" s="8"/>
      <c r="AM1337" s="47"/>
      <c r="AN1337" s="47"/>
      <c r="AO1337" s="8"/>
      <c r="AP1337" s="8"/>
      <c r="AQ1337" s="47"/>
      <c r="AR1337" s="47"/>
      <c r="AS1337" s="8"/>
      <c r="AT1337" s="8"/>
      <c r="AU1337" s="47"/>
      <c r="AV1337" s="47"/>
      <c r="AW1337" s="8"/>
      <c r="AX1337" s="8"/>
      <c r="AY1337" s="47"/>
      <c r="AZ1337" s="47"/>
      <c r="BA1337" s="8"/>
      <c r="BB1337" s="8"/>
      <c r="BC1337" s="47"/>
      <c r="BD1337" s="47"/>
      <c r="BE1337" s="8"/>
      <c r="BF1337" s="8"/>
      <c r="BG1337" s="47"/>
      <c r="BH1337" s="47"/>
      <c r="BI1337" s="8"/>
      <c r="BJ1337" s="3"/>
      <c r="BK1337" s="47"/>
      <c r="BL1337" s="47"/>
      <c r="BM1337" s="46"/>
      <c r="BN1337" s="46"/>
      <c r="BO1337" s="24">
        <f>AL1337+AN1337+AP1337+AR1337+AT1337+AV1337+AX1337+AZ1337+BB1337+BD1337+BF1337+BH1337+BJ1337+BL1337+BN1337</f>
        <v>0</v>
      </c>
      <c r="BP1337" s="28">
        <f>AJ1337-BO1337</f>
        <v>132993.1345</v>
      </c>
      <c r="BQ1337" s="2">
        <v>46008</v>
      </c>
    </row>
    <row r="1338" spans="1:73">
      <c r="D1338" s="9" t="s">
        <v>16</v>
      </c>
      <c r="E1338" s="2">
        <v>46009</v>
      </c>
      <c r="F1338" s="38"/>
      <c r="G1338" s="126"/>
      <c r="H1338" s="4">
        <f>F661*50%</f>
        <v>1910.5</v>
      </c>
      <c r="I1338" s="120"/>
      <c r="J1338" s="4">
        <f>(G1338+H1338)-I1338</f>
        <v>1910.5</v>
      </c>
      <c r="K1338" s="4">
        <f>J1338+O1337</f>
        <v>713299.015</v>
      </c>
      <c r="L1338" s="3"/>
      <c r="M1338" s="3"/>
      <c r="N1338" s="33">
        <f>I1338+M1338</f>
        <v>0</v>
      </c>
      <c r="O1338" s="28">
        <f>K1338-M1338</f>
        <v>713299.015</v>
      </c>
      <c r="P1338" s="9" t="s">
        <v>16</v>
      </c>
      <c r="Q1338" s="2">
        <v>46009</v>
      </c>
      <c r="R1338" s="38"/>
      <c r="S1338" s="52"/>
      <c r="T1338" s="4">
        <f>R661*45%</f>
        <v>3069.45</v>
      </c>
      <c r="U1338" s="5"/>
      <c r="V1338" s="4">
        <f>(S1338+T1338)-U1338</f>
        <v>3069.45</v>
      </c>
      <c r="W1338" s="4">
        <f>V1338+AA1337</f>
        <v>688024.135</v>
      </c>
      <c r="X1338" s="3"/>
      <c r="Y1338" s="3"/>
      <c r="Z1338" s="25">
        <f>U1338+Y1338</f>
        <v>0</v>
      </c>
      <c r="AA1338" s="76">
        <f>W1338-Y1338</f>
        <v>688024.135</v>
      </c>
      <c r="AB1338" s="9" t="s">
        <v>16</v>
      </c>
      <c r="AC1338" s="19">
        <v>46009</v>
      </c>
      <c r="AD1338" s="41"/>
      <c r="AE1338" s="42"/>
      <c r="AF1338" s="4">
        <f>AD661-H1338-T1338</f>
        <v>5662.05</v>
      </c>
      <c r="AG1338" s="3"/>
      <c r="AH1338" s="8"/>
      <c r="AI1338" s="4">
        <f>(AE1338+AF1338)-AH1338</f>
        <v>5662.05</v>
      </c>
      <c r="AJ1338" s="4">
        <f>AI1338+BP1337</f>
        <v>138655.1845</v>
      </c>
      <c r="AK1338" s="8"/>
      <c r="AL1338" s="8"/>
      <c r="AM1338" s="47"/>
      <c r="AN1338" s="47"/>
      <c r="AO1338" s="8"/>
      <c r="AP1338" s="8"/>
      <c r="AQ1338" s="47"/>
      <c r="AR1338" s="47"/>
      <c r="AS1338" s="8"/>
      <c r="AT1338" s="8"/>
      <c r="AU1338" s="47"/>
      <c r="AV1338" s="47"/>
      <c r="AW1338" s="8"/>
      <c r="AX1338" s="8"/>
      <c r="AY1338" s="47"/>
      <c r="AZ1338" s="47"/>
      <c r="BA1338" s="8"/>
      <c r="BB1338" s="8"/>
      <c r="BC1338" s="47"/>
      <c r="BD1338" s="47"/>
      <c r="BE1338" s="8"/>
      <c r="BF1338" s="8"/>
      <c r="BG1338" s="47"/>
      <c r="BH1338" s="47"/>
      <c r="BI1338" s="8"/>
      <c r="BJ1338" s="3"/>
      <c r="BK1338" s="47"/>
      <c r="BL1338" s="47"/>
      <c r="BM1338" s="46"/>
      <c r="BN1338" s="46"/>
      <c r="BO1338" s="24">
        <f>AL1338+AN1338+AP1338+AR1338+AT1338+AV1338+AX1338+AZ1338+BB1338+BD1338+BF1338+BH1338+BJ1338+BL1338+BN1338</f>
        <v>0</v>
      </c>
      <c r="BP1338" s="28">
        <f>AJ1338-BO1338</f>
        <v>138655.1845</v>
      </c>
      <c r="BQ1338" s="2">
        <v>46009</v>
      </c>
    </row>
    <row r="1339" spans="1:73">
      <c r="D1339" s="9" t="s">
        <v>10</v>
      </c>
      <c r="E1339" s="2">
        <v>46010</v>
      </c>
      <c r="F1339" s="38"/>
      <c r="G1339" s="126"/>
      <c r="H1339" s="4">
        <f>F662*50%</f>
        <v>1911</v>
      </c>
      <c r="I1339" s="120"/>
      <c r="J1339" s="4">
        <f>(G1339+H1339)-I1339</f>
        <v>1911</v>
      </c>
      <c r="K1339" s="4">
        <f>J1339+O1338</f>
        <v>715210.015</v>
      </c>
      <c r="L1339" s="3"/>
      <c r="M1339" s="3"/>
      <c r="N1339" s="33">
        <f>I1339+M1339</f>
        <v>0</v>
      </c>
      <c r="O1339" s="28">
        <f>K1339-M1339</f>
        <v>715210.015</v>
      </c>
      <c r="P1339" s="9" t="s">
        <v>10</v>
      </c>
      <c r="Q1339" s="2">
        <v>46010</v>
      </c>
      <c r="R1339" s="38"/>
      <c r="S1339" s="52"/>
      <c r="T1339" s="4">
        <f>R662*45%</f>
        <v>3069.9</v>
      </c>
      <c r="U1339" s="5"/>
      <c r="V1339" s="4">
        <f>(S1339+T1339)-U1339</f>
        <v>3069.9</v>
      </c>
      <c r="W1339" s="4">
        <f>V1339+AA1338</f>
        <v>691094.035</v>
      </c>
      <c r="X1339" s="3"/>
      <c r="Y1339" s="3"/>
      <c r="Z1339" s="25">
        <f>U1339+Y1339</f>
        <v>0</v>
      </c>
      <c r="AA1339" s="76">
        <f>W1339-Y1339</f>
        <v>691094.035</v>
      </c>
      <c r="AB1339" s="9" t="s">
        <v>10</v>
      </c>
      <c r="AC1339" s="19">
        <v>46010</v>
      </c>
      <c r="AD1339" s="41"/>
      <c r="AE1339" s="42"/>
      <c r="AF1339" s="4">
        <f>AD662-H1339-T1339</f>
        <v>5663.1</v>
      </c>
      <c r="AG1339" s="3"/>
      <c r="AH1339" s="8"/>
      <c r="AI1339" s="4">
        <f>(AE1339+AF1339)-AH1339</f>
        <v>5663.1</v>
      </c>
      <c r="AJ1339" s="4">
        <f>AI1339+BP1338</f>
        <v>144318.2845</v>
      </c>
      <c r="AK1339" s="8"/>
      <c r="AL1339" s="8"/>
      <c r="AM1339" s="47"/>
      <c r="AN1339" s="47"/>
      <c r="AO1339" s="8"/>
      <c r="AP1339" s="8"/>
      <c r="AQ1339" s="47"/>
      <c r="AR1339" s="47"/>
      <c r="AS1339" s="8"/>
      <c r="AT1339" s="8"/>
      <c r="AU1339" s="47"/>
      <c r="AV1339" s="47"/>
      <c r="AW1339" s="8"/>
      <c r="AX1339" s="8"/>
      <c r="AY1339" s="47"/>
      <c r="AZ1339" s="47"/>
      <c r="BA1339" s="8"/>
      <c r="BB1339" s="8"/>
      <c r="BC1339" s="47"/>
      <c r="BD1339" s="47"/>
      <c r="BE1339" s="8"/>
      <c r="BF1339" s="8"/>
      <c r="BG1339" s="47"/>
      <c r="BH1339" s="47"/>
      <c r="BI1339" s="8"/>
      <c r="BJ1339" s="3"/>
      <c r="BK1339" s="47"/>
      <c r="BL1339" s="47"/>
      <c r="BM1339" s="46"/>
      <c r="BN1339" s="46"/>
      <c r="BO1339" s="24">
        <f>AL1339+AN1339+AP1339+AR1339+AT1339+AV1339+AX1339+AZ1339+BB1339+BD1339+BF1339+BH1339+BJ1339+BL1339+BN1339</f>
        <v>0</v>
      </c>
      <c r="BP1339" s="28">
        <f>AJ1339-BO1339</f>
        <v>144318.2845</v>
      </c>
      <c r="BQ1339" s="2">
        <v>46010</v>
      </c>
    </row>
    <row r="1340" spans="1:73">
      <c r="D1340" s="9" t="s">
        <v>11</v>
      </c>
      <c r="E1340" s="2">
        <v>46011</v>
      </c>
      <c r="F1340" s="38"/>
      <c r="G1340" s="126"/>
      <c r="H1340" s="4">
        <f>F663*50%</f>
        <v>1911.5</v>
      </c>
      <c r="I1340" s="120"/>
      <c r="J1340" s="4">
        <f>(G1340+H1340)-I1340</f>
        <v>1911.5</v>
      </c>
      <c r="K1340" s="4">
        <f>J1340+O1339</f>
        <v>717121.515</v>
      </c>
      <c r="L1340" s="3"/>
      <c r="M1340" s="3"/>
      <c r="N1340" s="33">
        <f>I1340+M1340</f>
        <v>0</v>
      </c>
      <c r="O1340" s="28">
        <f>K1340-M1340</f>
        <v>717121.515</v>
      </c>
      <c r="P1340" s="9" t="s">
        <v>11</v>
      </c>
      <c r="Q1340" s="2">
        <v>46011</v>
      </c>
      <c r="R1340" s="38"/>
      <c r="S1340" s="52"/>
      <c r="T1340" s="4">
        <f>R663*45%</f>
        <v>3070.35</v>
      </c>
      <c r="U1340" s="5"/>
      <c r="V1340" s="4">
        <f>(S1340+T1340)-U1340</f>
        <v>3070.35</v>
      </c>
      <c r="W1340" s="4">
        <f>V1340+AA1339</f>
        <v>694164.385</v>
      </c>
      <c r="X1340" s="3"/>
      <c r="Y1340" s="3"/>
      <c r="Z1340" s="25">
        <f>U1340+Y1340</f>
        <v>0</v>
      </c>
      <c r="AA1340" s="76">
        <f>W1340-Y1340</f>
        <v>694164.385</v>
      </c>
      <c r="AB1340" s="9" t="s">
        <v>11</v>
      </c>
      <c r="AC1340" s="19">
        <v>46011</v>
      </c>
      <c r="AD1340" s="41"/>
      <c r="AE1340" s="42"/>
      <c r="AF1340" s="4">
        <f>AD663-H1340-T1340</f>
        <v>5664.15</v>
      </c>
      <c r="AG1340" s="3"/>
      <c r="AH1340" s="8"/>
      <c r="AI1340" s="4">
        <f>(AE1340+AF1340)-AH1340</f>
        <v>5664.15</v>
      </c>
      <c r="AJ1340" s="4">
        <f>AI1340+BP1339</f>
        <v>149982.4345</v>
      </c>
      <c r="AK1340" s="8"/>
      <c r="AL1340" s="8"/>
      <c r="AM1340" s="47"/>
      <c r="AN1340" s="47"/>
      <c r="AO1340" s="8"/>
      <c r="AP1340" s="8"/>
      <c r="AQ1340" s="47"/>
      <c r="AR1340" s="47"/>
      <c r="AS1340" s="8"/>
      <c r="AT1340" s="8"/>
      <c r="AU1340" s="47"/>
      <c r="AV1340" s="47"/>
      <c r="AW1340" s="8"/>
      <c r="AX1340" s="8"/>
      <c r="AY1340" s="47"/>
      <c r="AZ1340" s="47"/>
      <c r="BA1340" s="8"/>
      <c r="BB1340" s="8"/>
      <c r="BC1340" s="47"/>
      <c r="BD1340" s="47"/>
      <c r="BE1340" s="8"/>
      <c r="BF1340" s="8"/>
      <c r="BG1340" s="47"/>
      <c r="BH1340" s="47"/>
      <c r="BI1340" s="8"/>
      <c r="BJ1340" s="3"/>
      <c r="BK1340" s="47"/>
      <c r="BL1340" s="47"/>
      <c r="BM1340" s="46"/>
      <c r="BN1340" s="46"/>
      <c r="BO1340" s="24">
        <f>AL1340+AN1340+AP1340+AR1340+AT1340+AV1340+AX1340+AZ1340+BB1340+BD1340+BF1340+BH1340+BJ1340+BL1340+BN1340</f>
        <v>0</v>
      </c>
      <c r="BP1340" s="28">
        <f>AJ1340-BO1340</f>
        <v>149982.4345</v>
      </c>
      <c r="BQ1340" s="2">
        <v>46011</v>
      </c>
    </row>
    <row r="1341" spans="1:73">
      <c r="D1341" s="9" t="s">
        <v>12</v>
      </c>
      <c r="E1341" s="2">
        <v>46012</v>
      </c>
      <c r="F1341" s="38"/>
      <c r="G1341" s="126"/>
      <c r="H1341" s="4">
        <f>F664*50%</f>
        <v>1912</v>
      </c>
      <c r="I1341" s="120"/>
      <c r="J1341" s="4">
        <f>(G1341+H1341)-I1341</f>
        <v>1912</v>
      </c>
      <c r="K1341" s="4">
        <f>J1341+O1340</f>
        <v>719033.515</v>
      </c>
      <c r="L1341" s="3"/>
      <c r="M1341" s="3"/>
      <c r="N1341" s="33">
        <f>I1341+M1341</f>
        <v>0</v>
      </c>
      <c r="O1341" s="28">
        <f>K1341-M1341</f>
        <v>719033.515</v>
      </c>
      <c r="P1341" s="9" t="s">
        <v>12</v>
      </c>
      <c r="Q1341" s="2">
        <v>46012</v>
      </c>
      <c r="R1341" s="38"/>
      <c r="S1341" s="52"/>
      <c r="T1341" s="4">
        <f>R664*45%</f>
        <v>3070.8</v>
      </c>
      <c r="U1341" s="5"/>
      <c r="V1341" s="4">
        <f>(S1341+T1341)-U1341</f>
        <v>3070.8</v>
      </c>
      <c r="W1341" s="4">
        <f>V1341+AA1340</f>
        <v>697235.185</v>
      </c>
      <c r="X1341" s="3"/>
      <c r="Y1341" s="3"/>
      <c r="Z1341" s="25">
        <f>U1341+Y1341</f>
        <v>0</v>
      </c>
      <c r="AA1341" s="76">
        <f>W1341-Y1341</f>
        <v>697235.185</v>
      </c>
      <c r="AB1341" s="9" t="s">
        <v>12</v>
      </c>
      <c r="AC1341" s="19">
        <v>46012</v>
      </c>
      <c r="AD1341" s="41"/>
      <c r="AE1341" s="42"/>
      <c r="AF1341" s="4">
        <f>AD664-H1341-T1341</f>
        <v>5665.2</v>
      </c>
      <c r="AG1341" s="3"/>
      <c r="AH1341" s="8"/>
      <c r="AI1341" s="4">
        <f>(AE1341+AF1341)-AH1341</f>
        <v>5665.2</v>
      </c>
      <c r="AJ1341" s="4">
        <f>AI1341+BP1340</f>
        <v>155647.6345</v>
      </c>
      <c r="AK1341" s="8"/>
      <c r="AL1341" s="8"/>
      <c r="AM1341" s="47"/>
      <c r="AN1341" s="47"/>
      <c r="AO1341" s="8"/>
      <c r="AP1341" s="8"/>
      <c r="AQ1341" s="47"/>
      <c r="AR1341" s="47"/>
      <c r="AS1341" s="8"/>
      <c r="AT1341" s="8"/>
      <c r="AU1341" s="47"/>
      <c r="AV1341" s="47"/>
      <c r="AW1341" s="8"/>
      <c r="AX1341" s="8"/>
      <c r="AY1341" s="47"/>
      <c r="AZ1341" s="47"/>
      <c r="BA1341" s="8"/>
      <c r="BB1341" s="8"/>
      <c r="BC1341" s="47"/>
      <c r="BD1341" s="47"/>
      <c r="BE1341" s="8"/>
      <c r="BF1341" s="8"/>
      <c r="BG1341" s="47"/>
      <c r="BH1341" s="47"/>
      <c r="BI1341" s="8"/>
      <c r="BJ1341" s="3"/>
      <c r="BK1341" s="47"/>
      <c r="BL1341" s="47"/>
      <c r="BM1341" s="46"/>
      <c r="BN1341" s="46"/>
      <c r="BO1341" s="24">
        <f>AL1341+AN1341+AP1341+AR1341+AT1341+AV1341+AX1341+AZ1341+BB1341+BD1341+BF1341+BH1341+BJ1341+BL1341+BN1341</f>
        <v>0</v>
      </c>
      <c r="BP1341" s="28">
        <f>AJ1341-BO1341</f>
        <v>155647.6345</v>
      </c>
      <c r="BQ1341" s="2">
        <v>46012</v>
      </c>
    </row>
    <row r="1342" spans="1:73">
      <c r="D1342" s="9" t="s">
        <v>13</v>
      </c>
      <c r="E1342" s="2">
        <v>46013</v>
      </c>
      <c r="F1342" s="38"/>
      <c r="G1342" s="126"/>
      <c r="H1342" s="4">
        <f>F665*50%</f>
        <v>1912.5</v>
      </c>
      <c r="I1342" s="120"/>
      <c r="J1342" s="4">
        <f>(G1342+H1342)-I1342</f>
        <v>1912.5</v>
      </c>
      <c r="K1342" s="4">
        <f>J1342+O1341</f>
        <v>720946.015</v>
      </c>
      <c r="L1342" s="3"/>
      <c r="M1342" s="3"/>
      <c r="N1342" s="33">
        <f>I1342+M1342</f>
        <v>0</v>
      </c>
      <c r="O1342" s="28">
        <f>K1342-M1342</f>
        <v>720946.015</v>
      </c>
      <c r="P1342" s="9" t="s">
        <v>13</v>
      </c>
      <c r="Q1342" s="2">
        <v>46013</v>
      </c>
      <c r="R1342" s="38"/>
      <c r="S1342" s="52"/>
      <c r="T1342" s="4">
        <f>R665*45%</f>
        <v>3071.25</v>
      </c>
      <c r="U1342" s="5"/>
      <c r="V1342" s="4">
        <f>(S1342+T1342)-U1342</f>
        <v>3071.25</v>
      </c>
      <c r="W1342" s="4">
        <f>V1342+AA1341</f>
        <v>700306.435</v>
      </c>
      <c r="X1342" s="3"/>
      <c r="Y1342" s="3"/>
      <c r="Z1342" s="25">
        <f>U1342+Y1342</f>
        <v>0</v>
      </c>
      <c r="AA1342" s="76">
        <f>W1342-Y1342</f>
        <v>700306.435</v>
      </c>
      <c r="AB1342" s="9" t="s">
        <v>13</v>
      </c>
      <c r="AC1342" s="19">
        <v>46013</v>
      </c>
      <c r="AD1342" s="41"/>
      <c r="AE1342" s="42"/>
      <c r="AF1342" s="4">
        <f>AD665-H1342-T1342</f>
        <v>5666.25</v>
      </c>
      <c r="AG1342" s="3"/>
      <c r="AH1342" s="8"/>
      <c r="AI1342" s="4">
        <f>(AE1342+AF1342)-AH1342</f>
        <v>5666.25</v>
      </c>
      <c r="AJ1342" s="4">
        <f>AI1342+BP1341</f>
        <v>161313.8845</v>
      </c>
      <c r="AK1342" s="8"/>
      <c r="AL1342" s="8"/>
      <c r="AM1342" s="47"/>
      <c r="AN1342" s="47"/>
      <c r="AO1342" s="8"/>
      <c r="AP1342" s="8"/>
      <c r="AQ1342" s="47"/>
      <c r="AR1342" s="47"/>
      <c r="AS1342" s="8"/>
      <c r="AT1342" s="8"/>
      <c r="AU1342" s="47"/>
      <c r="AV1342" s="47"/>
      <c r="AW1342" s="8"/>
      <c r="AX1342" s="8"/>
      <c r="AY1342" s="47"/>
      <c r="AZ1342" s="47"/>
      <c r="BA1342" s="8"/>
      <c r="BB1342" s="8"/>
      <c r="BC1342" s="47"/>
      <c r="BD1342" s="47"/>
      <c r="BE1342" s="8"/>
      <c r="BF1342" s="8"/>
      <c r="BG1342" s="47"/>
      <c r="BH1342" s="47"/>
      <c r="BI1342" s="8"/>
      <c r="BJ1342" s="3"/>
      <c r="BK1342" s="47"/>
      <c r="BL1342" s="47"/>
      <c r="BM1342" s="46"/>
      <c r="BN1342" s="46"/>
      <c r="BO1342" s="24">
        <f>AL1342+AN1342+AP1342+AR1342+AT1342+AV1342+AX1342+AZ1342+BB1342+BD1342+BF1342+BH1342+BJ1342+BL1342+BN1342</f>
        <v>0</v>
      </c>
      <c r="BP1342" s="28">
        <f>AJ1342-BO1342</f>
        <v>161313.8845</v>
      </c>
      <c r="BQ1342" s="2">
        <v>46013</v>
      </c>
    </row>
    <row r="1343" spans="1:73">
      <c r="D1343" s="9" t="s">
        <v>14</v>
      </c>
      <c r="E1343" s="2">
        <v>46014</v>
      </c>
      <c r="F1343" s="38"/>
      <c r="G1343" s="126"/>
      <c r="H1343" s="4">
        <f>F666*50%</f>
        <v>1913</v>
      </c>
      <c r="I1343" s="120"/>
      <c r="J1343" s="4">
        <f>(G1343+H1343)-I1343</f>
        <v>1913</v>
      </c>
      <c r="K1343" s="4">
        <f>J1343+O1342</f>
        <v>722859.015</v>
      </c>
      <c r="L1343" s="3"/>
      <c r="M1343" s="3"/>
      <c r="N1343" s="33">
        <f>I1343+M1343</f>
        <v>0</v>
      </c>
      <c r="O1343" s="28">
        <f>K1343-M1343</f>
        <v>722859.015</v>
      </c>
      <c r="P1343" s="9" t="s">
        <v>14</v>
      </c>
      <c r="Q1343" s="2">
        <v>46014</v>
      </c>
      <c r="R1343" s="38"/>
      <c r="S1343" s="52"/>
      <c r="T1343" s="4">
        <f>R666*45%</f>
        <v>3071.7</v>
      </c>
      <c r="U1343" s="5"/>
      <c r="V1343" s="4">
        <f>(S1343+T1343)-U1343</f>
        <v>3071.7</v>
      </c>
      <c r="W1343" s="4">
        <f>V1343+AA1342</f>
        <v>703378.135</v>
      </c>
      <c r="X1343" s="3"/>
      <c r="Y1343" s="3"/>
      <c r="Z1343" s="25">
        <f>U1343+Y1343</f>
        <v>0</v>
      </c>
      <c r="AA1343" s="76">
        <f>W1343-Y1343</f>
        <v>703378.135</v>
      </c>
      <c r="AB1343" s="9" t="s">
        <v>14</v>
      </c>
      <c r="AC1343" s="19">
        <v>46014</v>
      </c>
      <c r="AD1343" s="41"/>
      <c r="AE1343" s="42"/>
      <c r="AF1343" s="4">
        <f>AD666-H1343-T1343</f>
        <v>5667.3</v>
      </c>
      <c r="AG1343" s="3"/>
      <c r="AH1343" s="8"/>
      <c r="AI1343" s="4">
        <f>(AE1343+AF1343)-AH1343</f>
        <v>5667.3</v>
      </c>
      <c r="AJ1343" s="4">
        <f>AI1343+BP1342</f>
        <v>166981.1845</v>
      </c>
      <c r="AK1343" s="8"/>
      <c r="AL1343" s="8"/>
      <c r="AM1343" s="47"/>
      <c r="AN1343" s="47"/>
      <c r="AO1343" s="8"/>
      <c r="AP1343" s="8"/>
      <c r="AQ1343" s="47"/>
      <c r="AR1343" s="47"/>
      <c r="AS1343" s="8"/>
      <c r="AT1343" s="8"/>
      <c r="AU1343" s="47"/>
      <c r="AV1343" s="47"/>
      <c r="AW1343" s="8"/>
      <c r="AX1343" s="8"/>
      <c r="AY1343" s="47"/>
      <c r="AZ1343" s="47"/>
      <c r="BA1343" s="8"/>
      <c r="BB1343" s="8"/>
      <c r="BC1343" s="47"/>
      <c r="BD1343" s="47"/>
      <c r="BE1343" s="8"/>
      <c r="BF1343" s="8"/>
      <c r="BG1343" s="47"/>
      <c r="BH1343" s="47"/>
      <c r="BI1343" s="8"/>
      <c r="BJ1343" s="3"/>
      <c r="BK1343" s="47"/>
      <c r="BL1343" s="47"/>
      <c r="BM1343" s="46"/>
      <c r="BN1343" s="46"/>
      <c r="BO1343" s="24">
        <f>AL1343+AN1343+AP1343+AR1343+AT1343+AV1343+AX1343+AZ1343+BB1343+BD1343+BF1343+BH1343+BJ1343+BL1343+BN1343</f>
        <v>0</v>
      </c>
      <c r="BP1343" s="28">
        <f>AJ1343-BO1343</f>
        <v>166981.1845</v>
      </c>
      <c r="BQ1343" s="2">
        <v>46014</v>
      </c>
    </row>
    <row r="1344" spans="1:73">
      <c r="D1344" s="9" t="s">
        <v>15</v>
      </c>
      <c r="E1344" s="2">
        <v>46015</v>
      </c>
      <c r="F1344" s="38"/>
      <c r="G1344" s="126"/>
      <c r="H1344" s="4">
        <f>F667*50%</f>
        <v>1913.5</v>
      </c>
      <c r="I1344" s="120"/>
      <c r="J1344" s="4">
        <f>(G1344+H1344)-I1344</f>
        <v>1913.5</v>
      </c>
      <c r="K1344" s="4">
        <f>J1344+O1343</f>
        <v>724772.515</v>
      </c>
      <c r="L1344" s="3"/>
      <c r="M1344" s="3"/>
      <c r="N1344" s="33">
        <f>I1344+M1344</f>
        <v>0</v>
      </c>
      <c r="O1344" s="28">
        <f>K1344-M1344</f>
        <v>724772.515</v>
      </c>
      <c r="P1344" s="9" t="s">
        <v>15</v>
      </c>
      <c r="Q1344" s="2">
        <v>46015</v>
      </c>
      <c r="R1344" s="38"/>
      <c r="S1344" s="52"/>
      <c r="T1344" s="4">
        <f>R667*45%</f>
        <v>3072.15</v>
      </c>
      <c r="U1344" s="5"/>
      <c r="V1344" s="4">
        <f>(S1344+T1344)-U1344</f>
        <v>3072.15</v>
      </c>
      <c r="W1344" s="4">
        <f>V1344+AA1343</f>
        <v>706450.285</v>
      </c>
      <c r="X1344" s="3"/>
      <c r="Y1344" s="3"/>
      <c r="Z1344" s="25">
        <f>U1344+Y1344</f>
        <v>0</v>
      </c>
      <c r="AA1344" s="76">
        <f>W1344-Y1344</f>
        <v>706450.285</v>
      </c>
      <c r="AB1344" s="9" t="s">
        <v>15</v>
      </c>
      <c r="AC1344" s="19">
        <v>46015</v>
      </c>
      <c r="AD1344" s="41"/>
      <c r="AE1344" s="42"/>
      <c r="AF1344" s="4">
        <f>AD667-H1344-T1344</f>
        <v>5668.35</v>
      </c>
      <c r="AG1344" s="3"/>
      <c r="AH1344" s="8"/>
      <c r="AI1344" s="4">
        <f>(AE1344+AF1344)-AH1344</f>
        <v>5668.35</v>
      </c>
      <c r="AJ1344" s="4">
        <f>AI1344+BP1343</f>
        <v>172649.5345</v>
      </c>
      <c r="AK1344" s="8"/>
      <c r="AL1344" s="8"/>
      <c r="AM1344" s="47"/>
      <c r="AN1344" s="47"/>
      <c r="AO1344" s="8"/>
      <c r="AP1344" s="8"/>
      <c r="AQ1344" s="47"/>
      <c r="AR1344" s="47"/>
      <c r="AS1344" s="8"/>
      <c r="AT1344" s="8"/>
      <c r="AU1344" s="47"/>
      <c r="AV1344" s="47"/>
      <c r="AW1344" s="8"/>
      <c r="AX1344" s="8"/>
      <c r="AY1344" s="47"/>
      <c r="AZ1344" s="47"/>
      <c r="BA1344" s="8"/>
      <c r="BB1344" s="8"/>
      <c r="BC1344" s="47"/>
      <c r="BD1344" s="47"/>
      <c r="BE1344" s="8"/>
      <c r="BF1344" s="8"/>
      <c r="BG1344" s="47"/>
      <c r="BH1344" s="47"/>
      <c r="BI1344" s="8"/>
      <c r="BJ1344" s="3"/>
      <c r="BK1344" s="47"/>
      <c r="BL1344" s="47"/>
      <c r="BM1344" s="46"/>
      <c r="BN1344" s="46"/>
      <c r="BO1344" s="24">
        <f>AL1344+AN1344+AP1344+AR1344+AT1344+AV1344+AX1344+AZ1344+BB1344+BD1344+BF1344+BH1344+BJ1344+BL1344+BN1344</f>
        <v>0</v>
      </c>
      <c r="BP1344" s="28">
        <f>AJ1344-BO1344</f>
        <v>172649.5345</v>
      </c>
      <c r="BQ1344" s="2">
        <v>46015</v>
      </c>
    </row>
    <row r="1345" spans="1:73">
      <c r="D1345" s="9" t="s">
        <v>16</v>
      </c>
      <c r="E1345" s="2">
        <v>46016</v>
      </c>
      <c r="F1345" s="38"/>
      <c r="G1345" s="126"/>
      <c r="H1345" s="4">
        <f>F668*50%</f>
        <v>1914</v>
      </c>
      <c r="I1345" s="120"/>
      <c r="J1345" s="4">
        <f>(G1345+H1345)-I1345</f>
        <v>1914</v>
      </c>
      <c r="K1345" s="4">
        <f>J1345+O1344</f>
        <v>726686.515</v>
      </c>
      <c r="L1345" s="3"/>
      <c r="M1345" s="3"/>
      <c r="N1345" s="33">
        <f>I1345+M1345</f>
        <v>0</v>
      </c>
      <c r="O1345" s="28">
        <f>K1345-M1345</f>
        <v>726686.515</v>
      </c>
      <c r="P1345" s="9" t="s">
        <v>16</v>
      </c>
      <c r="Q1345" s="2">
        <v>46016</v>
      </c>
      <c r="R1345" s="38"/>
      <c r="S1345" s="52"/>
      <c r="T1345" s="4">
        <f>R668*45%</f>
        <v>3072.6</v>
      </c>
      <c r="U1345" s="5"/>
      <c r="V1345" s="4">
        <f>(S1345+T1345)-U1345</f>
        <v>3072.6</v>
      </c>
      <c r="W1345" s="4">
        <f>V1345+AA1344</f>
        <v>709522.885</v>
      </c>
      <c r="X1345" s="3"/>
      <c r="Y1345" s="3"/>
      <c r="Z1345" s="25">
        <f>U1345+Y1345</f>
        <v>0</v>
      </c>
      <c r="AA1345" s="76">
        <f>W1345-Y1345</f>
        <v>709522.885</v>
      </c>
      <c r="AB1345" s="9" t="s">
        <v>16</v>
      </c>
      <c r="AC1345" s="19">
        <v>46016</v>
      </c>
      <c r="AD1345" s="41"/>
      <c r="AE1345" s="42"/>
      <c r="AF1345" s="4">
        <f>AD668-H1345-T1345</f>
        <v>5669.4</v>
      </c>
      <c r="AG1345" s="3"/>
      <c r="AH1345" s="8"/>
      <c r="AI1345" s="4">
        <f>(AE1345+AF1345)-AH1345</f>
        <v>5669.4</v>
      </c>
      <c r="AJ1345" s="4">
        <f>AI1345+BP1344</f>
        <v>178318.9345</v>
      </c>
      <c r="AK1345" s="8"/>
      <c r="AL1345" s="8"/>
      <c r="AM1345" s="47"/>
      <c r="AN1345" s="47"/>
      <c r="AO1345" s="8"/>
      <c r="AP1345" s="8"/>
      <c r="AQ1345" s="47"/>
      <c r="AR1345" s="47"/>
      <c r="AS1345" s="8"/>
      <c r="AT1345" s="8"/>
      <c r="AU1345" s="47"/>
      <c r="AV1345" s="47"/>
      <c r="AW1345" s="8"/>
      <c r="AX1345" s="8"/>
      <c r="AY1345" s="47"/>
      <c r="AZ1345" s="47"/>
      <c r="BA1345" s="8"/>
      <c r="BB1345" s="8"/>
      <c r="BC1345" s="47"/>
      <c r="BD1345" s="47"/>
      <c r="BE1345" s="8"/>
      <c r="BF1345" s="8"/>
      <c r="BG1345" s="47"/>
      <c r="BH1345" s="47"/>
      <c r="BI1345" s="8"/>
      <c r="BJ1345" s="3"/>
      <c r="BK1345" s="47"/>
      <c r="BL1345" s="47"/>
      <c r="BM1345" s="46"/>
      <c r="BN1345" s="46"/>
      <c r="BO1345" s="24">
        <f>AL1345+AN1345+AP1345+AR1345+AT1345+AV1345+AX1345+AZ1345+BB1345+BD1345+BF1345+BH1345+BJ1345+BL1345+BN1345</f>
        <v>0</v>
      </c>
      <c r="BP1345" s="28">
        <f>AJ1345-BO1345</f>
        <v>178318.9345</v>
      </c>
      <c r="BQ1345" s="2">
        <v>46016</v>
      </c>
    </row>
    <row r="1346" spans="1:73">
      <c r="D1346" s="9" t="s">
        <v>10</v>
      </c>
      <c r="E1346" s="2">
        <v>46017</v>
      </c>
      <c r="F1346" s="38"/>
      <c r="G1346" s="126"/>
      <c r="H1346" s="4">
        <f>F669*50%</f>
        <v>1914.5</v>
      </c>
      <c r="I1346" s="120"/>
      <c r="J1346" s="4">
        <f>(G1346+H1346)-I1346</f>
        <v>1914.5</v>
      </c>
      <c r="K1346" s="4">
        <f>J1346+O1345</f>
        <v>728601.015</v>
      </c>
      <c r="L1346" s="3"/>
      <c r="M1346" s="3"/>
      <c r="N1346" s="33">
        <f>I1346+M1346</f>
        <v>0</v>
      </c>
      <c r="O1346" s="28">
        <f>K1346-M1346</f>
        <v>728601.015</v>
      </c>
      <c r="P1346" s="9" t="s">
        <v>10</v>
      </c>
      <c r="Q1346" s="2">
        <v>46017</v>
      </c>
      <c r="R1346" s="38"/>
      <c r="S1346" s="52"/>
      <c r="T1346" s="4">
        <f>R669*45%</f>
        <v>3073.05</v>
      </c>
      <c r="U1346" s="5"/>
      <c r="V1346" s="4">
        <f>(S1346+T1346)-U1346</f>
        <v>3073.05</v>
      </c>
      <c r="W1346" s="4">
        <f>V1346+AA1345</f>
        <v>712595.935</v>
      </c>
      <c r="X1346" s="3"/>
      <c r="Y1346" s="3"/>
      <c r="Z1346" s="25">
        <f>U1346+Y1346</f>
        <v>0</v>
      </c>
      <c r="AA1346" s="76">
        <f>W1346-Y1346</f>
        <v>712595.935</v>
      </c>
      <c r="AB1346" s="9" t="s">
        <v>10</v>
      </c>
      <c r="AC1346" s="19">
        <v>46017</v>
      </c>
      <c r="AD1346" s="41"/>
      <c r="AE1346" s="42"/>
      <c r="AF1346" s="4">
        <f>AD669-H1346-T1346</f>
        <v>5670.45</v>
      </c>
      <c r="AG1346" s="3"/>
      <c r="AH1346" s="8"/>
      <c r="AI1346" s="4">
        <f>(AE1346+AF1346)-AH1346</f>
        <v>5670.45</v>
      </c>
      <c r="AJ1346" s="4">
        <f>AI1346+BP1345</f>
        <v>183989.3845</v>
      </c>
      <c r="AK1346" s="8"/>
      <c r="AL1346" s="8"/>
      <c r="AM1346" s="47"/>
      <c r="AN1346" s="47"/>
      <c r="AO1346" s="8"/>
      <c r="AP1346" s="8"/>
      <c r="AQ1346" s="47"/>
      <c r="AR1346" s="47"/>
      <c r="AS1346" s="8"/>
      <c r="AT1346" s="8"/>
      <c r="AU1346" s="47"/>
      <c r="AV1346" s="47"/>
      <c r="AW1346" s="8"/>
      <c r="AX1346" s="8"/>
      <c r="AY1346" s="47"/>
      <c r="AZ1346" s="47"/>
      <c r="BA1346" s="8"/>
      <c r="BB1346" s="8"/>
      <c r="BC1346" s="47"/>
      <c r="BD1346" s="47"/>
      <c r="BE1346" s="8"/>
      <c r="BF1346" s="8"/>
      <c r="BG1346" s="47"/>
      <c r="BH1346" s="47"/>
      <c r="BI1346" s="8"/>
      <c r="BJ1346" s="3"/>
      <c r="BK1346" s="47"/>
      <c r="BL1346" s="47"/>
      <c r="BM1346" s="46"/>
      <c r="BN1346" s="46"/>
      <c r="BO1346" s="24">
        <f>AL1346+AN1346+AP1346+AR1346+AT1346+AV1346+AX1346+AZ1346+BB1346+BD1346+BF1346+BH1346+BJ1346+BL1346+BN1346</f>
        <v>0</v>
      </c>
      <c r="BP1346" s="28">
        <f>AJ1346-BO1346</f>
        <v>183989.3845</v>
      </c>
      <c r="BQ1346" s="2">
        <v>46017</v>
      </c>
    </row>
    <row r="1347" spans="1:73">
      <c r="D1347" s="9" t="s">
        <v>11</v>
      </c>
      <c r="E1347" s="2">
        <v>46018</v>
      </c>
      <c r="F1347" s="38"/>
      <c r="G1347" s="126"/>
      <c r="H1347" s="4">
        <f>F670*50%</f>
        <v>1915</v>
      </c>
      <c r="I1347" s="120"/>
      <c r="J1347" s="4">
        <f>(G1347+H1347)-I1347</f>
        <v>1915</v>
      </c>
      <c r="K1347" s="4">
        <f>J1347+O1346</f>
        <v>730516.015</v>
      </c>
      <c r="L1347" s="3"/>
      <c r="M1347" s="3"/>
      <c r="N1347" s="33">
        <f>I1347+M1347</f>
        <v>0</v>
      </c>
      <c r="O1347" s="28">
        <f>K1347-M1347</f>
        <v>730516.015</v>
      </c>
      <c r="P1347" s="9" t="s">
        <v>11</v>
      </c>
      <c r="Q1347" s="2">
        <v>46018</v>
      </c>
      <c r="R1347" s="38"/>
      <c r="S1347" s="52"/>
      <c r="T1347" s="4">
        <f>R670*45%</f>
        <v>3073.5</v>
      </c>
      <c r="U1347" s="5"/>
      <c r="V1347" s="4">
        <f>(S1347+T1347)-U1347</f>
        <v>3073.5</v>
      </c>
      <c r="W1347" s="4">
        <f>V1347+AA1346</f>
        <v>715669.435</v>
      </c>
      <c r="X1347" s="3"/>
      <c r="Y1347" s="3"/>
      <c r="Z1347" s="25">
        <f>U1347+Y1347</f>
        <v>0</v>
      </c>
      <c r="AA1347" s="76">
        <f>W1347-Y1347</f>
        <v>715669.435</v>
      </c>
      <c r="AB1347" s="9" t="s">
        <v>11</v>
      </c>
      <c r="AC1347" s="19">
        <v>46018</v>
      </c>
      <c r="AD1347" s="41"/>
      <c r="AE1347" s="42"/>
      <c r="AF1347" s="4">
        <f>AD670-H1347-T1347</f>
        <v>5671.5</v>
      </c>
      <c r="AG1347" s="3"/>
      <c r="AH1347" s="8"/>
      <c r="AI1347" s="4">
        <f>(AE1347+AF1347)-AH1347</f>
        <v>5671.5</v>
      </c>
      <c r="AJ1347" s="4">
        <f>AI1347+BP1346</f>
        <v>189660.8845</v>
      </c>
      <c r="AK1347" s="8"/>
      <c r="AL1347" s="8"/>
      <c r="AM1347" s="47"/>
      <c r="AN1347" s="47"/>
      <c r="AO1347" s="8"/>
      <c r="AP1347" s="8"/>
      <c r="AQ1347" s="47"/>
      <c r="AR1347" s="47"/>
      <c r="AS1347" s="8"/>
      <c r="AT1347" s="8"/>
      <c r="AU1347" s="47"/>
      <c r="AV1347" s="47"/>
      <c r="AW1347" s="8"/>
      <c r="AX1347" s="8"/>
      <c r="AY1347" s="47"/>
      <c r="AZ1347" s="47"/>
      <c r="BA1347" s="8"/>
      <c r="BB1347" s="8"/>
      <c r="BC1347" s="47"/>
      <c r="BD1347" s="47"/>
      <c r="BE1347" s="8"/>
      <c r="BF1347" s="8"/>
      <c r="BG1347" s="47"/>
      <c r="BH1347" s="47"/>
      <c r="BI1347" s="8"/>
      <c r="BJ1347" s="3"/>
      <c r="BK1347" s="47"/>
      <c r="BL1347" s="47"/>
      <c r="BM1347" s="46"/>
      <c r="BN1347" s="46"/>
      <c r="BO1347" s="24">
        <f>AL1347+AN1347+AP1347+AR1347+AT1347+AV1347+AX1347+AZ1347+BB1347+BD1347+BF1347+BH1347+BJ1347+BL1347+BN1347</f>
        <v>0</v>
      </c>
      <c r="BP1347" s="28">
        <f>AJ1347-BO1347</f>
        <v>189660.8845</v>
      </c>
      <c r="BQ1347" s="2">
        <v>46018</v>
      </c>
    </row>
    <row r="1348" spans="1:73">
      <c r="D1348" s="9" t="s">
        <v>12</v>
      </c>
      <c r="E1348" s="2">
        <v>46019</v>
      </c>
      <c r="F1348" s="38"/>
      <c r="G1348" s="126"/>
      <c r="H1348" s="4">
        <f>F671*50%</f>
        <v>1915.5</v>
      </c>
      <c r="I1348" s="120"/>
      <c r="J1348" s="4">
        <f>(G1348+H1348)-I1348</f>
        <v>1915.5</v>
      </c>
      <c r="K1348" s="4">
        <f>J1348+O1347</f>
        <v>732431.515</v>
      </c>
      <c r="L1348" s="3"/>
      <c r="M1348" s="3"/>
      <c r="N1348" s="33">
        <f>I1348+M1348</f>
        <v>0</v>
      </c>
      <c r="O1348" s="28">
        <f>K1348-M1348</f>
        <v>732431.515</v>
      </c>
      <c r="P1348" s="9" t="s">
        <v>12</v>
      </c>
      <c r="Q1348" s="2">
        <v>46019</v>
      </c>
      <c r="R1348" s="38"/>
      <c r="S1348" s="52"/>
      <c r="T1348" s="4">
        <f>R671*45%</f>
        <v>3073.95</v>
      </c>
      <c r="U1348" s="5"/>
      <c r="V1348" s="4">
        <f>(S1348+T1348)-U1348</f>
        <v>3073.95</v>
      </c>
      <c r="W1348" s="4">
        <f>V1348+AA1347</f>
        <v>718743.385</v>
      </c>
      <c r="X1348" s="3"/>
      <c r="Y1348" s="3"/>
      <c r="Z1348" s="25">
        <f>U1348+Y1348</f>
        <v>0</v>
      </c>
      <c r="AA1348" s="76">
        <f>W1348-Y1348</f>
        <v>718743.385</v>
      </c>
      <c r="AB1348" s="9" t="s">
        <v>12</v>
      </c>
      <c r="AC1348" s="19">
        <v>46019</v>
      </c>
      <c r="AD1348" s="41"/>
      <c r="AE1348" s="42"/>
      <c r="AF1348" s="4">
        <f>AD671-H1348-T1348</f>
        <v>5672.55</v>
      </c>
      <c r="AG1348" s="3"/>
      <c r="AH1348" s="8"/>
      <c r="AI1348" s="4">
        <f>(AE1348+AF1348)-AH1348</f>
        <v>5672.55</v>
      </c>
      <c r="AJ1348" s="4">
        <f>AI1348+BP1347</f>
        <v>195333.4345</v>
      </c>
      <c r="AK1348" s="8"/>
      <c r="AL1348" s="8"/>
      <c r="AM1348" s="47"/>
      <c r="AN1348" s="47"/>
      <c r="AO1348" s="8"/>
      <c r="AP1348" s="8"/>
      <c r="AQ1348" s="47"/>
      <c r="AR1348" s="47"/>
      <c r="AS1348" s="8"/>
      <c r="AT1348" s="8"/>
      <c r="AU1348" s="47"/>
      <c r="AV1348" s="47"/>
      <c r="AW1348" s="8"/>
      <c r="AX1348" s="8"/>
      <c r="AY1348" s="47"/>
      <c r="AZ1348" s="47"/>
      <c r="BA1348" s="8"/>
      <c r="BB1348" s="8"/>
      <c r="BC1348" s="47"/>
      <c r="BD1348" s="47"/>
      <c r="BE1348" s="8"/>
      <c r="BF1348" s="8"/>
      <c r="BG1348" s="47"/>
      <c r="BH1348" s="47"/>
      <c r="BI1348" s="8"/>
      <c r="BJ1348" s="3"/>
      <c r="BK1348" s="47"/>
      <c r="BL1348" s="47"/>
      <c r="BM1348" s="46"/>
      <c r="BN1348" s="46"/>
      <c r="BO1348" s="24">
        <f>AL1348+AN1348+AP1348+AR1348+AT1348+AV1348+AX1348+AZ1348+BB1348+BD1348+BF1348+BH1348+BJ1348+BL1348+BN1348</f>
        <v>0</v>
      </c>
      <c r="BP1348" s="28">
        <f>AJ1348-BO1348</f>
        <v>195333.4345</v>
      </c>
      <c r="BQ1348" s="2">
        <v>46019</v>
      </c>
    </row>
    <row r="1349" spans="1:73">
      <c r="D1349" s="9" t="s">
        <v>13</v>
      </c>
      <c r="E1349" s="2">
        <v>46020</v>
      </c>
      <c r="F1349" s="38"/>
      <c r="G1349" s="126"/>
      <c r="H1349" s="4">
        <f>F672*50%</f>
        <v>1916</v>
      </c>
      <c r="I1349" s="120"/>
      <c r="J1349" s="4">
        <f>(G1349+H1349)-I1349</f>
        <v>1916</v>
      </c>
      <c r="K1349" s="4">
        <f>J1349+O1348</f>
        <v>734347.515</v>
      </c>
      <c r="L1349" s="3"/>
      <c r="M1349" s="3"/>
      <c r="N1349" s="33">
        <f>I1349+M1349</f>
        <v>0</v>
      </c>
      <c r="O1349" s="28">
        <f>K1349-M1349</f>
        <v>734347.515</v>
      </c>
      <c r="P1349" s="9" t="s">
        <v>13</v>
      </c>
      <c r="Q1349" s="2">
        <v>46020</v>
      </c>
      <c r="R1349" s="38"/>
      <c r="S1349" s="52"/>
      <c r="T1349" s="4">
        <f>R672*45%</f>
        <v>3074.4</v>
      </c>
      <c r="U1349" s="5"/>
      <c r="V1349" s="4">
        <f>(S1349+T1349)-U1349</f>
        <v>3074.4</v>
      </c>
      <c r="W1349" s="4">
        <f>V1349+AA1348</f>
        <v>721817.785</v>
      </c>
      <c r="X1349" s="3"/>
      <c r="Y1349" s="3"/>
      <c r="Z1349" s="25">
        <f>U1349+Y1349</f>
        <v>0</v>
      </c>
      <c r="AA1349" s="76">
        <f>W1349-Y1349</f>
        <v>721817.785</v>
      </c>
      <c r="AB1349" s="9" t="s">
        <v>13</v>
      </c>
      <c r="AC1349" s="19">
        <v>46020</v>
      </c>
      <c r="AD1349" s="41"/>
      <c r="AE1349" s="42"/>
      <c r="AF1349" s="4">
        <f>AD672-H1349-T1349</f>
        <v>5673.6</v>
      </c>
      <c r="AG1349" s="3"/>
      <c r="AH1349" s="8"/>
      <c r="AI1349" s="4">
        <f>(AE1349+AF1349)-AH1349</f>
        <v>5673.6</v>
      </c>
      <c r="AJ1349" s="4">
        <f>AI1349+BP1348</f>
        <v>201007.0345</v>
      </c>
      <c r="AK1349" s="8"/>
      <c r="AL1349" s="8"/>
      <c r="AM1349" s="47"/>
      <c r="AN1349" s="47"/>
      <c r="AO1349" s="8"/>
      <c r="AP1349" s="8"/>
      <c r="AQ1349" s="47"/>
      <c r="AR1349" s="47"/>
      <c r="AS1349" s="8"/>
      <c r="AT1349" s="8"/>
      <c r="AU1349" s="47"/>
      <c r="AV1349" s="47"/>
      <c r="AW1349" s="8"/>
      <c r="AX1349" s="8"/>
      <c r="AY1349" s="47"/>
      <c r="AZ1349" s="47"/>
      <c r="BA1349" s="8"/>
      <c r="BB1349" s="8"/>
      <c r="BC1349" s="47"/>
      <c r="BD1349" s="47"/>
      <c r="BE1349" s="8"/>
      <c r="BF1349" s="8"/>
      <c r="BG1349" s="47"/>
      <c r="BH1349" s="47"/>
      <c r="BI1349" s="8"/>
      <c r="BJ1349" s="3"/>
      <c r="BK1349" s="47"/>
      <c r="BL1349" s="47"/>
      <c r="BM1349" s="46"/>
      <c r="BN1349" s="46"/>
      <c r="BO1349" s="24">
        <f>AL1349+AN1349+AP1349+AR1349+AT1349+AV1349+AX1349+AZ1349+BB1349+BD1349+BF1349+BH1349+BJ1349+BL1349+BN1349</f>
        <v>0</v>
      </c>
      <c r="BP1349" s="28">
        <f>AJ1349-BO1349</f>
        <v>201007.0345</v>
      </c>
      <c r="BQ1349" s="2">
        <v>46020</v>
      </c>
    </row>
    <row r="1350" spans="1:73">
      <c r="D1350" s="9" t="s">
        <v>14</v>
      </c>
      <c r="E1350" s="2">
        <v>46021</v>
      </c>
      <c r="F1350" s="38"/>
      <c r="G1350" s="126"/>
      <c r="H1350" s="4">
        <f>F673*50%</f>
        <v>1916.5</v>
      </c>
      <c r="I1350" s="120"/>
      <c r="J1350" s="4">
        <f>(G1350+H1350)-I1350</f>
        <v>1916.5</v>
      </c>
      <c r="K1350" s="4">
        <f>J1350+O1349</f>
        <v>736264.015</v>
      </c>
      <c r="L1350" s="3"/>
      <c r="M1350" s="3"/>
      <c r="N1350" s="33">
        <f>I1350+M1350</f>
        <v>0</v>
      </c>
      <c r="O1350" s="28">
        <f>K1350-M1350</f>
        <v>736264.015</v>
      </c>
      <c r="P1350" s="9" t="s">
        <v>14</v>
      </c>
      <c r="Q1350" s="2">
        <v>46021</v>
      </c>
      <c r="R1350" s="38"/>
      <c r="S1350" s="52"/>
      <c r="T1350" s="4">
        <f>R673*45%</f>
        <v>3074.85</v>
      </c>
      <c r="U1350" s="5"/>
      <c r="V1350" s="4">
        <f>(S1350+T1350)-U1350</f>
        <v>3074.85</v>
      </c>
      <c r="W1350" s="4">
        <f>V1350+AA1349</f>
        <v>724892.635</v>
      </c>
      <c r="X1350" s="3"/>
      <c r="Y1350" s="3"/>
      <c r="Z1350" s="25">
        <f>U1350+Y1350</f>
        <v>0</v>
      </c>
      <c r="AA1350" s="76">
        <f>W1350-Y1350</f>
        <v>724892.635</v>
      </c>
      <c r="AB1350" s="9" t="s">
        <v>14</v>
      </c>
      <c r="AC1350" s="19">
        <v>46021</v>
      </c>
      <c r="AD1350" s="41"/>
      <c r="AE1350" s="42"/>
      <c r="AF1350" s="4">
        <f>AD673-H1350-T1350</f>
        <v>5674.65</v>
      </c>
      <c r="AG1350" s="3"/>
      <c r="AH1350" s="8"/>
      <c r="AI1350" s="4">
        <f>(AE1350+AF1350)-AH1350</f>
        <v>5674.65</v>
      </c>
      <c r="AJ1350" s="4">
        <f>AI1350+BP1349</f>
        <v>206681.6845</v>
      </c>
      <c r="AK1350" s="8"/>
      <c r="AL1350" s="8"/>
      <c r="AM1350" s="47"/>
      <c r="AN1350" s="47"/>
      <c r="AO1350" s="8"/>
      <c r="AP1350" s="8"/>
      <c r="AQ1350" s="47"/>
      <c r="AR1350" s="47"/>
      <c r="AS1350" s="8"/>
      <c r="AT1350" s="8"/>
      <c r="AU1350" s="47"/>
      <c r="AV1350" s="47"/>
      <c r="AW1350" s="8"/>
      <c r="AX1350" s="8"/>
      <c r="AY1350" s="47"/>
      <c r="AZ1350" s="47"/>
      <c r="BA1350" s="8"/>
      <c r="BB1350" s="8"/>
      <c r="BC1350" s="47"/>
      <c r="BD1350" s="47"/>
      <c r="BE1350" s="8"/>
      <c r="BF1350" s="8"/>
      <c r="BG1350" s="47"/>
      <c r="BH1350" s="47"/>
      <c r="BI1350" s="8"/>
      <c r="BJ1350" s="3"/>
      <c r="BK1350" s="47"/>
      <c r="BL1350" s="47"/>
      <c r="BM1350" s="46"/>
      <c r="BN1350" s="46"/>
      <c r="BO1350" s="24">
        <f>AL1350+AN1350+AP1350+AR1350+AT1350+AV1350+AX1350+AZ1350+BB1350+BD1350+BF1350+BH1350+BJ1350+BL1350+BN1350</f>
        <v>0</v>
      </c>
      <c r="BP1350" s="28">
        <f>AJ1350-BO1350</f>
        <v>206681.6845</v>
      </c>
      <c r="BQ1350" s="2">
        <v>46021</v>
      </c>
    </row>
    <row r="1351" spans="1:73">
      <c r="D1351" s="9" t="s">
        <v>15</v>
      </c>
      <c r="E1351" s="2">
        <v>46022</v>
      </c>
      <c r="F1351" s="38"/>
      <c r="G1351" s="126"/>
      <c r="H1351" s="4">
        <f>F674*50%</f>
        <v>1917</v>
      </c>
      <c r="I1351" s="120"/>
      <c r="J1351" s="4">
        <f>(G1351+H1351)-I1351</f>
        <v>1917</v>
      </c>
      <c r="K1351" s="4">
        <f>J1351+O1350</f>
        <v>738181.015</v>
      </c>
      <c r="L1351" s="3"/>
      <c r="M1351" s="3"/>
      <c r="N1351" s="33">
        <f>I1351+M1351</f>
        <v>0</v>
      </c>
      <c r="O1351" s="28">
        <f>K1351-M1351</f>
        <v>738181.015</v>
      </c>
      <c r="P1351" s="9" t="s">
        <v>15</v>
      </c>
      <c r="Q1351" s="2">
        <v>46022</v>
      </c>
      <c r="R1351" s="38"/>
      <c r="S1351" s="52"/>
      <c r="T1351" s="4">
        <f>R674*45%</f>
        <v>3075.3</v>
      </c>
      <c r="U1351" s="5"/>
      <c r="V1351" s="4">
        <f>(S1351+T1351)-U1351</f>
        <v>3075.3</v>
      </c>
      <c r="W1351" s="4">
        <f>V1351+AA1350</f>
        <v>727967.935</v>
      </c>
      <c r="X1351" s="3"/>
      <c r="Y1351" s="3"/>
      <c r="Z1351" s="25">
        <f>U1351+Y1351</f>
        <v>0</v>
      </c>
      <c r="AA1351" s="76">
        <f>W1351-Y1351</f>
        <v>727967.935</v>
      </c>
      <c r="AB1351" s="9" t="s">
        <v>15</v>
      </c>
      <c r="AC1351" s="19">
        <v>46022</v>
      </c>
      <c r="AD1351" s="41"/>
      <c r="AE1351" s="42"/>
      <c r="AF1351" s="4">
        <f>AD674-H1351-T1351</f>
        <v>5675.7</v>
      </c>
      <c r="AG1351" s="3"/>
      <c r="AH1351" s="8"/>
      <c r="AI1351" s="4">
        <f>(AE1351+AF1351)-AH1351</f>
        <v>5675.7</v>
      </c>
      <c r="AJ1351" s="4">
        <f>AI1351+BP1350</f>
        <v>212357.3845</v>
      </c>
      <c r="AK1351" s="8"/>
      <c r="AL1351" s="8"/>
      <c r="AM1351" s="47"/>
      <c r="AN1351" s="47"/>
      <c r="AO1351" s="8"/>
      <c r="AP1351" s="8"/>
      <c r="AQ1351" s="47"/>
      <c r="AR1351" s="47"/>
      <c r="AS1351" s="8"/>
      <c r="AT1351" s="8"/>
      <c r="AU1351" s="47"/>
      <c r="AV1351" s="47"/>
      <c r="AW1351" s="8"/>
      <c r="AX1351" s="8"/>
      <c r="AY1351" s="47"/>
      <c r="AZ1351" s="47"/>
      <c r="BA1351" s="8"/>
      <c r="BB1351" s="8"/>
      <c r="BC1351" s="47"/>
      <c r="BD1351" s="47"/>
      <c r="BE1351" s="8"/>
      <c r="BF1351" s="8"/>
      <c r="BG1351" s="47"/>
      <c r="BH1351" s="47"/>
      <c r="BI1351" s="8"/>
      <c r="BJ1351" s="3"/>
      <c r="BK1351" s="47"/>
      <c r="BL1351" s="47"/>
      <c r="BM1351" s="46"/>
      <c r="BN1351" s="46"/>
      <c r="BO1351" s="24">
        <f>AL1351+AN1351+AP1351+AR1351+AT1351+AV1351+AX1351+AZ1351+BB1351+BD1351+BF1351+BH1351+BJ1351+BL1351+BN1351</f>
        <v>0</v>
      </c>
      <c r="BP1351" s="28">
        <f>AJ1351-BO1351</f>
        <v>212357.3845</v>
      </c>
      <c r="BQ1351" s="2">
        <v>46022</v>
      </c>
    </row>
    <row r="1352" spans="1:73">
      <c r="S1352" s="68"/>
      <c r="AE1352" s="1"/>
    </row>
    <row r="1353" spans="1:73">
      <c r="S1353" s="68"/>
      <c r="AE1353" s="1"/>
    </row>
    <row r="1354" spans="1:73">
      <c r="S1354" s="68"/>
      <c r="AE1354" s="1"/>
    </row>
    <row r="1355" spans="1:73">
      <c r="S1355" s="68"/>
      <c r="AE1355" s="1"/>
    </row>
    <row r="1356" spans="1:73">
      <c r="S1356" s="68"/>
      <c r="AE1356" s="1"/>
    </row>
    <row r="1357" spans="1:73">
      <c r="S1357" s="68"/>
      <c r="AE1357" s="1"/>
    </row>
    <row r="1358" spans="1:73">
      <c r="S1358" s="68"/>
      <c r="AE1358" s="1"/>
    </row>
    <row r="1359" spans="1:73">
      <c r="S1359" s="68"/>
      <c r="AE1359" s="1"/>
    </row>
    <row r="1360" spans="1:73">
      <c r="S1360" s="68"/>
      <c r="AE1360" s="1"/>
    </row>
    <row r="1361" spans="1:73">
      <c r="S1361" s="68"/>
      <c r="AE1361" s="1"/>
    </row>
    <row r="1362" spans="1:73">
      <c r="S1362" s="68"/>
      <c r="AE1362" s="1"/>
    </row>
    <row r="1363" spans="1:73">
      <c r="S1363" s="68"/>
      <c r="AE1363" s="1"/>
    </row>
    <row r="1364" spans="1:73">
      <c r="S1364" s="68"/>
      <c r="AE1364" s="1"/>
    </row>
    <row r="1365" spans="1:73">
      <c r="S1365" s="68"/>
      <c r="AE1365" s="1"/>
    </row>
    <row r="1366" spans="1:73">
      <c r="S1366" s="68"/>
      <c r="AE1366" s="1"/>
    </row>
    <row r="1367" spans="1:73">
      <c r="S1367" s="68"/>
      <c r="AE1367" s="1"/>
    </row>
    <row r="1368" spans="1:73">
      <c r="S1368" s="68"/>
      <c r="AE1368" s="1"/>
    </row>
    <row r="1369" spans="1:73">
      <c r="S1369" s="68"/>
      <c r="AE1369" s="1"/>
    </row>
    <row r="1370" spans="1:73">
      <c r="S1370" s="68"/>
      <c r="AE1370" s="1"/>
    </row>
    <row r="1371" spans="1:73">
      <c r="S1371" s="68"/>
      <c r="AE1371" s="1"/>
    </row>
    <row r="1372" spans="1:73">
      <c r="S1372" s="68"/>
      <c r="AE1372" s="1"/>
    </row>
    <row r="1373" spans="1:73">
      <c r="S1373" s="68"/>
      <c r="AE1373" s="1"/>
    </row>
    <row r="1374" spans="1:73">
      <c r="S1374" s="68"/>
      <c r="AE1374" s="1"/>
    </row>
    <row r="1375" spans="1:73">
      <c r="S1375" s="68"/>
      <c r="AE1375" s="1"/>
    </row>
    <row r="1376" spans="1:73">
      <c r="S1376" s="68"/>
      <c r="AE1376" s="1"/>
    </row>
    <row r="1377" spans="1:73">
      <c r="S1377" s="68"/>
      <c r="AE1377" s="1"/>
    </row>
    <row r="1378" spans="1:73">
      <c r="S1378" s="68"/>
      <c r="AE1378" s="1"/>
    </row>
    <row r="1379" spans="1:73">
      <c r="S1379" s="68"/>
      <c r="AE1379" s="1"/>
    </row>
    <row r="1380" spans="1:73">
      <c r="S1380" s="68"/>
      <c r="AE1380" s="1"/>
    </row>
    <row r="1381" spans="1:73">
      <c r="S1381" s="68"/>
      <c r="AE1381" s="1"/>
    </row>
    <row r="1382" spans="1:73">
      <c r="S1382" s="68"/>
      <c r="AE1382" s="1"/>
    </row>
    <row r="1383" spans="1:73">
      <c r="S1383" s="68"/>
      <c r="AE1383" s="1"/>
    </row>
    <row r="1384" spans="1:73">
      <c r="S1384" s="68"/>
      <c r="AE1384" s="1"/>
    </row>
    <row r="1385" spans="1:73">
      <c r="S1385" s="68"/>
      <c r="AE1385" s="1"/>
    </row>
    <row r="1386" spans="1:73">
      <c r="S1386" s="68"/>
      <c r="AE1386" s="1"/>
    </row>
    <row r="1387" spans="1:73">
      <c r="S1387" s="68"/>
      <c r="AE1387" s="1"/>
    </row>
    <row r="1388" spans="1:73">
      <c r="S1388" s="68"/>
      <c r="AE1388" s="1"/>
    </row>
    <row r="1389" spans="1:73">
      <c r="S1389" s="68"/>
      <c r="AE1389" s="1"/>
    </row>
    <row r="1390" spans="1:73">
      <c r="S1390" s="68"/>
      <c r="AE1390" s="1"/>
    </row>
    <row r="1391" spans="1:73">
      <c r="S1391" s="68"/>
      <c r="AE1391" s="1"/>
    </row>
    <row r="1392" spans="1:73">
      <c r="S1392" s="68"/>
      <c r="AE1392" s="1"/>
    </row>
    <row r="1393" spans="1:73">
      <c r="S1393" s="68"/>
      <c r="AE1393" s="1"/>
    </row>
    <row r="1394" spans="1:73">
      <c r="S1394" s="68"/>
      <c r="AE1394" s="1"/>
    </row>
    <row r="1395" spans="1:73">
      <c r="S1395" s="68"/>
      <c r="AE1395" s="1"/>
    </row>
    <row r="1396" spans="1:73">
      <c r="S1396" s="68"/>
      <c r="AE1396" s="1"/>
    </row>
    <row r="1397" spans="1:73">
      <c r="S1397" s="68"/>
      <c r="AE1397" s="1"/>
    </row>
    <row r="1398" spans="1:73">
      <c r="S1398" s="68"/>
      <c r="AE1398" s="1"/>
    </row>
    <row r="1399" spans="1:73">
      <c r="S1399" s="68"/>
      <c r="AE1399" s="1"/>
    </row>
    <row r="1400" spans="1:73">
      <c r="S1400" s="68"/>
      <c r="AE1400" s="1"/>
    </row>
    <row r="1401" spans="1:73">
      <c r="S1401" s="68"/>
      <c r="AE1401" s="1"/>
    </row>
    <row r="1402" spans="1:73">
      <c r="S1402" s="68"/>
      <c r="AE1402" s="1"/>
    </row>
    <row r="1403" spans="1:73">
      <c r="S1403" s="68"/>
      <c r="AE1403" s="1"/>
    </row>
    <row r="1404" spans="1:73">
      <c r="S1404" s="68"/>
      <c r="AE1404" s="1"/>
    </row>
    <row r="1405" spans="1:73">
      <c r="S1405" s="68"/>
      <c r="AE1405" s="1"/>
    </row>
    <row r="1406" spans="1:73">
      <c r="S1406" s="68"/>
      <c r="AE1406" s="1"/>
    </row>
    <row r="1407" spans="1:73">
      <c r="S1407" s="68"/>
      <c r="AE1407" s="1"/>
    </row>
    <row r="1408" spans="1:73">
      <c r="S1408" s="68"/>
      <c r="AE1408" s="1"/>
    </row>
    <row r="1409" spans="1:73">
      <c r="S1409" s="68"/>
      <c r="AE1409" s="1"/>
    </row>
    <row r="1410" spans="1:73">
      <c r="S1410" s="68"/>
      <c r="AE1410" s="1"/>
    </row>
    <row r="1411" spans="1:73">
      <c r="S1411" s="68"/>
      <c r="AE1411" s="1"/>
    </row>
    <row r="1412" spans="1:73">
      <c r="S1412" s="68"/>
      <c r="AE1412" s="1"/>
    </row>
    <row r="1413" spans="1:73">
      <c r="S1413" s="68"/>
      <c r="AE1413" s="1"/>
    </row>
    <row r="1414" spans="1:73">
      <c r="S1414" s="68"/>
      <c r="AE1414" s="1"/>
    </row>
    <row r="1415" spans="1:73">
      <c r="S1415" s="68"/>
      <c r="AE1415" s="1"/>
    </row>
    <row r="1416" spans="1:73">
      <c r="S1416" s="68"/>
      <c r="AE1416" s="1"/>
    </row>
    <row r="1417" spans="1:73">
      <c r="S1417" s="68"/>
      <c r="AE1417" s="1"/>
    </row>
    <row r="1418" spans="1:73">
      <c r="S1418" s="68"/>
      <c r="AE1418" s="1"/>
    </row>
    <row r="1419" spans="1:73">
      <c r="S1419" s="68"/>
      <c r="AE1419" s="1"/>
    </row>
    <row r="1420" spans="1:73">
      <c r="S1420" s="68"/>
      <c r="AE1420" s="1"/>
    </row>
    <row r="1421" spans="1:73">
      <c r="S1421" s="68"/>
      <c r="AE1421" s="1"/>
    </row>
    <row r="1422" spans="1:73">
      <c r="S1422" s="68"/>
      <c r="AE1422" s="1"/>
    </row>
    <row r="1423" spans="1:73">
      <c r="S1423" s="68"/>
      <c r="AE1423" s="1"/>
    </row>
    <row r="1424" spans="1:73">
      <c r="S1424" s="68"/>
      <c r="AE1424" s="1"/>
    </row>
    <row r="1425" spans="1:73">
      <c r="S1425" s="68"/>
      <c r="AE1425" s="1"/>
    </row>
    <row r="1426" spans="1:73">
      <c r="S1426" s="68"/>
      <c r="AE1426" s="1"/>
    </row>
    <row r="1427" spans="1:73">
      <c r="S1427" s="68"/>
      <c r="AE1427" s="1"/>
    </row>
    <row r="1428" spans="1:73">
      <c r="S1428" s="68"/>
      <c r="AE1428" s="1"/>
    </row>
    <row r="1429" spans="1:73">
      <c r="S1429" s="68"/>
      <c r="AE1429" s="1"/>
    </row>
    <row r="1430" spans="1:73">
      <c r="S1430" s="68"/>
      <c r="AE1430" s="1"/>
    </row>
    <row r="1431" spans="1:73">
      <c r="S1431" s="68"/>
      <c r="AE1431" s="1"/>
    </row>
    <row r="1432" spans="1:73">
      <c r="S1432" s="68"/>
      <c r="AE1432" s="1"/>
    </row>
    <row r="1433" spans="1:73">
      <c r="S1433" s="68"/>
      <c r="AE1433" s="1"/>
    </row>
    <row r="1434" spans="1:73">
      <c r="S1434" s="68"/>
      <c r="AE1434" s="1"/>
    </row>
    <row r="1435" spans="1:73">
      <c r="S1435" s="68"/>
      <c r="AE1435" s="1"/>
    </row>
    <row r="1436" spans="1:73">
      <c r="S1436" s="68"/>
      <c r="AE1436" s="1"/>
    </row>
    <row r="1437" spans="1:73">
      <c r="S1437" s="68"/>
      <c r="AE1437" s="1"/>
    </row>
    <row r="1438" spans="1:73">
      <c r="S1438" s="68"/>
      <c r="AE1438" s="1"/>
    </row>
    <row r="1439" spans="1:73">
      <c r="S1439" s="68"/>
      <c r="AE1439" s="1"/>
    </row>
    <row r="1440" spans="1:73">
      <c r="S1440" s="68"/>
      <c r="AE1440" s="1"/>
    </row>
    <row r="1441" spans="1:73">
      <c r="S1441" s="68"/>
      <c r="AE1441" s="1"/>
    </row>
    <row r="1442" spans="1:73">
      <c r="S1442" s="68"/>
      <c r="AE1442" s="1"/>
    </row>
    <row r="1443" spans="1:73">
      <c r="S1443" s="68"/>
      <c r="AE1443" s="1"/>
    </row>
    <row r="1444" spans="1:73">
      <c r="S1444" s="68"/>
      <c r="AE1444" s="1"/>
    </row>
    <row r="1445" spans="1:73">
      <c r="S1445" s="68"/>
      <c r="AE1445" s="1"/>
    </row>
    <row r="1446" spans="1:73">
      <c r="S1446" s="68"/>
      <c r="AE1446" s="1"/>
    </row>
    <row r="1447" spans="1:73">
      <c r="S1447" s="68"/>
      <c r="AE1447" s="1"/>
    </row>
    <row r="1448" spans="1:73">
      <c r="S1448" s="68"/>
      <c r="AE1448" s="1"/>
    </row>
    <row r="1449" spans="1:73">
      <c r="S1449" s="68"/>
      <c r="AE1449" s="1"/>
    </row>
    <row r="1450" spans="1:73">
      <c r="S1450" s="68"/>
      <c r="AE1450" s="1"/>
    </row>
    <row r="1451" spans="1:73">
      <c r="S1451" s="68"/>
      <c r="AE1451" s="1"/>
    </row>
    <row r="1452" spans="1:73">
      <c r="S1452" s="68"/>
      <c r="AE1452" s="1"/>
    </row>
    <row r="1453" spans="1:73">
      <c r="S1453" s="68"/>
      <c r="AE1453" s="1"/>
    </row>
    <row r="1454" spans="1:73">
      <c r="S1454" s="68"/>
      <c r="AE1454" s="1"/>
    </row>
    <row r="1455" spans="1:73">
      <c r="S1455" s="68"/>
      <c r="AE1455" s="1"/>
    </row>
    <row r="1456" spans="1:73">
      <c r="S1456" s="68"/>
      <c r="AE1456" s="1"/>
    </row>
    <row r="1457" spans="1:73">
      <c r="S1457" s="68"/>
      <c r="AE1457" s="1"/>
    </row>
    <row r="1458" spans="1:73">
      <c r="S1458" s="68"/>
      <c r="AE1458" s="1"/>
    </row>
    <row r="1459" spans="1:73">
      <c r="S1459" s="68"/>
      <c r="AE1459" s="1"/>
    </row>
    <row r="1460" spans="1:73">
      <c r="S1460" s="68"/>
      <c r="AE1460" s="1"/>
    </row>
    <row r="1461" spans="1:73">
      <c r="S1461" s="68"/>
      <c r="AE1461" s="1"/>
    </row>
    <row r="1462" spans="1:73">
      <c r="S1462" s="68"/>
      <c r="AE1462" s="1"/>
    </row>
    <row r="1463" spans="1:73">
      <c r="S1463" s="68"/>
      <c r="AE1463" s="1"/>
    </row>
    <row r="1464" spans="1:73">
      <c r="S1464" s="68"/>
      <c r="AE1464" s="1"/>
    </row>
    <row r="1465" spans="1:73">
      <c r="S1465" s="68"/>
      <c r="AE1465" s="1"/>
    </row>
    <row r="1466" spans="1:73">
      <c r="S1466" s="68"/>
      <c r="AE1466" s="1"/>
    </row>
    <row r="1467" spans="1:73">
      <c r="S1467" s="68"/>
      <c r="AE1467" s="1"/>
    </row>
    <row r="1468" spans="1:73">
      <c r="S1468" s="68"/>
      <c r="AE1468" s="1"/>
    </row>
    <row r="1469" spans="1:73">
      <c r="S1469" s="68"/>
      <c r="AE1469" s="1"/>
    </row>
    <row r="1470" spans="1:73">
      <c r="S1470" s="68"/>
      <c r="AE1470" s="1"/>
    </row>
    <row r="1471" spans="1:73">
      <c r="S1471" s="68"/>
      <c r="AE1471" s="1"/>
    </row>
    <row r="1472" spans="1:73">
      <c r="S1472" s="68"/>
      <c r="AE1472" s="1"/>
    </row>
    <row r="1473" spans="1:73">
      <c r="S1473" s="68"/>
      <c r="AE1473" s="1"/>
    </row>
    <row r="1474" spans="1:73">
      <c r="S1474" s="68"/>
      <c r="AE1474" s="1"/>
    </row>
    <row r="1475" spans="1:73">
      <c r="S1475" s="68"/>
      <c r="AE1475" s="1"/>
    </row>
    <row r="1476" spans="1:73">
      <c r="S1476" s="68"/>
      <c r="AE1476" s="1"/>
    </row>
    <row r="1477" spans="1:73">
      <c r="S1477" s="68"/>
      <c r="AE1477" s="1"/>
    </row>
    <row r="1478" spans="1:73">
      <c r="S1478" s="68"/>
      <c r="AE1478" s="1"/>
    </row>
    <row r="1479" spans="1:73">
      <c r="S1479" s="68"/>
      <c r="AE1479" s="1"/>
    </row>
    <row r="1480" spans="1:73">
      <c r="S1480" s="68"/>
      <c r="AE1480" s="1"/>
    </row>
    <row r="1481" spans="1:73">
      <c r="S1481" s="68"/>
      <c r="AE1481" s="1"/>
    </row>
    <row r="1482" spans="1:73">
      <c r="S1482" s="68"/>
      <c r="AE1482" s="1"/>
    </row>
    <row r="1483" spans="1:73">
      <c r="S1483" s="68"/>
      <c r="AE1483" s="1"/>
    </row>
    <row r="1484" spans="1:73">
      <c r="S1484" s="68"/>
      <c r="AE1484" s="1"/>
    </row>
    <row r="1485" spans="1:73">
      <c r="S1485" s="68"/>
      <c r="AE1485" s="1"/>
    </row>
    <row r="1486" spans="1:73">
      <c r="S1486" s="68"/>
      <c r="AE1486" s="1"/>
    </row>
    <row r="1487" spans="1:73">
      <c r="S1487" s="68"/>
      <c r="AE1487" s="1"/>
    </row>
    <row r="1488" spans="1:73">
      <c r="S1488" s="68"/>
      <c r="AE1488" s="1"/>
    </row>
    <row r="1489" spans="1:73">
      <c r="S1489" s="68"/>
      <c r="AE1489" s="1"/>
    </row>
    <row r="1490" spans="1:73">
      <c r="S1490" s="68"/>
      <c r="AE1490" s="1"/>
    </row>
    <row r="1491" spans="1:73">
      <c r="S1491" s="68"/>
      <c r="AE1491" s="1"/>
    </row>
    <row r="1492" spans="1:73">
      <c r="S1492" s="68"/>
      <c r="AE1492" s="1"/>
    </row>
    <row r="1493" spans="1:73">
      <c r="S1493" s="68"/>
      <c r="AE1493" s="1"/>
    </row>
    <row r="1494" spans="1:73">
      <c r="S1494" s="68"/>
      <c r="AE1494" s="1"/>
    </row>
    <row r="1495" spans="1:73">
      <c r="S1495" s="68"/>
      <c r="AE1495" s="1"/>
    </row>
    <row r="1496" spans="1:73">
      <c r="S1496" s="68"/>
      <c r="AE1496" s="1"/>
    </row>
    <row r="1497" spans="1:73">
      <c r="S1497" s="68"/>
      <c r="AE1497" s="1"/>
    </row>
    <row r="1498" spans="1:73">
      <c r="S1498" s="68"/>
      <c r="AE1498" s="1"/>
    </row>
    <row r="1499" spans="1:73">
      <c r="S1499" s="68"/>
      <c r="AE1499" s="1"/>
    </row>
    <row r="1500" spans="1:73">
      <c r="S1500" s="68"/>
      <c r="AE1500" s="1"/>
    </row>
    <row r="1501" spans="1:73">
      <c r="S1501" s="68"/>
      <c r="AE1501" s="1"/>
    </row>
    <row r="1502" spans="1:73">
      <c r="S1502" s="68"/>
      <c r="AE1502" s="1"/>
    </row>
    <row r="1503" spans="1:73">
      <c r="S1503" s="68"/>
      <c r="AE1503" s="1"/>
    </row>
    <row r="1504" spans="1:73">
      <c r="S1504" s="68"/>
      <c r="AE1504" s="1"/>
    </row>
    <row r="1505" spans="1:73">
      <c r="S1505" s="68"/>
      <c r="AE1505" s="1"/>
    </row>
    <row r="1506" spans="1:73">
      <c r="S1506" s="68"/>
      <c r="AE1506" s="1"/>
    </row>
    <row r="1507" spans="1:73">
      <c r="S1507" s="68"/>
      <c r="AE1507" s="1"/>
    </row>
    <row r="1508" spans="1:73">
      <c r="S1508" s="68"/>
      <c r="AE1508" s="1"/>
    </row>
    <row r="1509" spans="1:73">
      <c r="S1509" s="68"/>
      <c r="AE1509" s="1"/>
    </row>
    <row r="1510" spans="1:73">
      <c r="S1510" s="68"/>
      <c r="AE1510" s="1"/>
    </row>
    <row r="1511" spans="1:73">
      <c r="S1511" s="68"/>
      <c r="AE1511" s="1"/>
    </row>
    <row r="1512" spans="1:73">
      <c r="S1512" s="68"/>
      <c r="AE1512" s="1"/>
    </row>
    <row r="1513" spans="1:73">
      <c r="S1513" s="68"/>
      <c r="AE1513" s="1"/>
    </row>
    <row r="1514" spans="1:73">
      <c r="S1514" s="68"/>
      <c r="AE1514" s="1"/>
    </row>
    <row r="1515" spans="1:73">
      <c r="S1515" s="68"/>
      <c r="AE1515" s="1"/>
    </row>
    <row r="1516" spans="1:73">
      <c r="S1516" s="68"/>
      <c r="AE1516" s="1"/>
    </row>
    <row r="1517" spans="1:73">
      <c r="S1517" s="68"/>
      <c r="AE1517" s="1"/>
    </row>
    <row r="1518" spans="1:73">
      <c r="S1518" s="68"/>
      <c r="AE1518" s="1"/>
    </row>
    <row r="1519" spans="1:73">
      <c r="S1519" s="68"/>
      <c r="AE1519" s="1"/>
    </row>
    <row r="1520" spans="1:73">
      <c r="S1520" s="68"/>
      <c r="AE1520" s="1"/>
    </row>
    <row r="1521" spans="1:73">
      <c r="S1521" s="68"/>
      <c r="AE1521" s="1"/>
    </row>
    <row r="1522" spans="1:73">
      <c r="S1522" s="68"/>
      <c r="AE1522" s="1"/>
    </row>
    <row r="1523" spans="1:73">
      <c r="S1523" s="68"/>
      <c r="AE1523" s="1"/>
    </row>
    <row r="1524" spans="1:73">
      <c r="S1524" s="68"/>
      <c r="AE1524" s="1"/>
    </row>
    <row r="1525" spans="1:73">
      <c r="S1525" s="68"/>
      <c r="AE1525" s="1"/>
    </row>
    <row r="1526" spans="1:73">
      <c r="S1526" s="68"/>
      <c r="AE1526" s="1"/>
    </row>
    <row r="1527" spans="1:73">
      <c r="S1527" s="68"/>
      <c r="AE1527" s="1"/>
    </row>
    <row r="1528" spans="1:73">
      <c r="S1528" s="68"/>
      <c r="AE1528" s="1"/>
    </row>
    <row r="1529" spans="1:73">
      <c r="S1529" s="68"/>
      <c r="AE1529" s="1"/>
    </row>
    <row r="1530" spans="1:73">
      <c r="S1530" s="68"/>
      <c r="AE1530" s="1"/>
    </row>
    <row r="1531" spans="1:73">
      <c r="S1531" s="68"/>
      <c r="AE1531" s="1"/>
    </row>
    <row r="1532" spans="1:73">
      <c r="S1532" s="68"/>
      <c r="AE1532" s="1"/>
    </row>
    <row r="1533" spans="1:73">
      <c r="S1533" s="68"/>
      <c r="AE1533" s="1"/>
    </row>
    <row r="1534" spans="1:73">
      <c r="S1534" s="68"/>
      <c r="AE1534" s="1"/>
    </row>
    <row r="1535" spans="1:73">
      <c r="S1535" s="68"/>
      <c r="AE1535" s="1"/>
    </row>
    <row r="1536" spans="1:73">
      <c r="S1536" s="68"/>
      <c r="AE1536" s="1"/>
    </row>
    <row r="1537" spans="1:73">
      <c r="S1537" s="68"/>
      <c r="AE1537" s="1"/>
    </row>
    <row r="1538" spans="1:73">
      <c r="S1538" s="68"/>
      <c r="AE1538" s="1"/>
    </row>
    <row r="1539" spans="1:73">
      <c r="S1539" s="68"/>
      <c r="AE1539" s="1"/>
    </row>
    <row r="1540" spans="1:73">
      <c r="S1540" s="68"/>
      <c r="AE1540" s="1"/>
    </row>
    <row r="1541" spans="1:73">
      <c r="S1541" s="68"/>
      <c r="AE1541" s="1"/>
    </row>
    <row r="1542" spans="1:73">
      <c r="S1542" s="68"/>
      <c r="AE1542" s="1"/>
    </row>
    <row r="1543" spans="1:73">
      <c r="S1543" s="68"/>
      <c r="AE1543" s="1"/>
    </row>
    <row r="1544" spans="1:73">
      <c r="S1544" s="68"/>
      <c r="AE1544" s="1"/>
    </row>
    <row r="1545" spans="1:73">
      <c r="S1545" s="68"/>
      <c r="AE1545" s="1"/>
    </row>
    <row r="1546" spans="1:73">
      <c r="S1546" s="68"/>
      <c r="AE1546" s="1"/>
    </row>
    <row r="1547" spans="1:73">
      <c r="S1547" s="68"/>
      <c r="AE1547" s="1"/>
    </row>
    <row r="1548" spans="1:73">
      <c r="S1548" s="68"/>
      <c r="AE1548" s="1"/>
    </row>
    <row r="1549" spans="1:73">
      <c r="S1549" s="68"/>
      <c r="AE1549" s="1"/>
    </row>
    <row r="1550" spans="1:73">
      <c r="S1550" s="68"/>
      <c r="AE1550" s="1"/>
    </row>
    <row r="1551" spans="1:73">
      <c r="S1551" s="68"/>
      <c r="AE1551" s="1"/>
    </row>
    <row r="1552" spans="1:73">
      <c r="S1552" s="68"/>
      <c r="AE1552" s="1"/>
    </row>
    <row r="1553" spans="1:73">
      <c r="S1553" s="68"/>
      <c r="AE1553" s="1"/>
    </row>
    <row r="1554" spans="1:73">
      <c r="S1554" s="68"/>
      <c r="AE1554" s="1"/>
    </row>
    <row r="1555" spans="1:73">
      <c r="S1555" s="68"/>
      <c r="AE1555" s="1"/>
    </row>
    <row r="1556" spans="1:73">
      <c r="S1556" s="68"/>
      <c r="AE1556" s="1"/>
    </row>
    <row r="1557" spans="1:73">
      <c r="S1557" s="68"/>
      <c r="AE1557" s="1"/>
    </row>
    <row r="1558" spans="1:73">
      <c r="S1558" s="68"/>
      <c r="AE1558" s="1"/>
    </row>
    <row r="1559" spans="1:73">
      <c r="S1559" s="68"/>
      <c r="AE1559" s="1"/>
    </row>
    <row r="1560" spans="1:73">
      <c r="S1560" s="68"/>
      <c r="AE1560" s="1"/>
    </row>
    <row r="1561" spans="1:73">
      <c r="S1561" s="68"/>
      <c r="AE1561" s="1"/>
    </row>
    <row r="1562" spans="1:73">
      <c r="S1562" s="68"/>
      <c r="AE1562" s="1"/>
    </row>
    <row r="1563" spans="1:73">
      <c r="S1563" s="68"/>
      <c r="AE1563" s="1"/>
    </row>
    <row r="1564" spans="1:73">
      <c r="S1564" s="68"/>
      <c r="AE1564" s="1"/>
    </row>
    <row r="1565" spans="1:73">
      <c r="S1565" s="68"/>
      <c r="AE1565" s="1"/>
    </row>
    <row r="1566" spans="1:73">
      <c r="S1566" s="68"/>
      <c r="AE1566" s="1"/>
    </row>
    <row r="1567" spans="1:73">
      <c r="S1567" s="68"/>
      <c r="AE1567" s="1"/>
    </row>
    <row r="1568" spans="1:73">
      <c r="S1568" s="68"/>
      <c r="AE1568" s="1"/>
    </row>
    <row r="1569" spans="1:73">
      <c r="S1569" s="68"/>
      <c r="AE1569" s="1"/>
    </row>
    <row r="1570" spans="1:73">
      <c r="S1570" s="68"/>
      <c r="AE1570" s="1"/>
    </row>
    <row r="1571" spans="1:73">
      <c r="S1571" s="68"/>
      <c r="AE1571" s="1"/>
    </row>
    <row r="1572" spans="1:73">
      <c r="S1572" s="68"/>
      <c r="AE1572" s="1"/>
    </row>
    <row r="1573" spans="1:73">
      <c r="S1573" s="68"/>
      <c r="AE1573" s="1"/>
    </row>
    <row r="1574" spans="1:73">
      <c r="S1574" s="68"/>
      <c r="AE1574" s="1"/>
    </row>
    <row r="1575" spans="1:73">
      <c r="S1575" s="68"/>
      <c r="AE1575" s="1"/>
    </row>
    <row r="1576" spans="1:73">
      <c r="S1576" s="68"/>
      <c r="AE1576" s="1"/>
    </row>
    <row r="1577" spans="1:73">
      <c r="S1577" s="68"/>
      <c r="AE1577" s="1"/>
    </row>
    <row r="1578" spans="1:73">
      <c r="S1578" s="68"/>
      <c r="AE1578" s="1"/>
    </row>
    <row r="1579" spans="1:73">
      <c r="S1579" s="68"/>
      <c r="AE1579" s="1"/>
    </row>
    <row r="1580" spans="1:73">
      <c r="S1580" s="68"/>
      <c r="AE1580" s="1"/>
    </row>
    <row r="1581" spans="1:73">
      <c r="S1581" s="68"/>
      <c r="AE1581" s="1"/>
    </row>
    <row r="1582" spans="1:73">
      <c r="S1582" s="68"/>
      <c r="AE1582" s="1"/>
    </row>
    <row r="1583" spans="1:73">
      <c r="S1583" s="68"/>
      <c r="AE1583" s="1"/>
    </row>
    <row r="1584" spans="1:73">
      <c r="S1584" s="68"/>
      <c r="AE1584" s="1"/>
    </row>
    <row r="1585" spans="1:73">
      <c r="S1585" s="68"/>
      <c r="AE1585" s="1"/>
    </row>
    <row r="1586" spans="1:73">
      <c r="S1586" s="68"/>
      <c r="AE1586" s="1"/>
    </row>
    <row r="1587" spans="1:73">
      <c r="S1587" s="68"/>
      <c r="AE1587" s="1"/>
    </row>
    <row r="1588" spans="1:73">
      <c r="S1588" s="68"/>
      <c r="AE1588" s="1"/>
    </row>
    <row r="1589" spans="1:73">
      <c r="S1589" s="68"/>
      <c r="AE1589" s="1"/>
    </row>
    <row r="1590" spans="1:73">
      <c r="S1590" s="68"/>
      <c r="AE1590" s="1"/>
    </row>
    <row r="1591" spans="1:73">
      <c r="S1591" s="68"/>
      <c r="AE1591" s="1"/>
    </row>
    <row r="1592" spans="1:73">
      <c r="S1592" s="68"/>
      <c r="AE1592" s="1"/>
    </row>
    <row r="1593" spans="1:73">
      <c r="S1593" s="68"/>
      <c r="AE1593" s="1"/>
    </row>
    <row r="1594" spans="1:73">
      <c r="S1594" s="68"/>
      <c r="AE1594" s="1"/>
    </row>
    <row r="1595" spans="1:73">
      <c r="S1595" s="68"/>
      <c r="AE1595" s="1"/>
    </row>
    <row r="1596" spans="1:73">
      <c r="S1596" s="68"/>
      <c r="AE1596" s="1"/>
    </row>
    <row r="1597" spans="1:73">
      <c r="S1597" s="68"/>
      <c r="AE1597" s="1"/>
    </row>
    <row r="1598" spans="1:73">
      <c r="S1598" s="68"/>
      <c r="AE1598" s="1"/>
    </row>
    <row r="1599" spans="1:73">
      <c r="S1599" s="68"/>
      <c r="AE1599" s="1"/>
    </row>
    <row r="1600" spans="1:73">
      <c r="S1600" s="68"/>
      <c r="AE1600" s="1"/>
    </row>
    <row r="1601" spans="1:73">
      <c r="S1601" s="68"/>
      <c r="AE1601" s="1"/>
    </row>
    <row r="1602" spans="1:73">
      <c r="S1602" s="68"/>
      <c r="AE1602" s="1"/>
    </row>
    <row r="1603" spans="1:73">
      <c r="S1603" s="68"/>
      <c r="AE1603" s="1"/>
    </row>
    <row r="1604" spans="1:73">
      <c r="S1604" s="68"/>
      <c r="AE1604" s="1"/>
    </row>
    <row r="1605" spans="1:73">
      <c r="S1605" s="68"/>
      <c r="AE1605" s="1"/>
    </row>
    <row r="1606" spans="1:73">
      <c r="S1606" s="68"/>
      <c r="AE1606" s="1"/>
    </row>
    <row r="1607" spans="1:73">
      <c r="S1607" s="68"/>
      <c r="AE1607" s="1"/>
    </row>
    <row r="1608" spans="1:73">
      <c r="S1608" s="68"/>
      <c r="AE1608" s="1"/>
    </row>
    <row r="1609" spans="1:73">
      <c r="S1609" s="68"/>
      <c r="AE1609" s="1"/>
    </row>
    <row r="1610" spans="1:73">
      <c r="S1610" s="68"/>
      <c r="AE1610" s="1"/>
    </row>
    <row r="1611" spans="1:73">
      <c r="S1611" s="68"/>
      <c r="AE1611" s="1"/>
    </row>
    <row r="1612" spans="1:73">
      <c r="S1612" s="68"/>
      <c r="AE1612" s="1"/>
    </row>
    <row r="1613" spans="1:73">
      <c r="S1613" s="68"/>
      <c r="AE1613" s="1"/>
    </row>
    <row r="1614" spans="1:73">
      <c r="S1614" s="68"/>
      <c r="AE1614" s="1"/>
    </row>
    <row r="1615" spans="1:73">
      <c r="S1615" s="68"/>
      <c r="AE1615" s="1"/>
    </row>
    <row r="1616" spans="1:73">
      <c r="S1616" s="68"/>
      <c r="AE1616" s="1"/>
    </row>
    <row r="1617" spans="1:73">
      <c r="S1617" s="68"/>
      <c r="AE1617" s="1"/>
    </row>
    <row r="1618" spans="1:73">
      <c r="S1618" s="68"/>
      <c r="AE1618" s="1"/>
    </row>
    <row r="1619" spans="1:73">
      <c r="S1619" s="68"/>
      <c r="AE1619" s="1"/>
    </row>
    <row r="1620" spans="1:73">
      <c r="S1620" s="68"/>
      <c r="AE1620" s="1"/>
    </row>
    <row r="1621" spans="1:73">
      <c r="S1621" s="68"/>
      <c r="AE1621" s="1"/>
    </row>
    <row r="1622" spans="1:73">
      <c r="S1622" s="68"/>
      <c r="AE1622" s="1"/>
    </row>
    <row r="1623" spans="1:73">
      <c r="S1623" s="68"/>
      <c r="AE1623" s="1"/>
    </row>
    <row r="1624" spans="1:73">
      <c r="S1624" s="68"/>
      <c r="AE1624" s="1"/>
    </row>
    <row r="1625" spans="1:73">
      <c r="S1625" s="68"/>
      <c r="AE1625" s="1"/>
    </row>
    <row r="1626" spans="1:73">
      <c r="S1626" s="68"/>
      <c r="AE1626" s="1"/>
    </row>
    <row r="1627" spans="1:73">
      <c r="S1627" s="68"/>
      <c r="AE1627" s="1"/>
    </row>
    <row r="1628" spans="1:73">
      <c r="S1628" s="68"/>
      <c r="AE1628" s="1"/>
    </row>
    <row r="1629" spans="1:73">
      <c r="S1629" s="68"/>
      <c r="AE1629" s="1"/>
    </row>
    <row r="1630" spans="1:73">
      <c r="S1630" s="68"/>
      <c r="AE1630" s="1"/>
    </row>
    <row r="1631" spans="1:73">
      <c r="S1631" s="68"/>
      <c r="AE1631" s="1"/>
    </row>
    <row r="1632" spans="1:73">
      <c r="S1632" s="68"/>
      <c r="AE1632" s="1"/>
    </row>
    <row r="1633" spans="1:73">
      <c r="S1633" s="68"/>
      <c r="AE1633" s="1"/>
    </row>
    <row r="1634" spans="1:73">
      <c r="S1634" s="68"/>
      <c r="AE1634" s="1"/>
    </row>
    <row r="1635" spans="1:73">
      <c r="S1635" s="68"/>
      <c r="AE1635" s="1"/>
    </row>
    <row r="1636" spans="1:73">
      <c r="S1636" s="68"/>
      <c r="AE1636" s="1"/>
    </row>
    <row r="1637" spans="1:73">
      <c r="S1637" s="68"/>
      <c r="AE1637" s="1"/>
    </row>
    <row r="1638" spans="1:73">
      <c r="S1638" s="68"/>
      <c r="AE1638" s="1"/>
    </row>
    <row r="1639" spans="1:73">
      <c r="S1639" s="68"/>
      <c r="AE1639" s="1"/>
    </row>
    <row r="1640" spans="1:73">
      <c r="S1640" s="68"/>
      <c r="AE1640" s="1"/>
    </row>
    <row r="1641" spans="1:73">
      <c r="S1641" s="68"/>
      <c r="AE1641" s="1"/>
    </row>
    <row r="1642" spans="1:73">
      <c r="S1642" s="68"/>
      <c r="AE1642" s="1"/>
    </row>
    <row r="1643" spans="1:73">
      <c r="S1643" s="68"/>
      <c r="AE1643" s="1"/>
    </row>
    <row r="1644" spans="1:73">
      <c r="S1644" s="68"/>
      <c r="AE1644" s="1"/>
    </row>
    <row r="1645" spans="1:73">
      <c r="S1645" s="68"/>
      <c r="AE1645" s="1"/>
    </row>
    <row r="1646" spans="1:73">
      <c r="S1646" s="68"/>
      <c r="AE1646" s="1"/>
    </row>
    <row r="1647" spans="1:73">
      <c r="S1647" s="68"/>
      <c r="AE1647" s="1"/>
    </row>
    <row r="1648" spans="1:73">
      <c r="S1648" s="68"/>
      <c r="AE1648" s="1"/>
    </row>
    <row r="1649" spans="1:73">
      <c r="S1649" s="68"/>
      <c r="AE1649" s="1"/>
    </row>
    <row r="1650" spans="1:73">
      <c r="S1650" s="68"/>
      <c r="AE1650" s="1"/>
    </row>
    <row r="1651" spans="1:73">
      <c r="S1651" s="68"/>
      <c r="AE1651" s="1"/>
    </row>
    <row r="1652" spans="1:73">
      <c r="S1652" s="68"/>
      <c r="AE1652" s="1"/>
    </row>
    <row r="1653" spans="1:73">
      <c r="S1653" s="68"/>
      <c r="AE1653" s="1"/>
    </row>
    <row r="1654" spans="1:73">
      <c r="S1654" s="68"/>
      <c r="AE1654" s="1"/>
    </row>
    <row r="1655" spans="1:73">
      <c r="S1655" s="68"/>
      <c r="AE1655" s="1"/>
    </row>
    <row r="1656" spans="1:73">
      <c r="S1656" s="68"/>
      <c r="AE1656" s="1"/>
    </row>
    <row r="1657" spans="1:73">
      <c r="S1657" s="68"/>
      <c r="AE1657" s="1"/>
    </row>
    <row r="1658" spans="1:73">
      <c r="S1658" s="68"/>
      <c r="AE1658" s="1"/>
    </row>
    <row r="1659" spans="1:73">
      <c r="S1659" s="68"/>
      <c r="AE1659" s="1"/>
    </row>
    <row r="1660" spans="1:73">
      <c r="S1660" s="68"/>
      <c r="AE1660" s="1"/>
    </row>
    <row r="1661" spans="1:73">
      <c r="S1661" s="68"/>
      <c r="AE1661" s="1"/>
    </row>
    <row r="1662" spans="1:73">
      <c r="S1662" s="68"/>
      <c r="AE1662" s="1"/>
    </row>
    <row r="1663" spans="1:73">
      <c r="S1663" s="68"/>
      <c r="AE1663" s="1"/>
    </row>
    <row r="1664" spans="1:73">
      <c r="S1664" s="68"/>
      <c r="AE1664" s="1"/>
    </row>
    <row r="1665" spans="1:73">
      <c r="S1665" s="68"/>
      <c r="AE1665" s="1"/>
    </row>
    <row r="1666" spans="1:73">
      <c r="S1666" s="68"/>
      <c r="AE1666" s="1"/>
    </row>
    <row r="1667" spans="1:73">
      <c r="S1667" s="68"/>
      <c r="AE1667" s="1"/>
    </row>
    <row r="1668" spans="1:73">
      <c r="S1668" s="68"/>
      <c r="AE1668" s="1"/>
    </row>
    <row r="1669" spans="1:73">
      <c r="S1669" s="68"/>
      <c r="AE1669" s="1"/>
    </row>
    <row r="1670" spans="1:73">
      <c r="S1670" s="68"/>
      <c r="AE1670" s="1"/>
    </row>
    <row r="1671" spans="1:73">
      <c r="S1671" s="68"/>
      <c r="AE1671" s="1"/>
    </row>
    <row r="1672" spans="1:73">
      <c r="S1672" s="68"/>
      <c r="AE1672" s="1"/>
    </row>
    <row r="1673" spans="1:73">
      <c r="S1673" s="68"/>
      <c r="AE1673" s="1"/>
    </row>
    <row r="1674" spans="1:73">
      <c r="S1674" s="68"/>
      <c r="AE1674" s="1"/>
    </row>
    <row r="1675" spans="1:73">
      <c r="S1675" s="68"/>
      <c r="AE1675" s="1"/>
    </row>
    <row r="1676" spans="1:73">
      <c r="S1676" s="68"/>
      <c r="AE1676" s="1"/>
    </row>
    <row r="1677" spans="1:73">
      <c r="S1677" s="68"/>
      <c r="AE1677" s="1"/>
    </row>
    <row r="1678" spans="1:73">
      <c r="S1678" s="68"/>
      <c r="AE1678" s="1"/>
    </row>
    <row r="1679" spans="1:73">
      <c r="S1679" s="68"/>
      <c r="AE1679" s="1"/>
    </row>
    <row r="1680" spans="1:73">
      <c r="S1680" s="68"/>
      <c r="AE1680" s="1"/>
    </row>
    <row r="1681" spans="1:73">
      <c r="S1681" s="68"/>
      <c r="AE1681" s="1"/>
    </row>
    <row r="1682" spans="1:73">
      <c r="S1682" s="68"/>
      <c r="AE1682" s="1"/>
    </row>
    <row r="1683" spans="1:73">
      <c r="S1683" s="68"/>
      <c r="AE1683" s="1"/>
    </row>
    <row r="1684" spans="1:73">
      <c r="S1684" s="68"/>
      <c r="AE1684" s="1"/>
    </row>
    <row r="1685" spans="1:73">
      <c r="S1685" s="68"/>
      <c r="AE1685" s="1"/>
    </row>
    <row r="1686" spans="1:73">
      <c r="S1686" s="68"/>
      <c r="AE1686" s="1"/>
    </row>
    <row r="1687" spans="1:73">
      <c r="S1687" s="68"/>
      <c r="AE1687" s="1"/>
    </row>
    <row r="1688" spans="1:73">
      <c r="S1688" s="68"/>
      <c r="AE1688" s="1"/>
    </row>
    <row r="1689" spans="1:73">
      <c r="S1689" s="68"/>
      <c r="AE1689" s="1"/>
    </row>
    <row r="1690" spans="1:73">
      <c r="S1690" s="68"/>
      <c r="AE1690" s="1"/>
    </row>
    <row r="1691" spans="1:73">
      <c r="S1691" s="68"/>
      <c r="AE1691" s="1"/>
    </row>
    <row r="1692" spans="1:73">
      <c r="S1692" s="68"/>
      <c r="AE1692" s="1"/>
    </row>
    <row r="1693" spans="1:73">
      <c r="S1693" s="68"/>
      <c r="AE1693" s="1"/>
    </row>
    <row r="1694" spans="1:73">
      <c r="S1694" s="68"/>
      <c r="AE1694" s="1"/>
    </row>
    <row r="1695" spans="1:73">
      <c r="S1695" s="68"/>
      <c r="AE1695" s="1"/>
    </row>
    <row r="1696" spans="1:73">
      <c r="S1696" s="68"/>
      <c r="AE1696" s="1"/>
    </row>
    <row r="1697" spans="1:73">
      <c r="S1697" s="68"/>
      <c r="AE1697" s="1"/>
    </row>
    <row r="1698" spans="1:73">
      <c r="S1698" s="68"/>
      <c r="AE1698" s="1"/>
    </row>
    <row r="1699" spans="1:73">
      <c r="S1699" s="68"/>
      <c r="AE1699" s="1"/>
    </row>
    <row r="1700" spans="1:73">
      <c r="S1700" s="68"/>
      <c r="AE1700" s="1"/>
    </row>
    <row r="1701" spans="1:73">
      <c r="S1701" s="68"/>
      <c r="AE1701" s="1"/>
    </row>
    <row r="1702" spans="1:73">
      <c r="S1702" s="68"/>
      <c r="AE1702" s="1"/>
    </row>
    <row r="1703" spans="1:73">
      <c r="S1703" s="68"/>
      <c r="AE1703" s="1"/>
    </row>
    <row r="1704" spans="1:73">
      <c r="S1704" s="68"/>
      <c r="AE1704" s="1"/>
    </row>
    <row r="1705" spans="1:73">
      <c r="S1705" s="68"/>
      <c r="AE1705" s="1"/>
    </row>
    <row r="1706" spans="1:73">
      <c r="S1706" s="68"/>
      <c r="AE1706" s="1"/>
    </row>
    <row r="1707" spans="1:73">
      <c r="S1707" s="68"/>
      <c r="AE1707" s="1"/>
    </row>
    <row r="1708" spans="1:73">
      <c r="S1708" s="68"/>
      <c r="AE1708" s="1"/>
    </row>
    <row r="1709" spans="1:73">
      <c r="S1709" s="68"/>
      <c r="AE1709" s="1"/>
    </row>
    <row r="1710" spans="1:73">
      <c r="S1710" s="68"/>
      <c r="AE1710" s="1"/>
    </row>
    <row r="1711" spans="1:73">
      <c r="S1711" s="68"/>
      <c r="AE1711" s="1"/>
    </row>
    <row r="1712" spans="1:73">
      <c r="S1712" s="68"/>
      <c r="AE1712" s="1"/>
    </row>
    <row r="1713" spans="1:73">
      <c r="S1713" s="68"/>
      <c r="AE1713" s="1"/>
    </row>
    <row r="1714" spans="1:73">
      <c r="S1714" s="68"/>
      <c r="AE1714" s="1"/>
    </row>
    <row r="1715" spans="1:73">
      <c r="S1715" s="68"/>
      <c r="AE1715" s="1"/>
    </row>
    <row r="1716" spans="1:73">
      <c r="S1716" s="68"/>
      <c r="AE1716" s="1"/>
    </row>
    <row r="1717" spans="1:73">
      <c r="S1717" s="68"/>
      <c r="AE1717" s="1"/>
    </row>
    <row r="1718" spans="1:73">
      <c r="S1718" s="68"/>
      <c r="AE1718" s="1"/>
    </row>
    <row r="1719" spans="1:73">
      <c r="S1719" s="68"/>
      <c r="AE1719" s="1"/>
    </row>
    <row r="1720" spans="1:73">
      <c r="S1720" s="68"/>
      <c r="AE1720" s="1"/>
    </row>
    <row r="1721" spans="1:73">
      <c r="S1721" s="68"/>
      <c r="AE1721" s="1"/>
    </row>
    <row r="1722" spans="1:73">
      <c r="S1722" s="68"/>
      <c r="AE1722" s="1"/>
    </row>
    <row r="1723" spans="1:73">
      <c r="S1723" s="68"/>
      <c r="AE1723" s="1"/>
    </row>
    <row r="1724" spans="1:73">
      <c r="S1724" s="68"/>
      <c r="AE1724" s="1"/>
    </row>
    <row r="1725" spans="1:73">
      <c r="S1725" s="68"/>
      <c r="AE1725" s="1"/>
    </row>
    <row r="1726" spans="1:73">
      <c r="S1726" s="68"/>
      <c r="AE1726" s="1"/>
    </row>
    <row r="1727" spans="1:73">
      <c r="S1727" s="68"/>
      <c r="AE1727" s="1"/>
    </row>
    <row r="1728" spans="1:73">
      <c r="S1728" s="68"/>
      <c r="AE1728" s="1"/>
    </row>
    <row r="1729" spans="1:73">
      <c r="S1729" s="68"/>
      <c r="AE1729" s="1"/>
    </row>
    <row r="1730" spans="1:73">
      <c r="S1730" s="68"/>
      <c r="AE1730" s="1"/>
    </row>
    <row r="1731" spans="1:73">
      <c r="S1731" s="68"/>
      <c r="AE1731" s="1"/>
    </row>
    <row r="1732" spans="1:73">
      <c r="S1732" s="68"/>
      <c r="AE1732" s="1"/>
    </row>
    <row r="1733" spans="1:73">
      <c r="S1733" s="68"/>
      <c r="AE1733" s="1"/>
    </row>
    <row r="1734" spans="1:73">
      <c r="S1734" s="68"/>
      <c r="AE1734" s="1"/>
    </row>
    <row r="1735" spans="1:73">
      <c r="S1735" s="68"/>
      <c r="AE1735" s="1"/>
    </row>
    <row r="1736" spans="1:73">
      <c r="S1736" s="68"/>
      <c r="AE1736" s="1"/>
    </row>
    <row r="1737" spans="1:73">
      <c r="S1737" s="68"/>
      <c r="AE1737" s="1"/>
    </row>
    <row r="1738" spans="1:73">
      <c r="S1738" s="68"/>
      <c r="AE1738" s="1"/>
    </row>
    <row r="1739" spans="1:73">
      <c r="S1739" s="68"/>
      <c r="AE1739" s="1"/>
    </row>
    <row r="1740" spans="1:73">
      <c r="S1740" s="68"/>
      <c r="AE1740" s="1"/>
    </row>
    <row r="1741" spans="1:73">
      <c r="S1741" s="68"/>
      <c r="AE1741" s="1"/>
    </row>
    <row r="1742" spans="1:73">
      <c r="S1742" s="68"/>
      <c r="AE1742" s="1"/>
    </row>
    <row r="1743" spans="1:73">
      <c r="S1743" s="68"/>
      <c r="AE1743" s="1"/>
    </row>
    <row r="1744" spans="1:73">
      <c r="S1744" s="68"/>
      <c r="AE1744" s="1"/>
    </row>
    <row r="1745" spans="1:73">
      <c r="S1745" s="68"/>
      <c r="AE1745" s="1"/>
    </row>
    <row r="1746" spans="1:73">
      <c r="S1746" s="68"/>
      <c r="AE1746" s="1"/>
    </row>
    <row r="1747" spans="1:73">
      <c r="S1747" s="68"/>
      <c r="AE1747" s="1"/>
    </row>
    <row r="1748" spans="1:73">
      <c r="S1748" s="68"/>
      <c r="AE1748" s="1"/>
    </row>
    <row r="1749" spans="1:73">
      <c r="S1749" s="68"/>
      <c r="AE1749" s="1"/>
    </row>
    <row r="1750" spans="1:73">
      <c r="S1750" s="68"/>
      <c r="AE1750" s="1"/>
    </row>
    <row r="1751" spans="1:73">
      <c r="S1751" s="68"/>
      <c r="AE1751" s="1"/>
    </row>
    <row r="1752" spans="1:73">
      <c r="S1752" s="68"/>
      <c r="AE1752" s="1"/>
    </row>
    <row r="1753" spans="1:73">
      <c r="S1753" s="68"/>
      <c r="AE1753" s="1"/>
    </row>
    <row r="1754" spans="1:73">
      <c r="S1754" s="68"/>
      <c r="AE1754" s="1"/>
    </row>
    <row r="1755" spans="1:73">
      <c r="S1755" s="68"/>
      <c r="AE1755" s="1"/>
    </row>
    <row r="1756" spans="1:73">
      <c r="S1756" s="68"/>
      <c r="AE1756" s="1"/>
    </row>
    <row r="1757" spans="1:73">
      <c r="S1757" s="68"/>
      <c r="AE1757" s="1"/>
    </row>
    <row r="1758" spans="1:73">
      <c r="S1758" s="68"/>
      <c r="AE1758" s="1"/>
    </row>
    <row r="1759" spans="1:73">
      <c r="S1759" s="68"/>
      <c r="AE1759" s="1"/>
    </row>
    <row r="1760" spans="1:73">
      <c r="S1760" s="68"/>
      <c r="AE1760" s="1"/>
    </row>
    <row r="1761" spans="1:73">
      <c r="S1761" s="68"/>
      <c r="AE1761" s="1"/>
    </row>
    <row r="1762" spans="1:73">
      <c r="S1762" s="68"/>
      <c r="AE1762" s="1"/>
    </row>
    <row r="1763" spans="1:73">
      <c r="S1763" s="68"/>
      <c r="AE1763" s="1"/>
    </row>
    <row r="1764" spans="1:73">
      <c r="S1764" s="68"/>
      <c r="AE1764" s="1"/>
    </row>
    <row r="1765" spans="1:73">
      <c r="S1765" s="68"/>
      <c r="AE1765" s="1"/>
    </row>
    <row r="1766" spans="1:73">
      <c r="S1766" s="68"/>
      <c r="AE1766" s="1"/>
    </row>
    <row r="1767" spans="1:73">
      <c r="S1767" s="68"/>
      <c r="AE1767" s="1"/>
    </row>
    <row r="1768" spans="1:73">
      <c r="S1768" s="68"/>
      <c r="AE1768" s="1"/>
    </row>
    <row r="1769" spans="1:73">
      <c r="S1769" s="68"/>
      <c r="AE1769" s="1"/>
    </row>
    <row r="1770" spans="1:73">
      <c r="S1770" s="68"/>
      <c r="AE1770" s="1"/>
    </row>
    <row r="1771" spans="1:73">
      <c r="S1771" s="68"/>
      <c r="AE1771" s="1"/>
    </row>
    <row r="1772" spans="1:73">
      <c r="S1772" s="68"/>
      <c r="AE1772" s="1"/>
    </row>
    <row r="1773" spans="1:73">
      <c r="S1773" s="68"/>
      <c r="AE1773" s="1"/>
    </row>
    <row r="1774" spans="1:73">
      <c r="S1774" s="68"/>
      <c r="AE1774" s="1"/>
    </row>
    <row r="1775" spans="1:73">
      <c r="S1775" s="68"/>
      <c r="AE1775" s="1"/>
    </row>
    <row r="1776" spans="1:73">
      <c r="S1776" s="68"/>
      <c r="AE1776" s="1"/>
    </row>
    <row r="1777" spans="1:73">
      <c r="S1777" s="68"/>
      <c r="AE1777" s="1"/>
    </row>
    <row r="1778" spans="1:73">
      <c r="S1778" s="68"/>
      <c r="AE1778" s="1"/>
    </row>
    <row r="1779" spans="1:73">
      <c r="S1779" s="68"/>
      <c r="AE1779" s="1"/>
    </row>
    <row r="1780" spans="1:73">
      <c r="S1780" s="68"/>
      <c r="AE1780" s="1"/>
    </row>
    <row r="1781" spans="1:73">
      <c r="S1781" s="68"/>
      <c r="AE1781" s="1"/>
    </row>
    <row r="1782" spans="1:73">
      <c r="S1782" s="68"/>
      <c r="AE1782" s="1"/>
    </row>
    <row r="1783" spans="1:73">
      <c r="S1783" s="68"/>
      <c r="AE1783" s="1"/>
    </row>
    <row r="1784" spans="1:73">
      <c r="S1784" s="68"/>
      <c r="AE1784" s="1"/>
    </row>
    <row r="1785" spans="1:73">
      <c r="S1785" s="68"/>
      <c r="AE1785" s="1"/>
    </row>
    <row r="1786" spans="1:73">
      <c r="S1786" s="68"/>
      <c r="AE1786" s="1"/>
    </row>
    <row r="1787" spans="1:73">
      <c r="S1787" s="68"/>
      <c r="AE1787" s="1"/>
    </row>
    <row r="1788" spans="1:73">
      <c r="S1788" s="68"/>
      <c r="AE1788" s="1"/>
    </row>
    <row r="1789" spans="1:73">
      <c r="S1789" s="68"/>
      <c r="AE1789" s="1"/>
    </row>
    <row r="1790" spans="1:73">
      <c r="S1790" s="68"/>
      <c r="AE1790" s="1"/>
    </row>
    <row r="1791" spans="1:73">
      <c r="S1791" s="68"/>
      <c r="AE1791" s="1"/>
    </row>
    <row r="1792" spans="1:73">
      <c r="S1792" s="68"/>
      <c r="AE1792" s="1"/>
    </row>
    <row r="1793" spans="1:73">
      <c r="S1793" s="68"/>
      <c r="AE1793" s="1"/>
    </row>
    <row r="1794" spans="1:73">
      <c r="S1794" s="68"/>
      <c r="AE1794" s="1"/>
    </row>
    <row r="1795" spans="1:73">
      <c r="S1795" s="68"/>
      <c r="AE1795" s="1"/>
    </row>
    <row r="1796" spans="1:73">
      <c r="S1796" s="68"/>
      <c r="AE1796" s="1"/>
    </row>
    <row r="1797" spans="1:73">
      <c r="S1797" s="68"/>
      <c r="AE1797" s="1"/>
    </row>
    <row r="1798" spans="1:73">
      <c r="S1798" s="68"/>
      <c r="AE1798" s="1"/>
    </row>
    <row r="1799" spans="1:73">
      <c r="S1799" s="68"/>
      <c r="AE1799" s="1"/>
    </row>
    <row r="1800" spans="1:73">
      <c r="S1800" s="68"/>
      <c r="AE1800" s="1"/>
    </row>
    <row r="1801" spans="1:73">
      <c r="S1801" s="68"/>
      <c r="AE1801" s="1"/>
    </row>
    <row r="1802" spans="1:73">
      <c r="S1802" s="68"/>
      <c r="AE1802" s="1"/>
    </row>
    <row r="1803" spans="1:73">
      <c r="S1803" s="68"/>
      <c r="AE1803" s="1"/>
    </row>
    <row r="1804" spans="1:73">
      <c r="S1804" s="68"/>
      <c r="AE1804" s="1"/>
    </row>
    <row r="1805" spans="1:73">
      <c r="S1805" s="68"/>
      <c r="AE1805" s="1"/>
    </row>
    <row r="1806" spans="1:73">
      <c r="S1806" s="68"/>
      <c r="AE1806" s="1"/>
    </row>
    <row r="1807" spans="1:73">
      <c r="S1807" s="68"/>
      <c r="AE1807" s="1"/>
    </row>
    <row r="1808" spans="1:73">
      <c r="S1808" s="68"/>
      <c r="AE1808" s="1"/>
    </row>
    <row r="1809" spans="1:73">
      <c r="S1809" s="68"/>
      <c r="AE1809" s="1"/>
    </row>
    <row r="1810" spans="1:73">
      <c r="S1810" s="68"/>
      <c r="AE1810" s="1"/>
    </row>
    <row r="1811" spans="1:73">
      <c r="S1811" s="68"/>
      <c r="AE1811" s="1"/>
    </row>
    <row r="1812" spans="1:73">
      <c r="S1812" s="68"/>
      <c r="AE1812" s="1"/>
    </row>
    <row r="1813" spans="1:73">
      <c r="S1813" s="68"/>
      <c r="AE1813" s="1"/>
    </row>
    <row r="1814" spans="1:73">
      <c r="S1814" s="68"/>
      <c r="AE1814" s="1"/>
    </row>
    <row r="1815" spans="1:73">
      <c r="S1815" s="68"/>
      <c r="AE1815" s="1"/>
    </row>
    <row r="1816" spans="1:73">
      <c r="S1816" s="68"/>
      <c r="AE1816" s="1"/>
    </row>
    <row r="1817" spans="1:73">
      <c r="S1817" s="68"/>
      <c r="AE1817" s="1"/>
    </row>
    <row r="1818" spans="1:73">
      <c r="S1818" s="68"/>
      <c r="AE1818" s="1"/>
    </row>
    <row r="1819" spans="1:73">
      <c r="S1819" s="68"/>
      <c r="AE1819" s="1"/>
    </row>
    <row r="1820" spans="1:73">
      <c r="S1820" s="68"/>
      <c r="AE1820" s="1"/>
    </row>
    <row r="1821" spans="1:73">
      <c r="S1821" s="68"/>
      <c r="AE1821" s="1"/>
    </row>
    <row r="1822" spans="1:73">
      <c r="S1822" s="68"/>
      <c r="AE1822" s="1"/>
    </row>
    <row r="1823" spans="1:73">
      <c r="S1823" s="68"/>
      <c r="AE1823" s="1"/>
    </row>
    <row r="1824" spans="1:73">
      <c r="S1824" s="68"/>
      <c r="AE1824" s="1"/>
    </row>
    <row r="1825" spans="1:73">
      <c r="S1825" s="68"/>
      <c r="AE1825" s="1"/>
    </row>
    <row r="1826" spans="1:73">
      <c r="S1826" s="68"/>
      <c r="AE1826" s="1"/>
    </row>
    <row r="1827" spans="1:73">
      <c r="S1827" s="68"/>
      <c r="AE1827" s="1"/>
    </row>
    <row r="1828" spans="1:73">
      <c r="S1828" s="68"/>
      <c r="AE1828" s="1"/>
    </row>
    <row r="1829" spans="1:73">
      <c r="S1829" s="68"/>
      <c r="AE1829" s="1"/>
    </row>
    <row r="1830" spans="1:73">
      <c r="S1830" s="68"/>
      <c r="AE1830" s="1"/>
    </row>
    <row r="1831" spans="1:73">
      <c r="S1831" s="68"/>
      <c r="AE1831" s="1"/>
    </row>
    <row r="1832" spans="1:73">
      <c r="S1832" s="68"/>
      <c r="AE1832" s="1"/>
    </row>
    <row r="1833" spans="1:73">
      <c r="S1833" s="68"/>
      <c r="AE1833" s="1"/>
    </row>
    <row r="1834" spans="1:73">
      <c r="S1834" s="68"/>
      <c r="AE1834" s="1"/>
    </row>
    <row r="1835" spans="1:73">
      <c r="S1835" s="68"/>
      <c r="AE1835" s="1"/>
    </row>
    <row r="1836" spans="1:73">
      <c r="S1836" s="68"/>
      <c r="AE1836" s="1"/>
    </row>
    <row r="1837" spans="1:73">
      <c r="S1837" s="68"/>
      <c r="AE1837" s="1"/>
    </row>
    <row r="1838" spans="1:73">
      <c r="S1838" s="68"/>
      <c r="AE1838" s="1"/>
    </row>
    <row r="1839" spans="1:73">
      <c r="S1839" s="68"/>
      <c r="AE1839" s="1"/>
    </row>
    <row r="1840" spans="1:73">
      <c r="S1840" s="68"/>
      <c r="AE1840" s="1"/>
    </row>
    <row r="1841" spans="1:73">
      <c r="S1841" s="68"/>
      <c r="AE1841" s="1"/>
    </row>
    <row r="1842" spans="1:73">
      <c r="S1842" s="68"/>
      <c r="AE1842" s="1"/>
    </row>
    <row r="1843" spans="1:73">
      <c r="S1843" s="68"/>
      <c r="AE1843" s="1"/>
    </row>
    <row r="1844" spans="1:73">
      <c r="S1844" s="68"/>
      <c r="AE1844" s="1"/>
    </row>
    <row r="1845" spans="1:73">
      <c r="S1845" s="68"/>
      <c r="AE1845" s="1"/>
    </row>
    <row r="1846" spans="1:73">
      <c r="S1846" s="68"/>
      <c r="AE1846" s="1"/>
    </row>
    <row r="1847" spans="1:73">
      <c r="S1847" s="68"/>
      <c r="AE1847" s="1"/>
    </row>
    <row r="1848" spans="1:73">
      <c r="S1848" s="68"/>
      <c r="AE1848" s="1"/>
    </row>
    <row r="1849" spans="1:73">
      <c r="S1849" s="68"/>
      <c r="AE1849" s="1"/>
    </row>
    <row r="1850" spans="1:73">
      <c r="S1850" s="68"/>
      <c r="AE1850" s="1"/>
    </row>
    <row r="1851" spans="1:73">
      <c r="S1851" s="68"/>
      <c r="AE1851" s="1"/>
    </row>
    <row r="1852" spans="1:73">
      <c r="S1852" s="68"/>
      <c r="AE1852" s="1"/>
    </row>
    <row r="1853" spans="1:73">
      <c r="S1853" s="68"/>
      <c r="AE1853" s="1"/>
    </row>
    <row r="1854" spans="1:73">
      <c r="S1854" s="68"/>
      <c r="AE1854" s="1"/>
    </row>
    <row r="1855" spans="1:73">
      <c r="S1855" s="68"/>
      <c r="AE1855" s="1"/>
    </row>
    <row r="1856" spans="1:73">
      <c r="S1856" s="68"/>
      <c r="AE1856" s="1"/>
    </row>
    <row r="1857" spans="1:73">
      <c r="S1857" s="68"/>
      <c r="AE1857" s="1"/>
    </row>
    <row r="1858" spans="1:73">
      <c r="S1858" s="68"/>
      <c r="AE1858" s="1"/>
    </row>
    <row r="1859" spans="1:73">
      <c r="S1859" s="68"/>
      <c r="AE1859" s="1"/>
    </row>
    <row r="1860" spans="1:73">
      <c r="S1860" s="68"/>
      <c r="AE1860" s="1"/>
    </row>
    <row r="1861" spans="1:73">
      <c r="S1861" s="68"/>
      <c r="AE1861" s="1"/>
    </row>
    <row r="1862" spans="1:73">
      <c r="S1862" s="68"/>
      <c r="AE1862" s="1"/>
    </row>
    <row r="1863" spans="1:73">
      <c r="S1863" s="68"/>
      <c r="AE1863" s="1"/>
    </row>
    <row r="1864" spans="1:73">
      <c r="S1864" s="68"/>
      <c r="AE1864" s="1"/>
    </row>
    <row r="1865" spans="1:73">
      <c r="S1865" s="68"/>
      <c r="AE1865" s="1"/>
    </row>
    <row r="1866" spans="1:73">
      <c r="S1866" s="68"/>
      <c r="AE1866" s="1"/>
    </row>
    <row r="1867" spans="1:73">
      <c r="S1867" s="68"/>
      <c r="AE1867" s="1"/>
    </row>
    <row r="1868" spans="1:73">
      <c r="S1868" s="68"/>
      <c r="AE1868" s="1"/>
    </row>
    <row r="1869" spans="1:73">
      <c r="S1869" s="68"/>
      <c r="AE1869" s="1"/>
    </row>
    <row r="1870" spans="1:73">
      <c r="S1870" s="68"/>
      <c r="AE1870" s="1"/>
    </row>
    <row r="1871" spans="1:73">
      <c r="S1871" s="68"/>
      <c r="AE1871" s="1"/>
    </row>
    <row r="1872" spans="1:73">
      <c r="S1872" s="68"/>
      <c r="AE1872" s="1"/>
    </row>
    <row r="1873" spans="1:73">
      <c r="S1873" s="68"/>
      <c r="AE1873" s="1"/>
    </row>
    <row r="1874" spans="1:73">
      <c r="S1874" s="68"/>
      <c r="AE1874" s="1"/>
    </row>
    <row r="1875" spans="1:73">
      <c r="S1875" s="68"/>
      <c r="AE1875" s="1"/>
    </row>
    <row r="1876" spans="1:73">
      <c r="S1876" s="68"/>
      <c r="AE1876" s="1"/>
    </row>
    <row r="1877" spans="1:73">
      <c r="S1877" s="68"/>
      <c r="AE1877" s="1"/>
    </row>
    <row r="1878" spans="1:73">
      <c r="S1878" s="68"/>
      <c r="AE1878" s="1"/>
    </row>
    <row r="1879" spans="1:73">
      <c r="S1879" s="68"/>
      <c r="AE1879" s="1"/>
    </row>
    <row r="1880" spans="1:73">
      <c r="S1880" s="68"/>
      <c r="AE1880" s="1"/>
    </row>
    <row r="1881" spans="1:73">
      <c r="S1881" s="68"/>
      <c r="AE1881" s="1"/>
    </row>
    <row r="1882" spans="1:73">
      <c r="S1882" s="68"/>
      <c r="AE1882" s="1"/>
    </row>
    <row r="1883" spans="1:73">
      <c r="S1883" s="68"/>
      <c r="AE1883" s="1"/>
    </row>
    <row r="1884" spans="1:73">
      <c r="S1884" s="68"/>
      <c r="AE1884" s="1"/>
    </row>
    <row r="1885" spans="1:73">
      <c r="S1885" s="68"/>
      <c r="AE1885" s="1"/>
    </row>
    <row r="1886" spans="1:73">
      <c r="S1886" s="68"/>
      <c r="AE1886" s="1"/>
    </row>
    <row r="1887" spans="1:73">
      <c r="S1887" s="68"/>
      <c r="AE1887" s="1"/>
    </row>
    <row r="1888" spans="1:73">
      <c r="S1888" s="68"/>
      <c r="AE1888" s="1"/>
    </row>
    <row r="1889" spans="1:73">
      <c r="S1889" s="68"/>
      <c r="AE1889" s="1"/>
    </row>
    <row r="1890" spans="1:73">
      <c r="S1890" s="68"/>
      <c r="AE1890" s="1"/>
    </row>
    <row r="1891" spans="1:73">
      <c r="S1891" s="68"/>
      <c r="AE1891" s="1"/>
    </row>
    <row r="1892" spans="1:73">
      <c r="S1892" s="68"/>
      <c r="AE1892" s="1"/>
    </row>
    <row r="1893" spans="1:73">
      <c r="S1893" s="68"/>
      <c r="AE1893" s="1"/>
    </row>
    <row r="1894" spans="1:73">
      <c r="S1894" s="68"/>
      <c r="AE1894" s="1"/>
    </row>
    <row r="1895" spans="1:73">
      <c r="S1895" s="68"/>
      <c r="AE1895" s="1"/>
    </row>
    <row r="1896" spans="1:73">
      <c r="S1896" s="68"/>
      <c r="AE1896" s="1"/>
    </row>
    <row r="1897" spans="1:73">
      <c r="S1897" s="68"/>
      <c r="AE1897" s="1"/>
    </row>
    <row r="1898" spans="1:73">
      <c r="S1898" s="68"/>
      <c r="AE1898" s="1"/>
    </row>
    <row r="1899" spans="1:73">
      <c r="S1899" s="68"/>
      <c r="AE1899" s="1"/>
    </row>
    <row r="1900" spans="1:73">
      <c r="S1900" s="68"/>
      <c r="AE1900" s="1"/>
    </row>
    <row r="1901" spans="1:73">
      <c r="S1901" s="68"/>
      <c r="AE1901" s="1"/>
    </row>
    <row r="1902" spans="1:73">
      <c r="S1902" s="68"/>
      <c r="AE1902" s="1"/>
    </row>
    <row r="1903" spans="1:73">
      <c r="S1903" s="68"/>
      <c r="AE1903" s="1"/>
    </row>
    <row r="1904" spans="1:73">
      <c r="S1904" s="68"/>
      <c r="AE1904" s="1"/>
    </row>
    <row r="1905" spans="1:73">
      <c r="S1905" s="68"/>
      <c r="AE1905" s="1"/>
    </row>
    <row r="1906" spans="1:73">
      <c r="S1906" s="68"/>
      <c r="AE1906" s="1"/>
    </row>
    <row r="1907" spans="1:73">
      <c r="S1907" s="68"/>
      <c r="AE1907" s="1"/>
    </row>
    <row r="1908" spans="1:73">
      <c r="S1908" s="68"/>
      <c r="AE1908" s="1"/>
    </row>
    <row r="1909" spans="1:73">
      <c r="S1909" s="68"/>
      <c r="AE1909" s="1"/>
    </row>
    <row r="1910" spans="1:73">
      <c r="S1910" s="68"/>
      <c r="AE1910" s="1"/>
    </row>
    <row r="1911" spans="1:73">
      <c r="S1911" s="68"/>
      <c r="AE1911" s="1"/>
    </row>
    <row r="1912" spans="1:73">
      <c r="S1912" s="68"/>
      <c r="AE1912" s="1"/>
    </row>
    <row r="1913" spans="1:73">
      <c r="S1913" s="68"/>
      <c r="AE1913" s="1"/>
    </row>
    <row r="1914" spans="1:73">
      <c r="S1914" s="68"/>
      <c r="AE1914" s="1"/>
    </row>
    <row r="1915" spans="1:73">
      <c r="S1915" s="68"/>
      <c r="AE1915" s="1"/>
    </row>
    <row r="1916" spans="1:73">
      <c r="S1916" s="68"/>
      <c r="AE1916" s="1"/>
    </row>
    <row r="1917" spans="1:73">
      <c r="S1917" s="68"/>
      <c r="AE1917" s="1"/>
    </row>
    <row r="1918" spans="1:73">
      <c r="S1918" s="68"/>
      <c r="AE1918" s="1"/>
    </row>
    <row r="1919" spans="1:73">
      <c r="S1919" s="68"/>
      <c r="AE1919" s="1"/>
    </row>
    <row r="1920" spans="1:73">
      <c r="S1920" s="68"/>
      <c r="AE1920" s="1"/>
    </row>
    <row r="1921" spans="1:73">
      <c r="S1921" s="68"/>
      <c r="AE1921" s="1"/>
    </row>
    <row r="1922" spans="1:73">
      <c r="S1922" s="68"/>
      <c r="AE1922" s="1"/>
    </row>
    <row r="1923" spans="1:73">
      <c r="S1923" s="68"/>
      <c r="AE1923" s="1"/>
    </row>
    <row r="1924" spans="1:73">
      <c r="S1924" s="68"/>
      <c r="AE1924" s="1"/>
    </row>
    <row r="1925" spans="1:73">
      <c r="S1925" s="68"/>
      <c r="AE1925" s="1"/>
    </row>
    <row r="1926" spans="1:73">
      <c r="S1926" s="68"/>
      <c r="AE1926" s="1"/>
    </row>
    <row r="1927" spans="1:73">
      <c r="S1927" s="68"/>
      <c r="AE1927" s="1"/>
    </row>
    <row r="1928" spans="1:73">
      <c r="S1928" s="68"/>
      <c r="AE1928" s="1"/>
    </row>
    <row r="1929" spans="1:73">
      <c r="S1929" s="68"/>
      <c r="AE1929" s="1"/>
    </row>
    <row r="1930" spans="1:73">
      <c r="S1930" s="68"/>
      <c r="AE1930" s="1"/>
    </row>
    <row r="1931" spans="1:73">
      <c r="S1931" s="68"/>
      <c r="AE1931" s="1"/>
    </row>
    <row r="1932" spans="1:73">
      <c r="S1932" s="68"/>
      <c r="AE1932" s="1"/>
    </row>
    <row r="1933" spans="1:73">
      <c r="S1933" s="68"/>
      <c r="AE1933" s="1"/>
    </row>
    <row r="1934" spans="1:73">
      <c r="S1934" s="68"/>
      <c r="AE1934" s="1"/>
    </row>
    <row r="1935" spans="1:73">
      <c r="S1935" s="68"/>
      <c r="AE1935" s="1"/>
    </row>
    <row r="1936" spans="1:73">
      <c r="S1936" s="68"/>
      <c r="AE1936" s="1"/>
    </row>
    <row r="1937" spans="1:73">
      <c r="S1937" s="68"/>
      <c r="AE1937" s="1"/>
    </row>
    <row r="1938" spans="1:73">
      <c r="S1938" s="68"/>
      <c r="AE1938" s="1"/>
    </row>
    <row r="1939" spans="1:73">
      <c r="S1939" s="68"/>
      <c r="AE1939" s="1"/>
    </row>
    <row r="1940" spans="1:73">
      <c r="S1940" s="68"/>
      <c r="AE1940" s="1"/>
    </row>
    <row r="1941" spans="1:73">
      <c r="S1941" s="68"/>
      <c r="AE1941" s="1"/>
    </row>
    <row r="1942" spans="1:73">
      <c r="S1942" s="68"/>
      <c r="AE1942" s="1"/>
    </row>
    <row r="1943" spans="1:73">
      <c r="S1943" s="68"/>
      <c r="AE1943" s="1"/>
    </row>
    <row r="1944" spans="1:73">
      <c r="S1944" s="68"/>
      <c r="AE1944" s="1"/>
    </row>
    <row r="1945" spans="1:73">
      <c r="S1945" s="68"/>
      <c r="AE1945" s="1"/>
    </row>
    <row r="1946" spans="1:73">
      <c r="S1946" s="68"/>
      <c r="AE1946" s="1"/>
    </row>
    <row r="1947" spans="1:73">
      <c r="S1947" s="68"/>
      <c r="AE1947" s="1"/>
    </row>
    <row r="1948" spans="1:73">
      <c r="S1948" s="68"/>
      <c r="AE1948" s="1"/>
    </row>
    <row r="1949" spans="1:73">
      <c r="S1949" s="68"/>
      <c r="AE1949" s="1"/>
    </row>
    <row r="1950" spans="1:73">
      <c r="S1950" s="68"/>
      <c r="AE1950" s="1"/>
    </row>
    <row r="1951" spans="1:73">
      <c r="S1951" s="68"/>
      <c r="AE1951" s="1"/>
    </row>
    <row r="1952" spans="1:73">
      <c r="S1952" s="68"/>
      <c r="AE1952" s="1"/>
    </row>
    <row r="1953" spans="1:73">
      <c r="S1953" s="68"/>
      <c r="AE1953" s="1"/>
    </row>
    <row r="1954" spans="1:73">
      <c r="S1954" s="68"/>
      <c r="AE1954" s="1"/>
    </row>
    <row r="1955" spans="1:73">
      <c r="S1955" s="68"/>
      <c r="AE1955" s="1"/>
    </row>
    <row r="1956" spans="1:73">
      <c r="S1956" s="68"/>
      <c r="AE1956" s="1"/>
    </row>
    <row r="1957" spans="1:73">
      <c r="S1957" s="68"/>
      <c r="AE1957" s="1"/>
    </row>
    <row r="1958" spans="1:73">
      <c r="S1958" s="68"/>
      <c r="AE1958" s="1"/>
    </row>
    <row r="1959" spans="1:73">
      <c r="S1959" s="68"/>
      <c r="AE1959" s="1"/>
    </row>
    <row r="1960" spans="1:73">
      <c r="S1960" s="68"/>
      <c r="AE1960" s="1"/>
    </row>
    <row r="1961" spans="1:73">
      <c r="S1961" s="68"/>
      <c r="AE1961" s="1"/>
    </row>
    <row r="1962" spans="1:73">
      <c r="S1962" s="68"/>
      <c r="AE1962" s="1"/>
    </row>
    <row r="1963" spans="1:73">
      <c r="S1963" s="68"/>
      <c r="AE1963" s="1"/>
    </row>
    <row r="1964" spans="1:73">
      <c r="S1964" s="68"/>
      <c r="AE1964" s="1"/>
    </row>
    <row r="1965" spans="1:73">
      <c r="S1965" s="68"/>
      <c r="AE1965" s="1"/>
    </row>
    <row r="1966" spans="1:73">
      <c r="S1966" s="68"/>
      <c r="AE1966" s="1"/>
    </row>
    <row r="1967" spans="1:73">
      <c r="S1967" s="68"/>
      <c r="AE1967" s="1"/>
    </row>
    <row r="1968" spans="1:73">
      <c r="S1968" s="68"/>
      <c r="AE1968" s="1"/>
    </row>
    <row r="1969" spans="1:73">
      <c r="S1969" s="68"/>
      <c r="AE1969" s="1"/>
    </row>
    <row r="1970" spans="1:73">
      <c r="S1970" s="68"/>
      <c r="AE1970" s="1"/>
    </row>
    <row r="1971" spans="1:73">
      <c r="S1971" s="68"/>
      <c r="AE1971" s="1"/>
    </row>
    <row r="1972" spans="1:73">
      <c r="S1972" s="68"/>
      <c r="AE1972" s="1"/>
    </row>
    <row r="1973" spans="1:73">
      <c r="S1973" s="68"/>
      <c r="AE1973" s="1"/>
    </row>
    <row r="1974" spans="1:73">
      <c r="S1974" s="68"/>
      <c r="AE1974" s="1"/>
    </row>
    <row r="1975" spans="1:73">
      <c r="S1975" s="68"/>
      <c r="AE1975" s="1"/>
    </row>
    <row r="1976" spans="1:73">
      <c r="S1976" s="68"/>
      <c r="AE1976" s="1"/>
    </row>
    <row r="1977" spans="1:73">
      <c r="S1977" s="68"/>
      <c r="AE1977" s="1"/>
    </row>
    <row r="1978" spans="1:73">
      <c r="S1978" s="68"/>
      <c r="AE1978" s="1"/>
    </row>
    <row r="1979" spans="1:73">
      <c r="S1979" s="68"/>
      <c r="AE1979" s="1"/>
    </row>
    <row r="1980" spans="1:73">
      <c r="S1980" s="68"/>
      <c r="AE1980" s="1"/>
    </row>
    <row r="1981" spans="1:73">
      <c r="S1981" s="68"/>
      <c r="AE1981" s="1"/>
    </row>
    <row r="1982" spans="1:73">
      <c r="S1982" s="68"/>
      <c r="AE1982" s="1"/>
    </row>
    <row r="1983" spans="1:73">
      <c r="S1983" s="68"/>
      <c r="AE1983" s="1"/>
    </row>
    <row r="1984" spans="1:73">
      <c r="S1984" s="68"/>
      <c r="AE1984" s="1"/>
    </row>
    <row r="1985" spans="1:73">
      <c r="S1985" s="68"/>
      <c r="AE1985" s="1"/>
    </row>
    <row r="1986" spans="1:73">
      <c r="S1986" s="68"/>
      <c r="AE1986" s="1"/>
    </row>
    <row r="1987" spans="1:73">
      <c r="S1987" s="68"/>
      <c r="AE1987" s="1"/>
    </row>
    <row r="1988" spans="1:73">
      <c r="S1988" s="68"/>
      <c r="AE1988" s="1"/>
    </row>
    <row r="1989" spans="1:73">
      <c r="S1989" s="68"/>
      <c r="AE1989" s="1"/>
    </row>
    <row r="1990" spans="1:73">
      <c r="S1990" s="68"/>
      <c r="AE1990" s="1"/>
    </row>
    <row r="1991" spans="1:73">
      <c r="S1991" s="68"/>
      <c r="AE1991" s="1"/>
    </row>
    <row r="1992" spans="1:73">
      <c r="S1992" s="68"/>
      <c r="AE1992" s="1"/>
    </row>
    <row r="1993" spans="1:73">
      <c r="S1993" s="68"/>
      <c r="AE1993" s="1"/>
    </row>
    <row r="1994" spans="1:73">
      <c r="S1994" s="68"/>
      <c r="AE1994" s="1"/>
    </row>
    <row r="1995" spans="1:73">
      <c r="S1995" s="68"/>
      <c r="AE1995" s="1"/>
    </row>
    <row r="1996" spans="1:73">
      <c r="S1996" s="68"/>
      <c r="AE1996" s="1"/>
    </row>
    <row r="1997" spans="1:73">
      <c r="S1997" s="68"/>
      <c r="AE1997" s="1"/>
    </row>
    <row r="1998" spans="1:73">
      <c r="S1998" s="68"/>
      <c r="AE1998" s="1"/>
    </row>
    <row r="1999" spans="1:73">
      <c r="S1999" s="68"/>
      <c r="AE1999" s="1"/>
    </row>
    <row r="2000" spans="1:73">
      <c r="S2000" s="68"/>
      <c r="AE2000" s="1"/>
    </row>
    <row r="2001" spans="1:73">
      <c r="S2001" s="68"/>
      <c r="AE2001" s="1"/>
    </row>
    <row r="2002" spans="1:73">
      <c r="S2002" s="68"/>
      <c r="AE2002" s="1"/>
    </row>
    <row r="2003" spans="1:73">
      <c r="S2003" s="68"/>
      <c r="AE2003" s="1"/>
    </row>
    <row r="2004" spans="1:73">
      <c r="S2004" s="68"/>
      <c r="AE2004" s="1"/>
    </row>
    <row r="2005" spans="1:73">
      <c r="S2005" s="68"/>
      <c r="AE2005" s="1"/>
    </row>
    <row r="2006" spans="1:73">
      <c r="S2006" s="68"/>
      <c r="AE2006" s="1"/>
    </row>
    <row r="2007" spans="1:73">
      <c r="S2007" s="68"/>
      <c r="AE2007" s="1"/>
    </row>
    <row r="2008" spans="1:73">
      <c r="S2008" s="68"/>
      <c r="AE2008" s="1"/>
    </row>
    <row r="2009" spans="1:73">
      <c r="S2009" s="68"/>
      <c r="AE2009" s="1"/>
    </row>
    <row r="2010" spans="1:73">
      <c r="S2010" s="68"/>
      <c r="AE2010" s="1"/>
    </row>
    <row r="2011" spans="1:73">
      <c r="S2011" s="68"/>
      <c r="AE2011" s="1"/>
    </row>
    <row r="2012" spans="1:73">
      <c r="S2012" s="68"/>
      <c r="AE2012" s="1"/>
    </row>
    <row r="2013" spans="1:73">
      <c r="S2013" s="68"/>
      <c r="AE2013" s="1"/>
    </row>
    <row r="2014" spans="1:73">
      <c r="S2014" s="68"/>
      <c r="AE2014" s="1"/>
    </row>
    <row r="2015" spans="1:73">
      <c r="S2015" s="68"/>
      <c r="AE2015" s="1"/>
    </row>
    <row r="2016" spans="1:73">
      <c r="S2016" s="68"/>
      <c r="AE2016" s="1"/>
    </row>
    <row r="2017" spans="1:73">
      <c r="S2017" s="68"/>
      <c r="AE2017" s="1"/>
    </row>
    <row r="2018" spans="1:73">
      <c r="S2018" s="68"/>
      <c r="AE2018" s="1"/>
    </row>
    <row r="2019" spans="1:73">
      <c r="S2019" s="68"/>
      <c r="AE2019" s="1"/>
    </row>
    <row r="2020" spans="1:73">
      <c r="S2020" s="68"/>
      <c r="AE2020" s="1"/>
    </row>
    <row r="2021" spans="1:73">
      <c r="S2021" s="68"/>
      <c r="AE2021" s="1"/>
    </row>
    <row r="2022" spans="1:73">
      <c r="S2022" s="68"/>
      <c r="AE2022" s="1"/>
    </row>
    <row r="2023" spans="1:73">
      <c r="S2023" s="68"/>
      <c r="AE2023" s="1"/>
    </row>
    <row r="2024" spans="1:73">
      <c r="S2024" s="68"/>
      <c r="AE2024" s="1"/>
    </row>
    <row r="2025" spans="1:73">
      <c r="S2025" s="68"/>
      <c r="AE2025" s="1"/>
    </row>
    <row r="2026" spans="1:73">
      <c r="S2026" s="68"/>
      <c r="AE2026" s="1"/>
    </row>
    <row r="2027" spans="1:73">
      <c r="S2027" s="68"/>
      <c r="AE2027" s="1"/>
    </row>
    <row r="2028" spans="1:73">
      <c r="S2028" s="68"/>
      <c r="AE2028" s="1"/>
    </row>
    <row r="2029" spans="1:73">
      <c r="S2029" s="68"/>
      <c r="AE2029" s="1"/>
    </row>
    <row r="2030" spans="1:73">
      <c r="S2030" s="68"/>
      <c r="AE2030" s="1"/>
    </row>
    <row r="2031" spans="1:73">
      <c r="S2031" s="68"/>
      <c r="AE2031" s="1"/>
    </row>
    <row r="2032" spans="1:73">
      <c r="S2032" s="68"/>
      <c r="AE2032" s="1"/>
    </row>
    <row r="2033" spans="1:73">
      <c r="S2033" s="68"/>
      <c r="AE2033" s="1"/>
    </row>
    <row r="2034" spans="1:73">
      <c r="S2034" s="68"/>
      <c r="AE2034" s="1"/>
    </row>
    <row r="2035" spans="1:73">
      <c r="S2035" s="68"/>
      <c r="AE2035" s="1"/>
    </row>
    <row r="2036" spans="1:73">
      <c r="S2036" s="68"/>
      <c r="AE2036" s="1"/>
    </row>
    <row r="2037" spans="1:73">
      <c r="S2037" s="68"/>
      <c r="AE2037" s="1"/>
    </row>
    <row r="2038" spans="1:73">
      <c r="S2038" s="68"/>
      <c r="AE2038" s="1"/>
    </row>
    <row r="2039" spans="1:73">
      <c r="S2039" s="68"/>
      <c r="AE2039" s="1"/>
    </row>
    <row r="2040" spans="1:73">
      <c r="S2040" s="68"/>
      <c r="AE2040" s="1"/>
    </row>
    <row r="2041" spans="1:73">
      <c r="S2041" s="68"/>
      <c r="AE2041" s="1"/>
    </row>
    <row r="2042" spans="1:73">
      <c r="S2042" s="68"/>
      <c r="AE2042" s="1"/>
    </row>
    <row r="2043" spans="1:73">
      <c r="S2043" s="68"/>
      <c r="AE2043" s="1"/>
    </row>
    <row r="2044" spans="1:73">
      <c r="S2044" s="68"/>
      <c r="AE2044" s="1"/>
    </row>
    <row r="2045" spans="1:73">
      <c r="S2045" s="68"/>
      <c r="AE2045" s="1"/>
    </row>
    <row r="2046" spans="1:73">
      <c r="S2046" s="68"/>
      <c r="AE2046" s="1"/>
    </row>
    <row r="2047" spans="1:73">
      <c r="S2047" s="68"/>
      <c r="AE2047" s="1"/>
    </row>
    <row r="2048" spans="1:73">
      <c r="S2048" s="68"/>
      <c r="AE2048" s="1"/>
    </row>
    <row r="2049" spans="1:73">
      <c r="S2049" s="68"/>
      <c r="AE2049" s="1"/>
    </row>
    <row r="2050" spans="1:73">
      <c r="S2050" s="68"/>
      <c r="AE2050" s="1"/>
    </row>
    <row r="2051" spans="1:73">
      <c r="S2051" s="68"/>
      <c r="AE2051" s="1"/>
    </row>
    <row r="2052" spans="1:73">
      <c r="S2052" s="68"/>
      <c r="AE2052" s="1"/>
    </row>
    <row r="2053" spans="1:73">
      <c r="S2053" s="68"/>
      <c r="AE2053" s="1"/>
    </row>
    <row r="2054" spans="1:73">
      <c r="S2054" s="68"/>
      <c r="AE2054" s="1"/>
    </row>
    <row r="2055" spans="1:73">
      <c r="S2055" s="68"/>
      <c r="AE2055" s="1"/>
    </row>
    <row r="2056" spans="1:73">
      <c r="S2056" s="68"/>
      <c r="AE2056" s="1"/>
    </row>
    <row r="2057" spans="1:73">
      <c r="S2057" s="68"/>
      <c r="AE2057" s="1"/>
    </row>
    <row r="2058" spans="1:73">
      <c r="S2058" s="68"/>
      <c r="AE2058" s="1"/>
    </row>
    <row r="2059" spans="1:73">
      <c r="S2059" s="68"/>
      <c r="AE2059" s="1"/>
    </row>
    <row r="2060" spans="1:73">
      <c r="S2060" s="68"/>
      <c r="AE2060" s="1"/>
    </row>
    <row r="2061" spans="1:73">
      <c r="S2061" s="68"/>
      <c r="AE2061" s="1"/>
    </row>
    <row r="2062" spans="1:73">
      <c r="S2062" s="68"/>
      <c r="AE2062" s="1"/>
    </row>
    <row r="2063" spans="1:73">
      <c r="S2063" s="68"/>
      <c r="AE2063" s="1"/>
    </row>
    <row r="2064" spans="1:73">
      <c r="S2064" s="68"/>
      <c r="AE2064" s="1"/>
    </row>
    <row r="2065" spans="1:73">
      <c r="S2065" s="68"/>
      <c r="AE2065" s="1"/>
    </row>
    <row r="2066" spans="1:73">
      <c r="S2066" s="68"/>
      <c r="AE2066" s="1"/>
    </row>
    <row r="2067" spans="1:73">
      <c r="S2067" s="68"/>
      <c r="AE2067" s="1"/>
    </row>
    <row r="2068" spans="1:73">
      <c r="S2068" s="68"/>
      <c r="AE2068" s="1"/>
    </row>
    <row r="2069" spans="1:73">
      <c r="S2069" s="68"/>
      <c r="AE2069" s="1"/>
    </row>
    <row r="2070" spans="1:73">
      <c r="S2070" s="68"/>
      <c r="AE2070" s="1"/>
    </row>
    <row r="2071" spans="1:73">
      <c r="S2071" s="68"/>
      <c r="AE2071" s="1"/>
    </row>
    <row r="2072" spans="1:73">
      <c r="S2072" s="68"/>
      <c r="AE2072" s="1"/>
    </row>
    <row r="2073" spans="1:73">
      <c r="S2073" s="68"/>
      <c r="AE2073" s="1"/>
    </row>
    <row r="2074" spans="1:73">
      <c r="S2074" s="68"/>
      <c r="AE2074" s="1"/>
    </row>
    <row r="2075" spans="1:73">
      <c r="S2075" s="68"/>
      <c r="AE2075" s="1"/>
    </row>
    <row r="2076" spans="1:73">
      <c r="S2076" s="68"/>
      <c r="AE2076" s="1"/>
    </row>
    <row r="2077" spans="1:73">
      <c r="S2077" s="68"/>
      <c r="AE2077" s="1"/>
    </row>
    <row r="2078" spans="1:73">
      <c r="S2078" s="68"/>
      <c r="AE2078" s="1"/>
    </row>
    <row r="2079" spans="1:73">
      <c r="S2079" s="68"/>
      <c r="AE2079" s="1"/>
    </row>
    <row r="2080" spans="1:73">
      <c r="S2080" s="68"/>
      <c r="AE2080" s="1"/>
    </row>
    <row r="2081" spans="1:73">
      <c r="S2081" s="68"/>
      <c r="AE2081" s="1"/>
    </row>
    <row r="2082" spans="1:73">
      <c r="S2082" s="68"/>
      <c r="AE2082" s="1"/>
    </row>
    <row r="2083" spans="1:73">
      <c r="S2083" s="68"/>
      <c r="AE2083" s="1"/>
    </row>
    <row r="2084" spans="1:73">
      <c r="S2084" s="68"/>
      <c r="AE2084" s="1"/>
    </row>
    <row r="2085" spans="1:73">
      <c r="S2085" s="68"/>
      <c r="AE2085" s="1"/>
    </row>
    <row r="2086" spans="1:73">
      <c r="S2086" s="68"/>
      <c r="AE2086" s="1"/>
    </row>
    <row r="2087" spans="1:73">
      <c r="S2087" s="68"/>
      <c r="AE2087" s="1"/>
    </row>
    <row r="2088" spans="1:73">
      <c r="S2088" s="68"/>
      <c r="AE2088" s="1"/>
    </row>
    <row r="2089" spans="1:73">
      <c r="S2089" s="68"/>
      <c r="AE2089" s="1"/>
    </row>
    <row r="2090" spans="1:73">
      <c r="S2090" s="68"/>
      <c r="AE2090" s="1"/>
    </row>
    <row r="2091" spans="1:73">
      <c r="S2091" s="68"/>
      <c r="AE2091" s="1"/>
    </row>
    <row r="2092" spans="1:73">
      <c r="S2092" s="68"/>
      <c r="AE2092" s="1"/>
    </row>
    <row r="2093" spans="1:73">
      <c r="S2093" s="68"/>
      <c r="AE2093" s="1"/>
    </row>
    <row r="2094" spans="1:73">
      <c r="S2094" s="68"/>
      <c r="AE2094" s="1"/>
    </row>
    <row r="2095" spans="1:73">
      <c r="S2095" s="68"/>
      <c r="AE2095" s="1"/>
    </row>
    <row r="2096" spans="1:73">
      <c r="S2096" s="68"/>
      <c r="AE2096" s="1"/>
    </row>
    <row r="2097" spans="1:73">
      <c r="S2097" s="68"/>
      <c r="AE2097" s="1"/>
    </row>
    <row r="2098" spans="1:73">
      <c r="S2098" s="68"/>
      <c r="AE2098" s="1"/>
    </row>
    <row r="2099" spans="1:73">
      <c r="S2099" s="68"/>
      <c r="AE2099" s="1"/>
    </row>
    <row r="2100" spans="1:73">
      <c r="S2100" s="68"/>
      <c r="AE2100" s="1"/>
    </row>
    <row r="2101" spans="1:73">
      <c r="S2101" s="68"/>
      <c r="AE2101" s="1"/>
    </row>
    <row r="2102" spans="1:73">
      <c r="S2102" s="68"/>
      <c r="AE2102" s="1"/>
    </row>
    <row r="2103" spans="1:73">
      <c r="S2103" s="68"/>
      <c r="AE2103" s="1"/>
    </row>
    <row r="2104" spans="1:73">
      <c r="S2104" s="68"/>
      <c r="AE2104" s="1"/>
    </row>
    <row r="2105" spans="1:73">
      <c r="S2105" s="68"/>
      <c r="AE2105" s="1"/>
    </row>
    <row r="2106" spans="1:73">
      <c r="S2106" s="68"/>
      <c r="AE2106" s="1"/>
    </row>
    <row r="2107" spans="1:73">
      <c r="S2107" s="68"/>
      <c r="AE2107" s="1"/>
    </row>
    <row r="2108" spans="1:73">
      <c r="S2108" s="68"/>
      <c r="AE2108" s="1"/>
    </row>
    <row r="2109" spans="1:73">
      <c r="S2109" s="68"/>
      <c r="AE2109" s="1"/>
    </row>
    <row r="2110" spans="1:73">
      <c r="S2110" s="68"/>
      <c r="AE2110" s="1"/>
    </row>
    <row r="2111" spans="1:73">
      <c r="S2111" s="68"/>
      <c r="AE2111" s="1"/>
    </row>
    <row r="2112" spans="1:73">
      <c r="S2112" s="68"/>
      <c r="AE2112" s="1"/>
    </row>
    <row r="2113" spans="1:73">
      <c r="S2113" s="68"/>
      <c r="AE2113" s="1"/>
    </row>
    <row r="2114" spans="1:73">
      <c r="S2114" s="68"/>
      <c r="AE2114" s="1"/>
    </row>
    <row r="2115" spans="1:73">
      <c r="S2115" s="68"/>
      <c r="AE2115" s="1"/>
    </row>
    <row r="2116" spans="1:73">
      <c r="S2116" s="68"/>
      <c r="AE2116" s="1"/>
    </row>
    <row r="2117" spans="1:73">
      <c r="S2117" s="68"/>
      <c r="AE2117" s="1"/>
    </row>
    <row r="2118" spans="1:73">
      <c r="S2118" s="68"/>
      <c r="AE2118" s="1"/>
    </row>
    <row r="2119" spans="1:73">
      <c r="S2119" s="68"/>
      <c r="AE2119" s="1"/>
    </row>
    <row r="2120" spans="1:73">
      <c r="S2120" s="68"/>
      <c r="AE2120" s="1"/>
    </row>
    <row r="2121" spans="1:73">
      <c r="S2121" s="68"/>
      <c r="AE2121" s="1"/>
    </row>
    <row r="2122" spans="1:73">
      <c r="S2122" s="68"/>
      <c r="AE2122" s="1"/>
    </row>
    <row r="2123" spans="1:73">
      <c r="S2123" s="68"/>
      <c r="AE2123" s="1"/>
    </row>
    <row r="2124" spans="1:73">
      <c r="S2124" s="68"/>
      <c r="AE2124" s="1"/>
    </row>
    <row r="2125" spans="1:73">
      <c r="S2125" s="68"/>
      <c r="AE2125" s="1"/>
    </row>
    <row r="2126" spans="1:73">
      <c r="S2126" s="68"/>
      <c r="AE2126" s="1"/>
    </row>
    <row r="2127" spans="1:73">
      <c r="S2127" s="68"/>
      <c r="AE2127" s="1"/>
    </row>
    <row r="2128" spans="1:73">
      <c r="S2128" s="68"/>
      <c r="AE2128" s="1"/>
    </row>
    <row r="2129" spans="1:73">
      <c r="S2129" s="68"/>
      <c r="AE2129" s="1"/>
    </row>
    <row r="2130" spans="1:73">
      <c r="S2130" s="68"/>
      <c r="AE2130" s="1"/>
    </row>
    <row r="2131" spans="1:73">
      <c r="S2131" s="68"/>
      <c r="AE2131" s="1"/>
    </row>
    <row r="2132" spans="1:73">
      <c r="S2132" s="68"/>
      <c r="AE2132" s="1"/>
    </row>
    <row r="2133" spans="1:73">
      <c r="S2133" s="68"/>
      <c r="AE2133" s="1"/>
    </row>
    <row r="2134" spans="1:73">
      <c r="S2134" s="68"/>
      <c r="AE2134" s="1"/>
    </row>
    <row r="2135" spans="1:73">
      <c r="S2135" s="68"/>
      <c r="AE2135" s="1"/>
    </row>
    <row r="2136" spans="1:73">
      <c r="S2136" s="68"/>
      <c r="AE2136" s="1"/>
    </row>
    <row r="2137" spans="1:73">
      <c r="S2137" s="68"/>
      <c r="AE2137" s="1"/>
    </row>
    <row r="2138" spans="1:73">
      <c r="S2138" s="68"/>
      <c r="AE2138" s="1"/>
    </row>
    <row r="2139" spans="1:73">
      <c r="S2139" s="68"/>
      <c r="AE2139" s="1"/>
    </row>
    <row r="2140" spans="1:73">
      <c r="S2140" s="68"/>
      <c r="AE2140" s="1"/>
    </row>
    <row r="2141" spans="1:73">
      <c r="S2141" s="68"/>
      <c r="AE2141" s="1"/>
    </row>
    <row r="2142" spans="1:73">
      <c r="S2142" s="68"/>
      <c r="AE2142" s="1"/>
    </row>
    <row r="2143" spans="1:73">
      <c r="S2143" s="68"/>
      <c r="AE2143" s="1"/>
    </row>
    <row r="2144" spans="1:73">
      <c r="S2144" s="68"/>
      <c r="AE2144" s="1"/>
    </row>
    <row r="2145" spans="1:73">
      <c r="S2145" s="68"/>
      <c r="AE2145" s="1"/>
    </row>
    <row r="2146" spans="1:73">
      <c r="S2146" s="68"/>
      <c r="AE2146" s="1"/>
    </row>
    <row r="2147" spans="1:73">
      <c r="S2147" s="68"/>
      <c r="AE2147" s="1"/>
    </row>
    <row r="2148" spans="1:73">
      <c r="S2148" s="68"/>
      <c r="AE2148" s="1"/>
    </row>
    <row r="2149" spans="1:73">
      <c r="S2149" s="68"/>
      <c r="AE2149" s="1"/>
    </row>
    <row r="2150" spans="1:73">
      <c r="S2150" s="68"/>
      <c r="AE2150" s="1"/>
    </row>
    <row r="2151" spans="1:73">
      <c r="S2151" s="68"/>
      <c r="AE2151" s="1"/>
    </row>
    <row r="2152" spans="1:73">
      <c r="S2152" s="68"/>
      <c r="AE2152" s="1"/>
    </row>
    <row r="2153" spans="1:73">
      <c r="S2153" s="68"/>
      <c r="AE2153" s="1"/>
    </row>
    <row r="2154" spans="1:73">
      <c r="S2154" s="68"/>
      <c r="AE2154" s="1"/>
    </row>
    <row r="2155" spans="1:73">
      <c r="S2155" s="68"/>
      <c r="AE2155" s="1"/>
    </row>
    <row r="2156" spans="1:73">
      <c r="S2156" s="68"/>
      <c r="AE2156" s="1"/>
    </row>
    <row r="2157" spans="1:73">
      <c r="S2157" s="68"/>
      <c r="AE2157" s="1"/>
    </row>
    <row r="2158" spans="1:73">
      <c r="S2158" s="68"/>
      <c r="AE2158" s="1"/>
    </row>
    <row r="2159" spans="1:73">
      <c r="S2159" s="68"/>
      <c r="AE2159" s="1"/>
    </row>
    <row r="2160" spans="1:73">
      <c r="S2160" s="68"/>
      <c r="AE2160" s="1"/>
    </row>
    <row r="2161" spans="1:73">
      <c r="S2161" s="68"/>
      <c r="AE2161" s="1"/>
    </row>
    <row r="2162" spans="1:73">
      <c r="S2162" s="68"/>
      <c r="AE2162" s="1"/>
    </row>
    <row r="2163" spans="1:73">
      <c r="S2163" s="68"/>
      <c r="AE2163" s="1"/>
    </row>
    <row r="2164" spans="1:73">
      <c r="S2164" s="68"/>
      <c r="AE2164" s="1"/>
    </row>
    <row r="2165" spans="1:73">
      <c r="S2165" s="68"/>
      <c r="AE2165" s="1"/>
    </row>
    <row r="2166" spans="1:73">
      <c r="S2166" s="68"/>
      <c r="AE2166" s="1"/>
    </row>
    <row r="2167" spans="1:73">
      <c r="S2167" s="68"/>
      <c r="AE2167" s="1"/>
    </row>
    <row r="2168" spans="1:73">
      <c r="S2168" s="68"/>
      <c r="AE2168" s="1"/>
    </row>
    <row r="2169" spans="1:73">
      <c r="S2169" s="68"/>
      <c r="AE2169" s="1"/>
    </row>
    <row r="2170" spans="1:73">
      <c r="S2170" s="68"/>
      <c r="AE2170" s="1"/>
    </row>
    <row r="2171" spans="1:73">
      <c r="S2171" s="68"/>
      <c r="AE2171" s="1"/>
    </row>
    <row r="2172" spans="1:73">
      <c r="S2172" s="68"/>
      <c r="AE2172" s="1"/>
    </row>
    <row r="2173" spans="1:73">
      <c r="S2173" s="68"/>
      <c r="AE2173" s="1"/>
    </row>
    <row r="2174" spans="1:73">
      <c r="S2174" s="68"/>
      <c r="AE2174" s="1"/>
    </row>
    <row r="2175" spans="1:73">
      <c r="S2175" s="68"/>
      <c r="AE2175" s="1"/>
    </row>
    <row r="2176" spans="1:73">
      <c r="S2176" s="68"/>
      <c r="AE2176" s="1"/>
    </row>
    <row r="2177" spans="1:73">
      <c r="S2177" s="68"/>
      <c r="AE2177" s="1"/>
    </row>
    <row r="2178" spans="1:73">
      <c r="S2178" s="68"/>
      <c r="AE2178" s="1"/>
    </row>
    <row r="2179" spans="1:73">
      <c r="S2179" s="68"/>
      <c r="AE2179" s="1"/>
    </row>
    <row r="2180" spans="1:73">
      <c r="S2180" s="68"/>
      <c r="AE2180" s="1"/>
    </row>
    <row r="2181" spans="1:73">
      <c r="S2181" s="68"/>
      <c r="AE2181" s="1"/>
    </row>
    <row r="2182" spans="1:73">
      <c r="S2182" s="68"/>
      <c r="AE2182" s="1"/>
    </row>
    <row r="2183" spans="1:73">
      <c r="S2183" s="68"/>
      <c r="AE2183" s="1"/>
    </row>
    <row r="2184" spans="1:73">
      <c r="S2184" s="68"/>
      <c r="AE2184" s="1"/>
    </row>
    <row r="2185" spans="1:73">
      <c r="S2185" s="68"/>
      <c r="AE2185" s="1"/>
    </row>
    <row r="2186" spans="1:73">
      <c r="S2186" s="68"/>
      <c r="AE2186" s="1"/>
    </row>
    <row r="2187" spans="1:73">
      <c r="S2187" s="68"/>
      <c r="AE2187" s="1"/>
    </row>
    <row r="2188" spans="1:73">
      <c r="S2188" s="68"/>
      <c r="AE2188" s="1"/>
    </row>
    <row r="2189" spans="1:73">
      <c r="S2189" s="68"/>
      <c r="AE2189" s="1"/>
    </row>
    <row r="2190" spans="1:73">
      <c r="S2190" s="68"/>
      <c r="AE2190" s="1"/>
    </row>
    <row r="2191" spans="1:73">
      <c r="S2191" s="68"/>
      <c r="AE2191" s="1"/>
    </row>
    <row r="2192" spans="1:73">
      <c r="S2192" s="68"/>
      <c r="AE2192" s="1"/>
    </row>
    <row r="2193" spans="1:73">
      <c r="S2193" s="68"/>
      <c r="AE2193" s="1"/>
    </row>
    <row r="2194" spans="1:73">
      <c r="S2194" s="68"/>
      <c r="AE2194" s="1"/>
    </row>
    <row r="2195" spans="1:73">
      <c r="S2195" s="68"/>
      <c r="AE2195" s="1"/>
    </row>
    <row r="2196" spans="1:73">
      <c r="S2196" s="68"/>
      <c r="AE2196" s="1"/>
    </row>
    <row r="2197" spans="1:73">
      <c r="S2197" s="68"/>
      <c r="AE2197" s="1"/>
    </row>
    <row r="2198" spans="1:73">
      <c r="S2198" s="68"/>
      <c r="AE2198" s="1"/>
    </row>
    <row r="2199" spans="1:73">
      <c r="S2199" s="68"/>
      <c r="AE2199" s="1"/>
    </row>
    <row r="2200" spans="1:73">
      <c r="S2200" s="68"/>
      <c r="AE2200" s="1"/>
    </row>
    <row r="2201" spans="1:73">
      <c r="S2201" s="68"/>
      <c r="AE2201" s="1"/>
    </row>
    <row r="2202" spans="1:73">
      <c r="S2202" s="68"/>
      <c r="AE2202" s="1"/>
    </row>
    <row r="2203" spans="1:73">
      <c r="S2203" s="68"/>
      <c r="AE2203" s="1"/>
    </row>
    <row r="2204" spans="1:73">
      <c r="S2204" s="68"/>
      <c r="AE2204" s="1"/>
    </row>
    <row r="2205" spans="1:73">
      <c r="S2205" s="68"/>
      <c r="AE2205" s="1"/>
    </row>
    <row r="2206" spans="1:73">
      <c r="S2206" s="68"/>
      <c r="AE2206" s="1"/>
    </row>
    <row r="2207" spans="1:73">
      <c r="S2207" s="68"/>
      <c r="AE2207" s="1"/>
    </row>
    <row r="2208" spans="1:73">
      <c r="S2208" s="68"/>
      <c r="AE2208" s="1"/>
    </row>
    <row r="2209" spans="1:73">
      <c r="S2209" s="68"/>
      <c r="AE2209" s="1"/>
    </row>
    <row r="2210" spans="1:73">
      <c r="S2210" s="68"/>
      <c r="AE2210" s="1"/>
    </row>
    <row r="2211" spans="1:73">
      <c r="S2211" s="68"/>
      <c r="AE2211" s="1"/>
    </row>
    <row r="2212" spans="1:73">
      <c r="S2212" s="68"/>
      <c r="AE2212" s="1"/>
    </row>
    <row r="2213" spans="1:73">
      <c r="S2213" s="68"/>
      <c r="AE2213" s="1"/>
    </row>
    <row r="2214" spans="1:73">
      <c r="S2214" s="68"/>
      <c r="AE2214" s="1"/>
    </row>
    <row r="2215" spans="1:73">
      <c r="S2215" s="68"/>
      <c r="AE2215" s="1"/>
    </row>
    <row r="2216" spans="1:73">
      <c r="S2216" s="68"/>
      <c r="AE2216" s="1"/>
    </row>
    <row r="2217" spans="1:73">
      <c r="S2217" s="68"/>
      <c r="AE2217" s="1"/>
    </row>
    <row r="2218" spans="1:73">
      <c r="S2218" s="68"/>
      <c r="AE2218" s="1"/>
    </row>
    <row r="2219" spans="1:73">
      <c r="S2219" s="68"/>
      <c r="AE2219" s="1"/>
    </row>
    <row r="2220" spans="1:73">
      <c r="S2220" s="68"/>
      <c r="AE2220" s="1"/>
    </row>
    <row r="2221" spans="1:73">
      <c r="S2221" s="68"/>
      <c r="AE2221" s="1"/>
    </row>
    <row r="2222" spans="1:73">
      <c r="S2222" s="68"/>
      <c r="AE2222" s="1"/>
    </row>
  </sheetData>
  <mergeCells>
    <mergeCell ref="E2:F2"/>
    <mergeCell ref="Q2:R2"/>
    <mergeCell ref="AC2:AD2"/>
    <mergeCell ref="E3:F3"/>
    <mergeCell ref="Q3:R3"/>
    <mergeCell ref="AC3:AD3"/>
    <mergeCell ref="BP678:BP680"/>
    <mergeCell ref="BQ678:BQ680"/>
    <mergeCell ref="AK679:AL679"/>
    <mergeCell ref="AM679:AN679"/>
    <mergeCell ref="AY679:AZ679"/>
    <mergeCell ref="BA679:BB679"/>
    <mergeCell ref="BI679:BJ679"/>
    <mergeCell ref="BK679:BL679"/>
    <mergeCell ref="AO679:AP679"/>
    <mergeCell ref="AQ679:AR679"/>
    <mergeCell ref="AS679:AT679"/>
    <mergeCell ref="AU679:AV679"/>
    <mergeCell ref="AW679:AX679"/>
    <mergeCell ref="BC679:BD679"/>
    <mergeCell ref="BE679:BF679"/>
    <mergeCell ref="BG679:BH679"/>
    <mergeCell ref="F679:G679"/>
    <mergeCell ref="R679:S679"/>
    <mergeCell ref="AD679:AE679"/>
    <mergeCell ref="AG679:AH679"/>
    <mergeCell ref="AK678:BO678"/>
    <mergeCell ref="AJ678:AJ680"/>
    <mergeCell ref="AI678:AI680"/>
    <mergeCell ref="AA678:AA680"/>
    <mergeCell ref="AC678:AC680"/>
    <mergeCell ref="AF678:AF680"/>
    <mergeCell ref="P678:P680"/>
    <mergeCell ref="Q678:Q680"/>
  </mergeCells>
  <conditionalFormatting sqref="L1:L677 L679:L1048576">
    <cfRule type="containsText" dxfId="0" priority="1" operator="containsText" text="mbb">
      <formula>NOT(ISERROR(SEARCH("mbb",L1)))</formula>
    </cfRule>
  </conditionalFormatting>
  <conditionalFormatting sqref="L920:L925">
    <cfRule type="containsText" dxfId="1" priority="2" operator="containsText" text="MBB">
      <formula>NOT(ISERROR(SEARCH("MBB",L920)))</formula>
    </cfRule>
  </conditionalFormatting>
  <conditionalFormatting sqref="L941">
    <cfRule type="containsText" dxfId="2" priority="3" operator="containsText" text="MBB">
      <formula>NOT(ISERROR(SEARCH("MBB",L941)))</formula>
    </cfRule>
  </conditionalFormatting>
  <conditionalFormatting sqref="L962">
    <cfRule type="containsText" dxfId="3" priority="4" operator="containsText" text="MBB">
      <formula>NOT(ISERROR(SEARCH("MBB",L962)))</formula>
    </cfRule>
  </conditionalFormatting>
  <conditionalFormatting sqref="X1:X1048576 L934">
    <cfRule type="containsText" dxfId="4" priority="5" operator="containsText" text="MBB">
      <formula>NOT(ISERROR(SEARCH("MBB",L1)))</formula>
    </cfRule>
  </conditionalFormatting>
  <conditionalFormatting sqref="AM941">
    <cfRule type="containsText" dxfId="5" priority="6" operator="containsText" text="MBB">
      <formula>NOT(ISERROR(SEARCH("MBB",AM941)))</formula>
    </cfRule>
  </conditionalFormatting>
  <conditionalFormatting sqref="AM986">
    <cfRule type="containsText" dxfId="6" priority="7" operator="containsText" text="mbb">
      <formula>NOT(ISERROR(SEARCH("mbb",AM986)))</formula>
    </cfRule>
  </conditionalFormatting>
  <dataValidations count="16">
    <dataValidation operator="between" allowBlank="1" showDropDown="0" showInputMessage="1" showErrorMessage="1" prompt="FROM CASH BOOK" sqref="AH957"/>
    <dataValidation operator="between" allowBlank="1" showDropDown="0" showInputMessage="1" showErrorMessage="1" prompt="Hamid Apt Rental, Rental of Nov 24" sqref="AM959"/>
    <dataValidation operator="between" allowBlank="1" showDropDown="0" showInputMessage="1" showErrorMessage="1" prompt="paid" sqref="AM1008"/>
    <dataValidation operator="between" allowBlank="1" showDropDown="0" showInputMessage="1" showErrorMessage="1" prompt="CASH BOOK EXPENSES AND VALID VISA" sqref="BA958"/>
    <dataValidation operator="between" allowBlank="1" showDropDown="0" showInputMessage="1" showErrorMessage="1" prompt="CASH BOOK, CHARGES FOR CHEQUE STOPPAGE" sqref="BA959"/>
    <dataValidation operator="between" allowBlank="1" showDropDown="0" showInputMessage="1" showErrorMessage="1" prompt="EXPENSE OF CASH BOOK " sqref="BA957"/>
    <dataValidation operator="between" allowBlank="1" showDropDown="0" showInputMessage="1" showErrorMessage="1" prompt="Passed" sqref="L971"/>
    <dataValidation operator="between" allowBlank="1" showDropDown="0" showInputMessage="1" showErrorMessage="1" prompt=" PASSED_x000a_" sqref="L991"/>
    <dataValidation operator="between" allowBlank="1" showDropDown="0" showInputMessage="1" showErrorMessage="1" prompt="Not Paid" sqref="L995"/>
    <dataValidation operator="between" allowBlank="1" showDropDown="0" showInputMessage="1" showErrorMessage="1" prompt="CHEQUE NO: 135_x000a_" sqref="L962"/>
    <dataValidation operator="between" allowBlank="1" showDropDown="0" showInputMessage="1" showErrorMessage="1" prompt="CHEQUE NO_x000a_151" sqref="L967"/>
    <dataValidation operator="between" allowBlank="1" showDropDown="0" showInputMessage="1" showErrorMessage="1" prompt="Paid Online" sqref="L997:L998"/>
    <dataValidation operator="between" allowBlank="1" showDropDown="0" showInputMessage="1" showErrorMessage="1" prompt="SHOPING BAGS" sqref="U957"/>
    <dataValidation operator="between" allowBlank="1" showDropDown="0" showInputMessage="1" showErrorMessage="1" prompt="Not Passed" sqref="X1011"/>
    <dataValidation operator="between" allowBlank="1" showDropDown="0" showInputMessage="1" showErrorMessage="1" prompt=" PASSED" sqref="X990"/>
    <dataValidation operator="between" allowBlank="1" showDropDown="0" showInputMessage="1" showErrorMessage="1" prompt="Not Paid" sqref="X1015:X1016"/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sheetData>
    <row r="2" spans="1:6">
      <c r="A2" t="s">
        <v>548</v>
      </c>
    </row>
    <row r="3" spans="1:6">
      <c r="A3" t="s">
        <v>549</v>
      </c>
    </row>
    <row r="4" spans="1:6">
      <c r="A4" t="s">
        <v>550</v>
      </c>
    </row>
    <row r="5" spans="1:6">
      <c r="A5" t="s">
        <v>551</v>
      </c>
      <c r="F5" t="s">
        <v>552</v>
      </c>
    </row>
    <row r="6" spans="1:6">
      <c r="A6" t="s">
        <v>553</v>
      </c>
    </row>
    <row r="11" spans="1:6">
      <c r="A11" t="s">
        <v>554</v>
      </c>
    </row>
    <row r="12" spans="1:6">
      <c r="A12" t="s">
        <v>555</v>
      </c>
    </row>
    <row r="13" spans="1:6">
      <c r="A13" t="s">
        <v>556</v>
      </c>
    </row>
    <row r="14" spans="1:6">
      <c r="A14" t="s">
        <v>557</v>
      </c>
      <c r="F14" t="s">
        <v>558</v>
      </c>
    </row>
    <row r="15" spans="1:6">
      <c r="A15" t="s">
        <v>280</v>
      </c>
    </row>
    <row r="16" spans="1:6">
      <c r="A16" t="s">
        <v>559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EDEN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rahimi</dc:creator>
  <cp:lastModifiedBy>Nasim Roshan</cp:lastModifiedBy>
  <dcterms:created xsi:type="dcterms:W3CDTF">2024-02-28T13:07:27+00:00</dcterms:created>
  <dcterms:modified xsi:type="dcterms:W3CDTF">2025-09-19T15:18:21+00:00</dcterms:modified>
  <dc:title/>
  <dc:description/>
  <dc:subject/>
  <cp:keywords/>
  <cp:category/>
</cp:coreProperties>
</file>